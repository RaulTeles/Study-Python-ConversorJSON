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9" codeName="{00000000-0000-0000-0000-000000000000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0512E014-F05E-42F7-BA87-178F4B75C4AF}" xr6:coauthVersionLast="47" xr6:coauthVersionMax="47" xr10:uidLastSave="{00000000-0000-0000-0000-000000000000}"/>
  <bookViews>
    <workbookView xWindow="28680" yWindow="-120" windowWidth="29040" windowHeight="15720" tabRatio="706" firstSheet="1" activeTab="1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_xlnm.Database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_xlnm.Extract">#REF!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_xlnm.Print_Area" localSheetId="1">'ACOMPANHAMENTO USINA'!$A$1:$AP$165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_xlnm.Recorder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Agno Santos - Modo de exibição pessoal" guid="{BA8EEAB2-EE73-4147-AF90-4E46DD1C1569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Francidalva Wanzeler - Modo de exibição pessoal" guid="{A48B32F7-E2A2-4C99-BCD4-798D3792245C}" mergeInterval="0" personalView="1" maximized="1" xWindow="-8" yWindow="-8" windowWidth="1382" windowHeight="744" tabRatio="39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2" i="17"/>
  <c r="CG6" i="17"/>
  <c r="CG4" i="17"/>
  <c r="CG9" i="17"/>
  <c r="CG3" i="17"/>
  <c r="CG7" i="17"/>
  <c r="CG5" i="17"/>
  <c r="CG8" i="17"/>
  <c r="Q24" i="27" l="1" a="1"/>
  <c r="Q24" i="27" s="1"/>
  <c r="P45" i="18" l="1"/>
  <c r="F37" i="18"/>
  <c r="F34" i="18"/>
  <c r="AJ40" i="18" l="1"/>
  <c r="P34" i="18"/>
  <c r="P36" i="18"/>
  <c r="P37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6" i="18"/>
  <c r="F38" i="18"/>
  <c r="F39" i="18"/>
  <c r="F40" i="18"/>
  <c r="Z34" i="18" l="1"/>
  <c r="W2" i="19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F35" i="18" l="1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0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38" i="18"/>
  <c r="P39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9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<sst xmlns="http://schemas.openxmlformats.org/spreadsheetml/2006/main" count="381" uniqueCount="157">
  <si>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</si>
  <si>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</si>
  <si>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</si>
  <si>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</si>
  <si>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</si>
  <si>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</si>
  <si>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</si>
  <si>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</si>
  <si>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</si>
  <si>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</si>
  <si>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</si>
  <si>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</si>
  <si>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</si>
  <si>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</si>
  <si>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</si>
  <si>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</si>
  <si>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r>
      <t xml:space="preserve">Principal Impacto:  </t>
    </r>
    <r>
      <rPr>
        <sz val="13"/>
        <color theme="1"/>
        <rFont val="Calibri"/>
        <family val="2"/>
        <scheme val="minor"/>
      </rPr>
      <t>BSM05: descontaminação de circuito, material de silica alta;</t>
    </r>
  </si>
  <si>
    <t>AZAMENTO NO CHUTE</t>
  </si>
  <si>
    <r>
      <t xml:space="preserve">- Abaixo do programa:
Impactos:
- </t>
    </r>
    <r>
      <rPr>
        <sz val="12"/>
        <color theme="1"/>
        <rFont val="Arial"/>
        <family val="2"/>
      </rPr>
      <t xml:space="preserve">Estratégia direcionamento prioriozando EIXO N4 para US-2 (dado à baixa produtividade do PEN 2 pela elevão no nível da pilha de Pebble);
</t>
    </r>
    <r>
      <rPr>
        <b/>
        <sz val="12"/>
        <color theme="1"/>
        <rFont val="Arial"/>
        <family val="2"/>
      </rPr>
      <t>Ponto de atenção:*</t>
    </r>
    <r>
      <rPr>
        <sz val="12"/>
        <color theme="1"/>
        <rFont val="Arial"/>
        <family val="2"/>
      </rPr>
      <t xml:space="preserve">
- Nível alto na pilha de Pebble (PGG).
- Restrição de Linhas úmidos por vazamentos de PEAD's.</t>
    </r>
    <r>
      <rPr>
        <b/>
        <sz val="12"/>
        <color theme="1"/>
        <rFont val="Arial"/>
        <family val="2"/>
      </rPr>
      <t xml:space="preserve">
</t>
    </r>
  </si>
  <si>
    <t xml:space="preserve">-  Cumpriu o programa.
</t>
  </si>
  <si>
    <r>
      <t>-Sem  programação 
-</t>
    </r>
    <r>
      <rPr>
        <sz val="12"/>
        <color theme="1"/>
        <rFont val="Arial"/>
        <family val="2"/>
      </rPr>
      <t xml:space="preserve"> Operando por oportunidade.</t>
    </r>
  </si>
  <si>
    <t>- Estratégia direcionamento ativos para US-1  (dado à baixa produtividade do PEN 2 pela elevão no nível da pilha de Pebble).</t>
  </si>
  <si>
    <r>
      <t xml:space="preserve">Principal Impacto:  </t>
    </r>
    <r>
      <rPr>
        <sz val="13"/>
        <color theme="1"/>
        <rFont val="Calibri"/>
        <family val="2"/>
        <scheme val="minor"/>
      </rPr>
      <t xml:space="preserve">BRIT: baixa oferta devido DF de Pá pulmão BSM e locomoção Pá pulmão 625 </t>
    </r>
  </si>
  <si>
    <t>3h</t>
  </si>
  <si>
    <r>
      <t xml:space="preserve">Principal Impacto:  </t>
    </r>
    <r>
      <rPr>
        <sz val="13"/>
        <color theme="1"/>
        <rFont val="Calibri"/>
        <family val="2"/>
        <scheme val="minor"/>
      </rPr>
      <t xml:space="preserve">BRIT: baixa oferta devido DF de Pá pulmão BSM e  pulmão 625 </t>
    </r>
  </si>
  <si>
    <t>6h</t>
  </si>
  <si>
    <r>
      <t xml:space="preserve">Principal Impacto: </t>
    </r>
    <r>
      <rPr>
        <sz val="13"/>
        <color theme="1"/>
        <rFont val="Calibri"/>
        <family val="2"/>
        <scheme val="minor"/>
      </rPr>
      <t>Baixa produtividade LUN  ausênia de blend</t>
    </r>
  </si>
  <si>
    <t>7h</t>
  </si>
  <si>
    <t>8h</t>
  </si>
  <si>
    <r>
      <t xml:space="preserve">Principal Impacto: </t>
    </r>
    <r>
      <rPr>
        <sz val="13"/>
        <color theme="1"/>
        <rFont val="Calibri"/>
        <family val="2"/>
        <scheme val="minor"/>
      </rPr>
      <t>Baixa produtividade LUN  auseênia de blend</t>
    </r>
  </si>
  <si>
    <t xml:space="preserve"> </t>
  </si>
  <si>
    <r>
      <t xml:space="preserve">Principal Impacto: </t>
    </r>
    <r>
      <rPr>
        <sz val="13"/>
        <color theme="1"/>
        <rFont val="Calibri"/>
        <family val="2"/>
        <scheme val="minor"/>
      </rPr>
      <t>PEN2 restrição devido alto estoque pilha de pebble;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</si>
  <si>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Estratégia direcionamento prioriozando EIXO N4 para US-2</t>
    </r>
  </si>
  <si>
    <r>
      <t xml:space="preserve">Principal Impacto: </t>
    </r>
    <r>
      <rPr>
        <sz val="13"/>
        <color theme="1"/>
        <rFont val="Calibri"/>
        <family val="2"/>
        <scheme val="minor"/>
      </rPr>
      <t>Estratégia direcionamento prioriozando EIXO N4 para US-2</t>
    </r>
    <r>
      <rPr>
        <b/>
        <sz val="13"/>
        <color theme="1"/>
        <rFont val="Calibri"/>
        <family val="2"/>
        <scheme val="minor"/>
      </rPr>
      <t xml:space="preserve"> (dado à baixa produtividade do PEN 2 pela elevão no nível da pilha de Pebble);</t>
    </r>
  </si>
  <si>
    <t>18h</t>
  </si>
  <si>
    <r>
      <rPr>
        <b/>
        <sz val="14"/>
        <color theme="1"/>
        <rFont val="Calibri"/>
        <family val="2"/>
        <scheme val="minor"/>
      </rPr>
      <t>Impacto Principal:</t>
    </r>
    <r>
      <rPr>
        <sz val="14"/>
        <color theme="1"/>
        <rFont val="Calibri"/>
        <family val="2"/>
        <scheme val="minor"/>
      </rPr>
      <t xml:space="preserve"> Estratégia direcionamento ativos para US-1  (dado à baixa produtividade do PEN 2 pela elevão no nível da pilha de Pebble);</t>
    </r>
  </si>
  <si>
    <t>Meta D+1 dia cumpriu;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</si>
  <si>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</si>
  <si>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</si>
  <si>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</si>
  <si>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</si>
  <si>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</si>
  <si>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</si>
  <si>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</si>
  <si>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</si>
  <si>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</si>
  <si>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</si>
  <si>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</si>
  <si>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</si>
  <si>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</si>
  <si>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</si>
  <si>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</si>
  <si>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</si>
  <si>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</si>
  <si>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</si>
  <si>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</si>
  <si>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</si>
  <si>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</si>
  <si>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</si>
  <si>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</si>
  <si>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</si>
  <si>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</si>
  <si>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</si>
  <si>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</si>
  <si>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</si>
  <si>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</si>
  <si>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</si>
  <si>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</si>
  <si>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</si>
  <si>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</si>
  <si>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</si>
  <si>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</si>
  <si>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</si>
  <si>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</si>
  <si>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</si>
  <si>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</si>
  <si>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</si>
  <si>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</si>
  <si>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</si>
  <si>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</si>
  <si>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</si>
  <si>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</si>
  <si>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</si>
  <si>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</si>
  <si>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</si>
  <si>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</si>
  <si>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</si>
  <si>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</si>
  <si>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</si>
  <si>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</si>
  <si>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</si>
  <si>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</si>
  <si>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- BRIT 01, baixa oferta devido DF de Pá  8112 pulmão BSM3 e locomoção Pá 8103 pulmão 625 (corrigindo)</t>
  </si>
  <si>
    <t>BSM 02</t>
  </si>
  <si>
    <t>BSM 2</t>
  </si>
  <si>
    <t>Real</t>
  </si>
  <si>
    <t>BSM 3</t>
  </si>
  <si>
    <t>BSM 6</t>
  </si>
  <si>
    <t>Estratégia direcionamento prioriozando EIXO N4 para US-2 (dado à baixa produtividade do PEN 2 pela elevão no nível da pilha de Pebble).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</si>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</sst>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0.000"/>
    <numFmt numFmtId="166" formatCode="&quot;Cr$&quot;#,##0;[Red]&quot;Cr$&quot;#,##0&quot;-&quot;"/>
    <numFmt numFmtId="167" formatCode="General_)"/>
    <numFmt numFmtId="168" formatCode="0.00%;[Red]\-0.00%"/>
    <numFmt numFmtId="169" formatCode="0.000;[Red]\-0.000"/>
    <numFmt numFmtId="170" formatCode="&quot;R$&quot;\ #,##0.00_);[Red]\(&quot;R$&quot;\ #,##0.00\)"/>
    <numFmt numFmtId="171" formatCode="[$-416]d\-mmm;@"/>
    <numFmt numFmtId="172" formatCode="_(* #,##0_);_(* \(#,##0\);_(* &quot;-&quot;??_);_(@_)"/>
    <numFmt numFmtId="173" formatCode="0&quot;h&quot;"/>
    <numFmt numFmtId="174" formatCode="[$-F400]h:mm:ss\ AM/PM"/>
    <numFmt numFmtId="175" formatCode="d/m/yy\ h:mm;@"/>
    <numFmt numFmtId="176" formatCode="0.0"/>
    <numFmt numFmtId="177" formatCode="#,##0.0_ ;\-#,##0.0\ "/>
    <numFmt numFmtId="178" formatCode="#,##0.0"/>
    <numFmt numFmtId="179" formatCode="#,##0_ ;[Red]\-#,##0\ "/>
    <numFmt numFmtId="180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1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43" fontId="6" fillId="0" borderId="0" applyFont="0" applyFill="0" applyBorder="0" applyAlignment="0" applyProtection="0"/>
    <xf numFmtId="171" fontId="12" fillId="0" borderId="0" applyNumberFormat="0" applyFill="0" applyBorder="0" applyAlignment="0" applyProtection="0">
      <alignment vertical="top"/>
      <protection locked="0"/>
    </xf>
    <xf numFmtId="171" fontId="8" fillId="0" borderId="0"/>
    <xf numFmtId="171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171" fontId="6" fillId="0" borderId="0"/>
    <xf numFmtId="171" fontId="8" fillId="0" borderId="0"/>
    <xf numFmtId="171" fontId="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2" fillId="0" borderId="0"/>
    <xf numFmtId="171" fontId="28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171" fontId="6" fillId="5" borderId="0" applyNumberFormat="0" applyBorder="0" applyAlignment="0" applyProtection="0"/>
    <xf numFmtId="171" fontId="6" fillId="6" borderId="0" applyNumberFormat="0" applyBorder="0" applyAlignment="0" applyProtection="0"/>
    <xf numFmtId="171" fontId="6" fillId="7" borderId="0" applyNumberFormat="0" applyBorder="0" applyAlignment="0" applyProtection="0"/>
    <xf numFmtId="171" fontId="6" fillId="8" borderId="0" applyNumberFormat="0" applyBorder="0" applyAlignment="0" applyProtection="0"/>
    <xf numFmtId="171" fontId="6" fillId="9" borderId="0" applyNumberFormat="0" applyBorder="0" applyAlignment="0" applyProtection="0"/>
    <xf numFmtId="171" fontId="6" fillId="10" borderId="0" applyNumberFormat="0" applyBorder="0" applyAlignment="0" applyProtection="0"/>
    <xf numFmtId="171" fontId="6" fillId="11" borderId="0" applyNumberFormat="0" applyBorder="0" applyAlignment="0" applyProtection="0"/>
    <xf numFmtId="171" fontId="6" fillId="12" borderId="0" applyNumberFormat="0" applyBorder="0" applyAlignment="0" applyProtection="0"/>
    <xf numFmtId="171" fontId="6" fillId="13" borderId="0" applyNumberFormat="0" applyBorder="0" applyAlignment="0" applyProtection="0"/>
    <xf numFmtId="171" fontId="6" fillId="8" borderId="0" applyNumberFormat="0" applyBorder="0" applyAlignment="0" applyProtection="0"/>
    <xf numFmtId="171" fontId="6" fillId="11" borderId="0" applyNumberFormat="0" applyBorder="0" applyAlignment="0" applyProtection="0"/>
    <xf numFmtId="171" fontId="6" fillId="14" borderId="0" applyNumberFormat="0" applyBorder="0" applyAlignment="0" applyProtection="0"/>
    <xf numFmtId="171" fontId="14" fillId="15" borderId="0" applyNumberFormat="0" applyBorder="0" applyAlignment="0" applyProtection="0"/>
    <xf numFmtId="171" fontId="14" fillId="12" borderId="0" applyNumberFormat="0" applyBorder="0" applyAlignment="0" applyProtection="0"/>
    <xf numFmtId="171" fontId="14" fillId="13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1" fontId="15" fillId="7" borderId="0" applyNumberFormat="0" applyBorder="0" applyAlignment="0" applyProtection="0"/>
    <xf numFmtId="171" fontId="8" fillId="0" borderId="0"/>
    <xf numFmtId="171" fontId="16" fillId="19" borderId="4" applyNumberFormat="0" applyAlignment="0" applyProtection="0"/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65" fontId="8" fillId="4" borderId="6">
      <alignment horizontal="right" vertical="center"/>
    </xf>
    <xf numFmtId="10" fontId="8" fillId="4" borderId="6">
      <alignment horizontal="right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35" fillId="25" borderId="10">
      <alignment horizontal="centerContinuous" vertical="center"/>
    </xf>
    <xf numFmtId="165" fontId="9" fillId="3" borderId="3"/>
    <xf numFmtId="165" fontId="9" fillId="19" borderId="5"/>
    <xf numFmtId="171" fontId="9" fillId="3" borderId="3">
      <alignment horizontal="left"/>
    </xf>
    <xf numFmtId="10" fontId="9" fillId="3" borderId="3"/>
    <xf numFmtId="168" fontId="9" fillId="19" borderId="5"/>
    <xf numFmtId="10" fontId="9" fillId="19" borderId="5"/>
    <xf numFmtId="169" fontId="9" fillId="19" borderId="5"/>
    <xf numFmtId="10" fontId="8" fillId="4" borderId="6" applyBorder="0">
      <alignment horizontal="right" vertical="center"/>
    </xf>
    <xf numFmtId="171" fontId="8" fillId="26" borderId="5">
      <alignment vertical="top" wrapText="1"/>
    </xf>
    <xf numFmtId="10" fontId="8" fillId="27" borderId="5" applyFont="0" applyAlignment="0" applyProtection="0"/>
    <xf numFmtId="165" fontId="8" fillId="27" borderId="5" applyFont="0" applyAlignment="0" applyProtection="0"/>
    <xf numFmtId="10" fontId="36" fillId="0" borderId="5" applyAlignment="0" applyProtection="0"/>
    <xf numFmtId="165" fontId="36" fillId="0" borderId="5" applyAlignment="0" applyProtection="0"/>
    <xf numFmtId="10" fontId="11" fillId="0" borderId="5" applyAlignment="0" applyProtection="0"/>
    <xf numFmtId="165" fontId="11" fillId="0" borderId="5" applyAlignment="0" applyProtection="0"/>
    <xf numFmtId="10" fontId="37" fillId="0" borderId="5" applyAlignment="0" applyProtection="0"/>
    <xf numFmtId="165" fontId="37" fillId="0" borderId="5" applyAlignment="0" applyProtection="0"/>
    <xf numFmtId="171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1" fontId="4" fillId="27" borderId="11" applyNumberFormat="0" applyAlignment="0" applyProtection="0"/>
    <xf numFmtId="171" fontId="17" fillId="0" borderId="12" applyNumberFormat="0" applyFill="0" applyAlignment="0" applyProtection="0"/>
    <xf numFmtId="171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14" fillId="31" borderId="0" applyNumberFormat="0" applyBorder="0" applyAlignment="0" applyProtection="0"/>
    <xf numFmtId="171" fontId="14" fillId="26" borderId="0" applyNumberFormat="0" applyBorder="0" applyAlignment="0" applyProtection="0"/>
    <xf numFmtId="171" fontId="14" fillId="32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33" borderId="0" applyNumberFormat="0" applyBorder="0" applyAlignment="0" applyProtection="0"/>
    <xf numFmtId="171" fontId="18" fillId="10" borderId="4" applyNumberFormat="0" applyAlignment="0" applyProtection="0"/>
    <xf numFmtId="171" fontId="7" fillId="0" borderId="0"/>
    <xf numFmtId="170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19" fillId="6" borderId="0" applyNumberFormat="0" applyBorder="0" applyAlignment="0" applyProtection="0"/>
    <xf numFmtId="166" fontId="29" fillId="0" borderId="0" applyFont="0" applyFill="0" applyBorder="0" applyAlignment="0" applyProtection="0"/>
    <xf numFmtId="171" fontId="20" fillId="34" borderId="0" applyNumberFormat="0" applyBorder="0" applyAlignment="0" applyProtection="0"/>
    <xf numFmtId="171" fontId="8" fillId="0" borderId="0"/>
    <xf numFmtId="171" fontId="8" fillId="0" borderId="0"/>
    <xf numFmtId="167" fontId="43" fillId="0" borderId="1">
      <alignment horizontal="center"/>
    </xf>
    <xf numFmtId="171" fontId="6" fillId="35" borderId="2" applyNumberFormat="0" applyFont="0" applyAlignment="0" applyProtection="0"/>
    <xf numFmtId="171" fontId="29" fillId="0" borderId="0">
      <alignment textRotation="255"/>
    </xf>
    <xf numFmtId="17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1" fontId="21" fillId="19" borderId="13" applyNumberFormat="0" applyAlignment="0" applyProtection="0"/>
    <xf numFmtId="38" fontId="29" fillId="0" borderId="0" applyFont="0" applyFill="0" applyBorder="0" applyAlignment="0" applyProtection="0"/>
    <xf numFmtId="171" fontId="29" fillId="0" borderId="0"/>
    <xf numFmtId="171" fontId="22" fillId="0" borderId="0" applyNumberFormat="0" applyFill="0" applyBorder="0" applyAlignment="0" applyProtection="0"/>
    <xf numFmtId="171" fontId="23" fillId="0" borderId="0" applyNumberFormat="0" applyFill="0" applyBorder="0" applyAlignment="0" applyProtection="0"/>
    <xf numFmtId="171" fontId="25" fillId="0" borderId="14" applyNumberFormat="0" applyFill="0" applyAlignment="0" applyProtection="0"/>
    <xf numFmtId="171" fontId="26" fillId="0" borderId="15" applyNumberFormat="0" applyFill="0" applyAlignment="0" applyProtection="0"/>
    <xf numFmtId="171" fontId="27" fillId="0" borderId="16" applyNumberFormat="0" applyFill="0" applyAlignment="0" applyProtection="0"/>
    <xf numFmtId="171" fontId="27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5" fillId="0" borderId="17" applyNumberFormat="0" applyFill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8" fillId="0" borderId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171" fontId="28" fillId="0" borderId="0" applyNumberFormat="0" applyFill="0" applyBorder="0" applyAlignment="0" applyProtection="0">
      <alignment vertical="top"/>
      <protection locked="0"/>
    </xf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9" fillId="3" borderId="3">
      <alignment horizontal="left"/>
    </xf>
    <xf numFmtId="171" fontId="8" fillId="26" borderId="5">
      <alignment vertical="top" wrapText="1"/>
    </xf>
    <xf numFmtId="171" fontId="38" fillId="28" borderId="3">
      <alignment horizontal="left"/>
    </xf>
    <xf numFmtId="171" fontId="39" fillId="0" borderId="0" applyNumberFormat="0" applyFill="0" applyBorder="0" applyAlignment="0" applyProtection="0">
      <alignment vertical="top"/>
      <protection locked="0"/>
    </xf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7" fillId="0" borderId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8" fillId="0" borderId="0"/>
    <xf numFmtId="171" fontId="29" fillId="0" borderId="0">
      <alignment textRotation="255"/>
    </xf>
    <xf numFmtId="43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 applyFill="0" applyProtection="0"/>
    <xf numFmtId="43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43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/>
    <xf numFmtId="171" fontId="3" fillId="0" borderId="0"/>
    <xf numFmtId="171" fontId="3" fillId="5" borderId="0" applyNumberFormat="0" applyBorder="0" applyAlignment="0" applyProtection="0"/>
    <xf numFmtId="171" fontId="3" fillId="6" borderId="0" applyNumberFormat="0" applyBorder="0" applyAlignment="0" applyProtection="0"/>
    <xf numFmtId="171" fontId="3" fillId="7" borderId="0" applyNumberFormat="0" applyBorder="0" applyAlignment="0" applyProtection="0"/>
    <xf numFmtId="171" fontId="3" fillId="8" borderId="0" applyNumberFormat="0" applyBorder="0" applyAlignment="0" applyProtection="0"/>
    <xf numFmtId="171" fontId="3" fillId="9" borderId="0" applyNumberFormat="0" applyBorder="0" applyAlignment="0" applyProtection="0"/>
    <xf numFmtId="171" fontId="3" fillId="10" borderId="0" applyNumberFormat="0" applyBorder="0" applyAlignment="0" applyProtection="0"/>
    <xf numFmtId="171" fontId="3" fillId="11" borderId="0" applyNumberFormat="0" applyBorder="0" applyAlignment="0" applyProtection="0"/>
    <xf numFmtId="171" fontId="3" fillId="12" borderId="0" applyNumberFormat="0" applyBorder="0" applyAlignment="0" applyProtection="0"/>
    <xf numFmtId="171" fontId="3" fillId="13" borderId="0" applyNumberFormat="0" applyBorder="0" applyAlignment="0" applyProtection="0"/>
    <xf numFmtId="171" fontId="3" fillId="8" borderId="0" applyNumberFormat="0" applyBorder="0" applyAlignment="0" applyProtection="0"/>
    <xf numFmtId="171" fontId="3" fillId="11" borderId="0" applyNumberFormat="0" applyBorder="0" applyAlignment="0" applyProtection="0"/>
    <xf numFmtId="171" fontId="3" fillId="14" borderId="0" applyNumberFormat="0" applyBorder="0" applyAlignment="0" applyProtection="0"/>
    <xf numFmtId="171" fontId="31" fillId="21" borderId="20">
      <alignment horizontal="center" textRotation="90"/>
    </xf>
    <xf numFmtId="165" fontId="9" fillId="3" borderId="20"/>
    <xf numFmtId="171" fontId="9" fillId="3" borderId="20">
      <alignment horizontal="left"/>
    </xf>
    <xf numFmtId="10" fontId="9" fillId="3" borderId="20"/>
    <xf numFmtId="171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7" fontId="43" fillId="0" borderId="19">
      <alignment horizontal="center"/>
    </xf>
    <xf numFmtId="171" fontId="3" fillId="35" borderId="18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3" fillId="0" borderId="0"/>
    <xf numFmtId="171" fontId="31" fillId="21" borderId="20">
      <alignment horizontal="center" textRotation="90"/>
    </xf>
    <xf numFmtId="171" fontId="9" fillId="3" borderId="20">
      <alignment horizontal="left"/>
    </xf>
    <xf numFmtId="171" fontId="38" fillId="28" borderId="20">
      <alignment horizontal="left"/>
    </xf>
    <xf numFmtId="43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43" fontId="8" fillId="0" borderId="0" applyFont="0" applyFill="0" applyBorder="0" applyAlignment="0" applyProtection="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3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3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2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3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2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3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2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2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6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7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6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8" fontId="104" fillId="0" borderId="0" xfId="193" applyNumberFormat="1" applyFont="1"/>
    <xf numFmtId="179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7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7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7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6" fontId="104" fillId="36" borderId="56" xfId="193" applyNumberFormat="1" applyFont="1" applyFill="1" applyBorder="1" applyAlignment="1">
      <alignment horizontal="center"/>
    </xf>
    <xf numFmtId="177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7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43" fontId="0" fillId="0" borderId="0" xfId="0" applyNumberFormat="1"/>
    <xf numFmtId="0" fontId="110" fillId="0" borderId="0" xfId="0" applyFont="1" applyAlignment="1">
      <alignment horizontal="center" vertical="center"/>
    </xf>
    <xf numFmtId="172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172" fontId="66" fillId="0" borderId="0" xfId="210" applyNumberFormat="1" applyFont="1" applyAlignment="1">
      <alignment horizontal="center" vertical="center"/>
    </xf>
    <xf numFmtId="172" fontId="0" fillId="0" borderId="0" xfId="21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2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3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3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4" fontId="110" fillId="36" borderId="0" xfId="0" applyNumberFormat="1" applyFont="1" applyFill="1" applyAlignment="1">
      <alignment vertical="center"/>
    </xf>
    <xf numFmtId="180" fontId="115" fillId="36" borderId="0" xfId="0" applyNumberFormat="1" applyFont="1" applyFill="1" applyAlignment="1">
      <alignment horizontal="left" vertical="center"/>
    </xf>
    <xf numFmtId="174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66" fillId="0" borderId="39" xfId="0" quotePrefix="1" applyFont="1" applyBorder="1" applyAlignment="1">
      <alignment horizontal="left" vertical="top" wrapText="1"/>
    </xf>
    <xf numFmtId="0" fontId="117" fillId="0" borderId="39" xfId="0" quotePrefix="1" applyFont="1" applyBorder="1" applyAlignment="1">
      <alignment horizontal="left" vertical="top" wrapText="1"/>
    </xf>
    <xf numFmtId="172" fontId="97" fillId="45" borderId="22" xfId="210" applyNumberFormat="1" applyFont="1" applyFill="1" applyBorder="1" applyAlignment="1">
      <alignment horizontal="center" vertical="center"/>
    </xf>
    <xf numFmtId="172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3" fontId="81" fillId="0" borderId="36" xfId="0" applyNumberFormat="1" applyFont="1" applyBorder="1" applyAlignment="1">
      <alignment horizontal="center" vertical="center"/>
    </xf>
    <xf numFmtId="174" fontId="78" fillId="37" borderId="26" xfId="0" applyNumberFormat="1" applyFont="1" applyFill="1" applyBorder="1" applyAlignment="1">
      <alignment horizontal="left" vertical="center"/>
    </xf>
    <xf numFmtId="174" fontId="78" fillId="37" borderId="27" xfId="0" applyNumberFormat="1" applyFont="1" applyFill="1" applyBorder="1" applyAlignment="1">
      <alignment horizontal="left" vertical="center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49" fontId="0" fillId="0" borderId="36" xfId="0" quotePrefix="1" applyNumberFormat="1" applyBorder="1" applyAlignment="1">
      <alignment horizontal="left" vertical="center" wrapText="1" readingOrder="1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8" fillId="37" borderId="26" xfId="0" applyFont="1" applyFill="1" applyBorder="1" applyAlignment="1">
      <alignment horizontal="right" vertical="center"/>
    </xf>
    <xf numFmtId="14" fontId="78" fillId="37" borderId="26" xfId="0" applyNumberFormat="1" applyFont="1" applyFill="1" applyBorder="1" applyAlignment="1">
      <alignment horizontal="right" vertical="center"/>
    </xf>
    <xf numFmtId="174" fontId="78" fillId="37" borderId="26" xfId="0" applyNumberFormat="1" applyFont="1" applyFill="1" applyBorder="1" applyAlignment="1">
      <alignment horizontal="right" vertical="center"/>
    </xf>
    <xf numFmtId="174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0" fontId="87" fillId="50" borderId="0" xfId="0" applyFont="1" applyFill="1" applyAlignment="1">
      <alignment horizontal="center" vertical="center" wrapText="1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4" fontId="78" fillId="37" borderId="26" xfId="0" applyNumberFormat="1" applyFont="1" applyFill="1" applyBorder="1" applyAlignment="1" applyProtection="1">
      <alignment horizontal="left" vertical="center"/>
      <protection locked="0"/>
    </xf>
    <xf numFmtId="174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" xfId="210" builtinId="3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20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5736.5966844498962</c:v>
                </c:pt>
                <c:pt idx="1">
                  <c:v>4748.0686533746866</c:v>
                </c:pt>
                <c:pt idx="2">
                  <c:v>4684.9938823828816</c:v>
                </c:pt>
                <c:pt idx="3">
                  <c:v>4580.6990681144525</c:v>
                </c:pt>
                <c:pt idx="4">
                  <c:v>4309.8500074180483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24</c:v>
                </c:pt>
                <c:pt idx="1">
                  <c:v>23</c:v>
                </c:pt>
                <c:pt idx="2">
                  <c:v>21</c:v>
                </c:pt>
                <c:pt idx="3">
                  <c:v>1</c:v>
                </c:pt>
                <c:pt idx="4">
                  <c:v>22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3596.9999999999991</c:v>
                </c:pt>
                <c:pt idx="1">
                  <c:v>2638.3999999999996</c:v>
                </c:pt>
                <c:pt idx="2">
                  <c:v>2492.3999999999996</c:v>
                </c:pt>
                <c:pt idx="3">
                  <c:v>1637.28</c:v>
                </c:pt>
                <c:pt idx="4">
                  <c:v>1354.6399999999994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228888</c:v>
                </c:pt>
                <c:pt idx="1">
                  <c:v>240156</c:v>
                </c:pt>
                <c:pt idx="2">
                  <c:v>258952</c:v>
                </c:pt>
                <c:pt idx="3">
                  <c:v>265116</c:v>
                </c:pt>
                <c:pt idx="4">
                  <c:v>273940.80000000005</c:v>
                </c:pt>
                <c:pt idx="5">
                  <c:v>278892</c:v>
                </c:pt>
                <c:pt idx="6">
                  <c:v>269008.45714285714</c:v>
                </c:pt>
                <c:pt idx="7">
                  <c:v>263681.7</c:v>
                </c:pt>
                <c:pt idx="8">
                  <c:v>263468.26666666666</c:v>
                </c:pt>
                <c:pt idx="9">
                  <c:v>259231.44000000003</c:v>
                </c:pt>
                <c:pt idx="10">
                  <c:v>254357.45454545453</c:v>
                </c:pt>
                <c:pt idx="11">
                  <c:v>254183.8</c:v>
                </c:pt>
                <c:pt idx="12">
                  <c:v>256535.26153846155</c:v>
                </c:pt>
                <c:pt idx="13">
                  <c:v>253758</c:v>
                </c:pt>
                <c:pt idx="14">
                  <c:v>254195.84000000003</c:v>
                </c:pt>
                <c:pt idx="15">
                  <c:v>251381.84999999998</c:v>
                </c:pt>
                <c:pt idx="16">
                  <c:v>252070.44705882354</c:v>
                </c:pt>
                <c:pt idx="17">
                  <c:v>253616.66666666669</c:v>
                </c:pt>
                <c:pt idx="18">
                  <c:v>253660.42105263157</c:v>
                </c:pt>
                <c:pt idx="19">
                  <c:v>251447.40000000002</c:v>
                </c:pt>
                <c:pt idx="20">
                  <c:v>249978.85714285713</c:v>
                </c:pt>
                <c:pt idx="21">
                  <c:v>252225.27272727274</c:v>
                </c:pt>
                <c:pt idx="22">
                  <c:v>252590.08695652176</c:v>
                </c:pt>
                <c:pt idx="23">
                  <c:v>262054.4347826087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234403.83402551748</c:v>
                </c:pt>
                <c:pt idx="1">
                  <c:v>252618.30344348963</c:v>
                </c:pt>
                <c:pt idx="2">
                  <c:v>251495.89294625696</c:v>
                </c:pt>
                <c:pt idx="3">
                  <c:v>252569.36778419389</c:v>
                </c:pt>
                <c:pt idx="4">
                  <c:v>253889.02260846429</c:v>
                </c:pt>
                <c:pt idx="5">
                  <c:v>255380.19615385169</c:v>
                </c:pt>
                <c:pt idx="6">
                  <c:v>260507.36830953081</c:v>
                </c:pt>
                <c:pt idx="7">
                  <c:v>259872.55488358688</c:v>
                </c:pt>
                <c:pt idx="8">
                  <c:v>262542.71186107642</c:v>
                </c:pt>
                <c:pt idx="9">
                  <c:v>263928.09443844343</c:v>
                </c:pt>
                <c:pt idx="10">
                  <c:v>266246.8288692385</c:v>
                </c:pt>
                <c:pt idx="11">
                  <c:v>266154.98227373516</c:v>
                </c:pt>
                <c:pt idx="12">
                  <c:v>261511.80775455834</c:v>
                </c:pt>
                <c:pt idx="13">
                  <c:v>258326.38228658854</c:v>
                </c:pt>
                <c:pt idx="14">
                  <c:v>255591.7366748802</c:v>
                </c:pt>
                <c:pt idx="15">
                  <c:v>253505.05638584244</c:v>
                </c:pt>
                <c:pt idx="16">
                  <c:v>258559.09307950072</c:v>
                </c:pt>
                <c:pt idx="17">
                  <c:v>258574.37899465067</c:v>
                </c:pt>
                <c:pt idx="18">
                  <c:v>261681.97273786151</c:v>
                </c:pt>
                <c:pt idx="19">
                  <c:v>266490.8341223083</c:v>
                </c:pt>
                <c:pt idx="20">
                  <c:v>270525.41195708734</c:v>
                </c:pt>
                <c:pt idx="21">
                  <c:v>274278.60474685871</c:v>
                </c:pt>
                <c:pt idx="22">
                  <c:v>277224.5035871453</c:v>
                </c:pt>
                <c:pt idx="23">
                  <c:v>276405.15642926254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234403.83402551748</c:v>
                </c:pt>
                <c:pt idx="1">
                  <c:v>252618.30344348963</c:v>
                </c:pt>
                <c:pt idx="2">
                  <c:v>251495.89294625696</c:v>
                </c:pt>
                <c:pt idx="3">
                  <c:v>252569.36778419389</c:v>
                </c:pt>
                <c:pt idx="4">
                  <c:v>253889.02260846429</c:v>
                </c:pt>
                <c:pt idx="5">
                  <c:v>255380.19615385169</c:v>
                </c:pt>
                <c:pt idx="6">
                  <c:v>260507.36830953081</c:v>
                </c:pt>
                <c:pt idx="7">
                  <c:v>259872.55488358688</c:v>
                </c:pt>
                <c:pt idx="8">
                  <c:v>262542.71186107642</c:v>
                </c:pt>
                <c:pt idx="9">
                  <c:v>263928.09443844343</c:v>
                </c:pt>
                <c:pt idx="10">
                  <c:v>266246.8288692385</c:v>
                </c:pt>
                <c:pt idx="11">
                  <c:v>266154.98227373516</c:v>
                </c:pt>
                <c:pt idx="12">
                  <c:v>261511.80775455834</c:v>
                </c:pt>
                <c:pt idx="13">
                  <c:v>258326.38228658854</c:v>
                </c:pt>
                <c:pt idx="14">
                  <c:v>255591.7366748802</c:v>
                </c:pt>
                <c:pt idx="15">
                  <c:v>253505.05638584244</c:v>
                </c:pt>
                <c:pt idx="16">
                  <c:v>258559.09307950072</c:v>
                </c:pt>
                <c:pt idx="17">
                  <c:v>258574.37899465067</c:v>
                </c:pt>
                <c:pt idx="18">
                  <c:v>261681.97273786151</c:v>
                </c:pt>
                <c:pt idx="19">
                  <c:v>266490.8341223083</c:v>
                </c:pt>
                <c:pt idx="20">
                  <c:v>270525.41195708734</c:v>
                </c:pt>
                <c:pt idx="21">
                  <c:v>274278.60474685871</c:v>
                </c:pt>
                <c:pt idx="22">
                  <c:v>277224.5035871453</c:v>
                </c:pt>
                <c:pt idx="23">
                  <c:v>276405.15642926254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228888</c:v>
                </c:pt>
                <c:pt idx="1">
                  <c:v>240156</c:v>
                </c:pt>
                <c:pt idx="2">
                  <c:v>258952</c:v>
                </c:pt>
                <c:pt idx="3">
                  <c:v>265116</c:v>
                </c:pt>
                <c:pt idx="4">
                  <c:v>273940.80000000005</c:v>
                </c:pt>
                <c:pt idx="5">
                  <c:v>278892</c:v>
                </c:pt>
                <c:pt idx="6">
                  <c:v>269008.45714285714</c:v>
                </c:pt>
                <c:pt idx="7">
                  <c:v>263681.7</c:v>
                </c:pt>
                <c:pt idx="8">
                  <c:v>263468.26666666666</c:v>
                </c:pt>
                <c:pt idx="9">
                  <c:v>259231.44000000003</c:v>
                </c:pt>
                <c:pt idx="10">
                  <c:v>254357.45454545453</c:v>
                </c:pt>
                <c:pt idx="11">
                  <c:v>254183.8</c:v>
                </c:pt>
                <c:pt idx="12">
                  <c:v>256535.26153846155</c:v>
                </c:pt>
                <c:pt idx="13">
                  <c:v>253758</c:v>
                </c:pt>
                <c:pt idx="14">
                  <c:v>254195.84000000003</c:v>
                </c:pt>
                <c:pt idx="15">
                  <c:v>251381.84999999998</c:v>
                </c:pt>
                <c:pt idx="16">
                  <c:v>252070.44705882354</c:v>
                </c:pt>
                <c:pt idx="17">
                  <c:v>253616.66666666669</c:v>
                </c:pt>
                <c:pt idx="18">
                  <c:v>253660.42105263157</c:v>
                </c:pt>
                <c:pt idx="19">
                  <c:v>251447.40000000002</c:v>
                </c:pt>
                <c:pt idx="20">
                  <c:v>249978.85714285713</c:v>
                </c:pt>
                <c:pt idx="21">
                  <c:v>252225.27272727274</c:v>
                </c:pt>
                <c:pt idx="22">
                  <c:v>252590.08695652176</c:v>
                </c:pt>
                <c:pt idx="23">
                  <c:v>262054.4347826087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194099.11402551748</c:v>
                </c:pt>
                <c:pt idx="1">
                  <c:v>223248.94344348958</c:v>
                </c:pt>
                <c:pt idx="2">
                  <c:v>223873.73294625693</c:v>
                </c:pt>
                <c:pt idx="3">
                  <c:v>223511.76778419389</c:v>
                </c:pt>
                <c:pt idx="4">
                  <c:v>223471.3426084643</c:v>
                </c:pt>
                <c:pt idx="5">
                  <c:v>227167.63615385164</c:v>
                </c:pt>
                <c:pt idx="6">
                  <c:v>229958.03116667364</c:v>
                </c:pt>
                <c:pt idx="7">
                  <c:v>227947.9148835869</c:v>
                </c:pt>
                <c:pt idx="8">
                  <c:v>228915.75186107639</c:v>
                </c:pt>
                <c:pt idx="9">
                  <c:v>229508.65443844348</c:v>
                </c:pt>
                <c:pt idx="10">
                  <c:v>229708.36341469307</c:v>
                </c:pt>
                <c:pt idx="11">
                  <c:v>230399.22227373515</c:v>
                </c:pt>
                <c:pt idx="12">
                  <c:v>226418.33698532759</c:v>
                </c:pt>
                <c:pt idx="13">
                  <c:v>221603.14800087429</c:v>
                </c:pt>
                <c:pt idx="14">
                  <c:v>216590.8886748802</c:v>
                </c:pt>
                <c:pt idx="15">
                  <c:v>213788.93638584239</c:v>
                </c:pt>
                <c:pt idx="16">
                  <c:v>216015.25778538303</c:v>
                </c:pt>
                <c:pt idx="17">
                  <c:v>215522.2989946506</c:v>
                </c:pt>
                <c:pt idx="18">
                  <c:v>216658.75168522989</c:v>
                </c:pt>
                <c:pt idx="19">
                  <c:v>218422.93012230826</c:v>
                </c:pt>
                <c:pt idx="20">
                  <c:v>219905.90338565875</c:v>
                </c:pt>
                <c:pt idx="21">
                  <c:v>221267.19383776776</c:v>
                </c:pt>
                <c:pt idx="22">
                  <c:v>221897.9540219279</c:v>
                </c:pt>
                <c:pt idx="23">
                  <c:v>219177.79642926253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195240</c:v>
                </c:pt>
                <c:pt idx="1">
                  <c:v>184512</c:v>
                </c:pt>
                <c:pt idx="2">
                  <c:v>192784</c:v>
                </c:pt>
                <c:pt idx="3">
                  <c:v>197706</c:v>
                </c:pt>
                <c:pt idx="4">
                  <c:v>197064</c:v>
                </c:pt>
                <c:pt idx="5">
                  <c:v>201320</c:v>
                </c:pt>
                <c:pt idx="6">
                  <c:v>197461.02857142861</c:v>
                </c:pt>
                <c:pt idx="7">
                  <c:v>192398.7</c:v>
                </c:pt>
                <c:pt idx="8">
                  <c:v>184654.93333333335</c:v>
                </c:pt>
                <c:pt idx="9">
                  <c:v>178680.24</c:v>
                </c:pt>
                <c:pt idx="10">
                  <c:v>173278.90909090909</c:v>
                </c:pt>
                <c:pt idx="11">
                  <c:v>172055.8</c:v>
                </c:pt>
                <c:pt idx="12">
                  <c:v>172238.03076923077</c:v>
                </c:pt>
                <c:pt idx="13">
                  <c:v>169883.14285714284</c:v>
                </c:pt>
                <c:pt idx="14">
                  <c:v>168109.43999999997</c:v>
                </c:pt>
                <c:pt idx="15">
                  <c:v>165676.34999999998</c:v>
                </c:pt>
                <c:pt idx="16">
                  <c:v>164648.32941176469</c:v>
                </c:pt>
                <c:pt idx="17">
                  <c:v>166084.66666666663</c:v>
                </c:pt>
                <c:pt idx="18">
                  <c:v>166172.84210526315</c:v>
                </c:pt>
                <c:pt idx="19">
                  <c:v>163577.40000000002</c:v>
                </c:pt>
                <c:pt idx="20">
                  <c:v>163422.28571428571</c:v>
                </c:pt>
                <c:pt idx="21">
                  <c:v>165049.63636363635</c:v>
                </c:pt>
                <c:pt idx="22">
                  <c:v>166974.78260869565</c:v>
                </c:pt>
                <c:pt idx="23">
                  <c:v>175847.47826086957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39294.720000000001</c:v>
                </c:pt>
                <c:pt idx="1">
                  <c:v>28359.359999999997</c:v>
                </c:pt>
                <c:pt idx="2">
                  <c:v>26612.159999999996</c:v>
                </c:pt>
                <c:pt idx="3">
                  <c:v>28047.599999999999</c:v>
                </c:pt>
                <c:pt idx="4">
                  <c:v>29407.68</c:v>
                </c:pt>
                <c:pt idx="5">
                  <c:v>27202.559999999998</c:v>
                </c:pt>
                <c:pt idx="6">
                  <c:v>29539.337142857141</c:v>
                </c:pt>
                <c:pt idx="7">
                  <c:v>30914.639999999999</c:v>
                </c:pt>
                <c:pt idx="8">
                  <c:v>32616.959999999999</c:v>
                </c:pt>
                <c:pt idx="9">
                  <c:v>33409.440000000002</c:v>
                </c:pt>
                <c:pt idx="10">
                  <c:v>35528.465454545447</c:v>
                </c:pt>
                <c:pt idx="11">
                  <c:v>34745.759999999995</c:v>
                </c:pt>
                <c:pt idx="12">
                  <c:v>34083.470769230764</c:v>
                </c:pt>
                <c:pt idx="13">
                  <c:v>35713.234285714279</c:v>
                </c:pt>
                <c:pt idx="14">
                  <c:v>37990.847999999998</c:v>
                </c:pt>
                <c:pt idx="15">
                  <c:v>38706.119999999995</c:v>
                </c:pt>
                <c:pt idx="16">
                  <c:v>41533.835294117642</c:v>
                </c:pt>
                <c:pt idx="17">
                  <c:v>42042.079999999994</c:v>
                </c:pt>
                <c:pt idx="18">
                  <c:v>44013.221052631576</c:v>
                </c:pt>
                <c:pt idx="19">
                  <c:v>47057.903999999995</c:v>
                </c:pt>
                <c:pt idx="20">
                  <c:v>49609.508571428567</c:v>
                </c:pt>
                <c:pt idx="21">
                  <c:v>52001.410909090904</c:v>
                </c:pt>
                <c:pt idx="22">
                  <c:v>54316.549565217385</c:v>
                </c:pt>
                <c:pt idx="23">
                  <c:v>56217.36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24276</c:v>
                </c:pt>
                <c:pt idx="2">
                  <c:v>38632</c:v>
                </c:pt>
                <c:pt idx="3">
                  <c:v>44730</c:v>
                </c:pt>
                <c:pt idx="4">
                  <c:v>46756.800000000003</c:v>
                </c:pt>
                <c:pt idx="5">
                  <c:v>46648</c:v>
                </c:pt>
                <c:pt idx="6">
                  <c:v>45041.142857142855</c:v>
                </c:pt>
                <c:pt idx="7">
                  <c:v>45147</c:v>
                </c:pt>
                <c:pt idx="8">
                  <c:v>51034.666666666664</c:v>
                </c:pt>
                <c:pt idx="9">
                  <c:v>53875.200000000004</c:v>
                </c:pt>
                <c:pt idx="10">
                  <c:v>56437.090909090912</c:v>
                </c:pt>
                <c:pt idx="11">
                  <c:v>59270</c:v>
                </c:pt>
                <c:pt idx="12">
                  <c:v>63197.538461538454</c:v>
                </c:pt>
                <c:pt idx="13">
                  <c:v>63138.857142857145</c:v>
                </c:pt>
                <c:pt idx="14">
                  <c:v>65532.800000000003</c:v>
                </c:pt>
                <c:pt idx="15">
                  <c:v>65535</c:v>
                </c:pt>
                <c:pt idx="16">
                  <c:v>68371.76470588235</c:v>
                </c:pt>
                <c:pt idx="17">
                  <c:v>69332</c:v>
                </c:pt>
                <c:pt idx="18">
                  <c:v>70245.473684210534</c:v>
                </c:pt>
                <c:pt idx="19">
                  <c:v>71412</c:v>
                </c:pt>
                <c:pt idx="20">
                  <c:v>69955.42857142858</c:v>
                </c:pt>
                <c:pt idx="21">
                  <c:v>69944.727272727279</c:v>
                </c:pt>
                <c:pt idx="22">
                  <c:v>68726.608695652176</c:v>
                </c:pt>
                <c:pt idx="23">
                  <c:v>69318.260869565216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39294.720000000001</c:v>
                </c:pt>
                <c:pt idx="1">
                  <c:v>28359.359999999997</c:v>
                </c:pt>
                <c:pt idx="2">
                  <c:v>26612.159999999996</c:v>
                </c:pt>
                <c:pt idx="3">
                  <c:v>28047.599999999999</c:v>
                </c:pt>
                <c:pt idx="4">
                  <c:v>29407.68</c:v>
                </c:pt>
                <c:pt idx="5">
                  <c:v>27202.559999999998</c:v>
                </c:pt>
                <c:pt idx="6">
                  <c:v>29539.337142857141</c:v>
                </c:pt>
                <c:pt idx="7">
                  <c:v>30914.639999999999</c:v>
                </c:pt>
                <c:pt idx="8">
                  <c:v>32616.959999999999</c:v>
                </c:pt>
                <c:pt idx="9">
                  <c:v>33409.440000000002</c:v>
                </c:pt>
                <c:pt idx="10">
                  <c:v>35528.465454545447</c:v>
                </c:pt>
                <c:pt idx="11">
                  <c:v>34745.759999999995</c:v>
                </c:pt>
                <c:pt idx="12">
                  <c:v>34083.470769230764</c:v>
                </c:pt>
                <c:pt idx="13">
                  <c:v>35713.234285714279</c:v>
                </c:pt>
                <c:pt idx="14">
                  <c:v>37990.847999999998</c:v>
                </c:pt>
                <c:pt idx="15">
                  <c:v>38706.119999999995</c:v>
                </c:pt>
                <c:pt idx="16">
                  <c:v>41533.835294117642</c:v>
                </c:pt>
                <c:pt idx="17">
                  <c:v>42042.079999999994</c:v>
                </c:pt>
                <c:pt idx="18">
                  <c:v>44013.221052631576</c:v>
                </c:pt>
                <c:pt idx="19">
                  <c:v>47057.903999999995</c:v>
                </c:pt>
                <c:pt idx="20">
                  <c:v>49609.508571428567</c:v>
                </c:pt>
                <c:pt idx="21">
                  <c:v>52001.410909090904</c:v>
                </c:pt>
                <c:pt idx="22">
                  <c:v>54316.549565217385</c:v>
                </c:pt>
                <c:pt idx="23">
                  <c:v>56217.36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24276</c:v>
                </c:pt>
                <c:pt idx="2">
                  <c:v>38632</c:v>
                </c:pt>
                <c:pt idx="3">
                  <c:v>44730</c:v>
                </c:pt>
                <c:pt idx="4">
                  <c:v>46756.800000000003</c:v>
                </c:pt>
                <c:pt idx="5">
                  <c:v>46648</c:v>
                </c:pt>
                <c:pt idx="6">
                  <c:v>45041.142857142855</c:v>
                </c:pt>
                <c:pt idx="7">
                  <c:v>45147</c:v>
                </c:pt>
                <c:pt idx="8">
                  <c:v>51034.666666666664</c:v>
                </c:pt>
                <c:pt idx="9">
                  <c:v>53875.200000000004</c:v>
                </c:pt>
                <c:pt idx="10">
                  <c:v>56437.090909090912</c:v>
                </c:pt>
                <c:pt idx="11">
                  <c:v>59270</c:v>
                </c:pt>
                <c:pt idx="12">
                  <c:v>63197.538461538454</c:v>
                </c:pt>
                <c:pt idx="13">
                  <c:v>63138.857142857145</c:v>
                </c:pt>
                <c:pt idx="14">
                  <c:v>65532.800000000003</c:v>
                </c:pt>
                <c:pt idx="15">
                  <c:v>65535</c:v>
                </c:pt>
                <c:pt idx="16">
                  <c:v>68371.76470588235</c:v>
                </c:pt>
                <c:pt idx="17">
                  <c:v>69332</c:v>
                </c:pt>
                <c:pt idx="18">
                  <c:v>70245.473684210534</c:v>
                </c:pt>
                <c:pt idx="19">
                  <c:v>71412</c:v>
                </c:pt>
                <c:pt idx="20">
                  <c:v>69955.42857142858</c:v>
                </c:pt>
                <c:pt idx="21">
                  <c:v>69944.727272727279</c:v>
                </c:pt>
                <c:pt idx="22">
                  <c:v>68726.608695652176</c:v>
                </c:pt>
                <c:pt idx="23">
                  <c:v>69318.260869565216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33120</c:v>
                </c:pt>
                <c:pt idx="1">
                  <c:v>29880</c:v>
                </c:pt>
                <c:pt idx="2">
                  <c:v>25280</c:v>
                </c:pt>
                <c:pt idx="3">
                  <c:v>20220</c:v>
                </c:pt>
                <c:pt idx="4">
                  <c:v>27408</c:v>
                </c:pt>
                <c:pt idx="5">
                  <c:v>28360</c:v>
                </c:pt>
                <c:pt idx="6">
                  <c:v>24308.571428571428</c:v>
                </c:pt>
                <c:pt idx="7">
                  <c:v>24150</c:v>
                </c:pt>
                <c:pt idx="8">
                  <c:v>25653.333333333336</c:v>
                </c:pt>
                <c:pt idx="9">
                  <c:v>24312</c:v>
                </c:pt>
                <c:pt idx="10">
                  <c:v>22101.81818181818</c:v>
                </c:pt>
                <c:pt idx="11">
                  <c:v>20400</c:v>
                </c:pt>
                <c:pt idx="12">
                  <c:v>18830.76923076923</c:v>
                </c:pt>
                <c:pt idx="13">
                  <c:v>18445.714285714286</c:v>
                </c:pt>
                <c:pt idx="14">
                  <c:v>18144</c:v>
                </c:pt>
                <c:pt idx="15">
                  <c:v>17775</c:v>
                </c:pt>
                <c:pt idx="16">
                  <c:v>16729.411764705881</c:v>
                </c:pt>
                <c:pt idx="17">
                  <c:v>15800</c:v>
                </c:pt>
                <c:pt idx="18">
                  <c:v>14968.42105263158</c:v>
                </c:pt>
                <c:pt idx="19">
                  <c:v>14220</c:v>
                </c:pt>
                <c:pt idx="20">
                  <c:v>14468.571428571429</c:v>
                </c:pt>
                <c:pt idx="21">
                  <c:v>15174.545454545454</c:v>
                </c:pt>
                <c:pt idx="22">
                  <c:v>14921.739130434784</c:v>
                </c:pt>
                <c:pt idx="23">
                  <c:v>14921.739130434784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1009.9999999999998</c:v>
                </c:pt>
                <c:pt idx="1">
                  <c:v>1009.9999999999998</c:v>
                </c:pt>
                <c:pt idx="2">
                  <c:v>1009.9999999999998</c:v>
                </c:pt>
                <c:pt idx="3">
                  <c:v>1009.9999999999998</c:v>
                </c:pt>
                <c:pt idx="4">
                  <c:v>1009.9999999999998</c:v>
                </c:pt>
                <c:pt idx="5">
                  <c:v>1009.9999999999998</c:v>
                </c:pt>
                <c:pt idx="6">
                  <c:v>1009.9999999999998</c:v>
                </c:pt>
                <c:pt idx="7">
                  <c:v>1009.9999999999998</c:v>
                </c:pt>
                <c:pt idx="8">
                  <c:v>1009.9999999999998</c:v>
                </c:pt>
                <c:pt idx="9">
                  <c:v>1009.9999999999998</c:v>
                </c:pt>
                <c:pt idx="10">
                  <c:v>1009.9999999999998</c:v>
                </c:pt>
                <c:pt idx="11">
                  <c:v>1009.9999999999998</c:v>
                </c:pt>
                <c:pt idx="12">
                  <c:v>1009.9999999999998</c:v>
                </c:pt>
                <c:pt idx="13">
                  <c:v>1009.9999999999998</c:v>
                </c:pt>
                <c:pt idx="14">
                  <c:v>1009.9999999999999</c:v>
                </c:pt>
                <c:pt idx="15">
                  <c:v>1009.9999999999999</c:v>
                </c:pt>
                <c:pt idx="16">
                  <c:v>1009.9999999999999</c:v>
                </c:pt>
                <c:pt idx="17">
                  <c:v>1010</c:v>
                </c:pt>
                <c:pt idx="18">
                  <c:v>1010</c:v>
                </c:pt>
                <c:pt idx="19">
                  <c:v>1010</c:v>
                </c:pt>
                <c:pt idx="20">
                  <c:v>1010</c:v>
                </c:pt>
                <c:pt idx="21">
                  <c:v>1010.0000000000002</c:v>
                </c:pt>
                <c:pt idx="22">
                  <c:v>1010.0000000000002</c:v>
                </c:pt>
                <c:pt idx="23">
                  <c:v>1010.0000000000002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528</c:v>
                </c:pt>
                <c:pt idx="1">
                  <c:v>1488</c:v>
                </c:pt>
                <c:pt idx="2">
                  <c:v>2256</c:v>
                </c:pt>
                <c:pt idx="3">
                  <c:v>2460</c:v>
                </c:pt>
                <c:pt idx="4">
                  <c:v>2712</c:v>
                </c:pt>
                <c:pt idx="5">
                  <c:v>2564</c:v>
                </c:pt>
                <c:pt idx="6">
                  <c:v>2197.7142857142858</c:v>
                </c:pt>
                <c:pt idx="7">
                  <c:v>1986</c:v>
                </c:pt>
                <c:pt idx="8">
                  <c:v>2125.3333333333335</c:v>
                </c:pt>
                <c:pt idx="9">
                  <c:v>2364</c:v>
                </c:pt>
                <c:pt idx="10">
                  <c:v>2539.6363636363635</c:v>
                </c:pt>
                <c:pt idx="11">
                  <c:v>2458</c:v>
                </c:pt>
                <c:pt idx="12">
                  <c:v>2268.9230769230767</c:v>
                </c:pt>
                <c:pt idx="13">
                  <c:v>2290.2857142857142</c:v>
                </c:pt>
                <c:pt idx="14">
                  <c:v>2409.6000000000004</c:v>
                </c:pt>
                <c:pt idx="15">
                  <c:v>2395.5</c:v>
                </c:pt>
                <c:pt idx="16">
                  <c:v>2320.9411764705883</c:v>
                </c:pt>
                <c:pt idx="17">
                  <c:v>2400</c:v>
                </c:pt>
                <c:pt idx="18">
                  <c:v>2273.6842105263158</c:v>
                </c:pt>
                <c:pt idx="19">
                  <c:v>2238</c:v>
                </c:pt>
                <c:pt idx="20">
                  <c:v>2132.5714285714284</c:v>
                </c:pt>
                <c:pt idx="21">
                  <c:v>2056.3636363636365</c:v>
                </c:pt>
                <c:pt idx="22">
                  <c:v>1966.9565217391305</c:v>
                </c:pt>
                <c:pt idx="23">
                  <c:v>1966.9565217391305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9766.8264177298952</c:v>
                </c:pt>
                <c:pt idx="1">
                  <c:v>11284.698869227572</c:v>
                </c:pt>
                <c:pt idx="2">
                  <c:v>10385.461331324654</c:v>
                </c:pt>
                <c:pt idx="3">
                  <c:v>10657.908012416861</c:v>
                </c:pt>
                <c:pt idx="4">
                  <c:v>10798.651746064419</c:v>
                </c:pt>
                <c:pt idx="5">
                  <c:v>10951.502661699522</c:v>
                </c:pt>
                <c:pt idx="6">
                  <c:v>12136.266718483566</c:v>
                </c:pt>
                <c:pt idx="7">
                  <c:v>10642.869204249138</c:v>
                </c:pt>
                <c:pt idx="8">
                  <c:v>11829.331986708021</c:v>
                </c:pt>
                <c:pt idx="9">
                  <c:v>11516.522401447786</c:v>
                </c:pt>
                <c:pt idx="10">
                  <c:v>12059.757215716216</c:v>
                </c:pt>
                <c:pt idx="11">
                  <c:v>11047.694571799924</c:v>
                </c:pt>
                <c:pt idx="12">
                  <c:v>8574.7380635181999</c:v>
                </c:pt>
                <c:pt idx="13">
                  <c:v>9038.1604667908905</c:v>
                </c:pt>
                <c:pt idx="14">
                  <c:v>9054.4457546234753</c:v>
                </c:pt>
                <c:pt idx="15">
                  <c:v>9258.5355020947918</c:v>
                </c:pt>
                <c:pt idx="16">
                  <c:v>14142.653340751382</c:v>
                </c:pt>
                <c:pt idx="17">
                  <c:v>10784.759981341655</c:v>
                </c:pt>
                <c:pt idx="18">
                  <c:v>13234.110838152366</c:v>
                </c:pt>
                <c:pt idx="19">
                  <c:v>14910.800017783229</c:v>
                </c:pt>
                <c:pt idx="20">
                  <c:v>14634.040360527848</c:v>
                </c:pt>
                <c:pt idx="21">
                  <c:v>14712.318888835702</c:v>
                </c:pt>
                <c:pt idx="22">
                  <c:v>14251.428253060463</c:v>
                </c:pt>
                <c:pt idx="23">
                  <c:v>10731.673824914944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9537</c:v>
                </c:pt>
                <c:pt idx="1">
                  <c:v>10476</c:v>
                </c:pt>
                <c:pt idx="2">
                  <c:v>12356</c:v>
                </c:pt>
                <c:pt idx="3">
                  <c:v>11817</c:v>
                </c:pt>
                <c:pt idx="4">
                  <c:v>12885</c:v>
                </c:pt>
                <c:pt idx="5">
                  <c:v>12652</c:v>
                </c:pt>
                <c:pt idx="6">
                  <c:v>8737.7999999999993</c:v>
                </c:pt>
                <c:pt idx="7">
                  <c:v>9433.1</c:v>
                </c:pt>
                <c:pt idx="8">
                  <c:v>10906.7</c:v>
                </c:pt>
                <c:pt idx="9">
                  <c:v>9212.5</c:v>
                </c:pt>
                <c:pt idx="10">
                  <c:v>8567.4</c:v>
                </c:pt>
                <c:pt idx="11">
                  <c:v>10511.4</c:v>
                </c:pt>
                <c:pt idx="12">
                  <c:v>11864.7</c:v>
                </c:pt>
                <c:pt idx="13">
                  <c:v>9068.9</c:v>
                </c:pt>
                <c:pt idx="14">
                  <c:v>10846.9</c:v>
                </c:pt>
                <c:pt idx="15">
                  <c:v>8715.5</c:v>
                </c:pt>
                <c:pt idx="16">
                  <c:v>10962</c:v>
                </c:pt>
                <c:pt idx="17">
                  <c:v>11662.6</c:v>
                </c:pt>
                <c:pt idx="18">
                  <c:v>10602</c:v>
                </c:pt>
                <c:pt idx="19">
                  <c:v>8725</c:v>
                </c:pt>
                <c:pt idx="20">
                  <c:v>9192</c:v>
                </c:pt>
                <c:pt idx="21">
                  <c:v>12475</c:v>
                </c:pt>
                <c:pt idx="22">
                  <c:v>10859</c:v>
                </c:pt>
                <c:pt idx="23">
                  <c:v>9070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262153.7281762021</c:v>
                </c:pt>
                <c:pt idx="26">
                  <c:v>276405.15642926254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251135.5</c:v>
                </c:pt>
                <c:pt idx="26">
                  <c:v>183067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20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5736.5966844498962</c:v>
                </c:pt>
                <c:pt idx="1">
                  <c:v>4748.0686533746866</c:v>
                </c:pt>
                <c:pt idx="2">
                  <c:v>4684.9938823828816</c:v>
                </c:pt>
                <c:pt idx="3">
                  <c:v>4580.6990681144525</c:v>
                </c:pt>
                <c:pt idx="4">
                  <c:v>4309.8500074180483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24</c:v>
                </c:pt>
                <c:pt idx="1">
                  <c:v>23</c:v>
                </c:pt>
                <c:pt idx="2">
                  <c:v>21</c:v>
                </c:pt>
                <c:pt idx="3">
                  <c:v>1</c:v>
                </c:pt>
                <c:pt idx="4">
                  <c:v>22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3596.9999999999991</c:v>
                </c:pt>
                <c:pt idx="1">
                  <c:v>2638.3999999999996</c:v>
                </c:pt>
                <c:pt idx="2">
                  <c:v>2492.3999999999996</c:v>
                </c:pt>
                <c:pt idx="3">
                  <c:v>1637.28</c:v>
                </c:pt>
                <c:pt idx="4">
                  <c:v>1354.6399999999994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8087.4630843965615</c:v>
                </c:pt>
                <c:pt idx="1">
                  <c:v>10516.615535894238</c:v>
                </c:pt>
                <c:pt idx="2">
                  <c:v>9380.1379979913199</c:v>
                </c:pt>
                <c:pt idx="3">
                  <c:v>9267.7446790835274</c:v>
                </c:pt>
                <c:pt idx="4">
                  <c:v>9304.5684127310851</c:v>
                </c:pt>
                <c:pt idx="5">
                  <c:v>10235.379328366189</c:v>
                </c:pt>
                <c:pt idx="6">
                  <c:v>10279.183385150232</c:v>
                </c:pt>
                <c:pt idx="7">
                  <c:v>8911.5458709158047</c:v>
                </c:pt>
                <c:pt idx="8">
                  <c:v>9860.7686533746873</c:v>
                </c:pt>
                <c:pt idx="9">
                  <c:v>9785.1990681144525</c:v>
                </c:pt>
                <c:pt idx="10">
                  <c:v>9654.3938823828812</c:v>
                </c:pt>
                <c:pt idx="11">
                  <c:v>9916.6112384665903</c:v>
                </c:pt>
                <c:pt idx="12">
                  <c:v>7443.6547301848668</c:v>
                </c:pt>
                <c:pt idx="13">
                  <c:v>6625.2371334575564</c:v>
                </c:pt>
                <c:pt idx="14">
                  <c:v>6100.802421290141</c:v>
                </c:pt>
                <c:pt idx="15">
                  <c:v>7156.6521687614586</c:v>
                </c:pt>
                <c:pt idx="16">
                  <c:v>10484.850007418048</c:v>
                </c:pt>
                <c:pt idx="17">
                  <c:v>8630.9166480083204</c:v>
                </c:pt>
                <c:pt idx="18">
                  <c:v>9879.7875048190326</c:v>
                </c:pt>
                <c:pt idx="19">
                  <c:v>10497.596684449896</c:v>
                </c:pt>
                <c:pt idx="20">
                  <c:v>10398.557027194514</c:v>
                </c:pt>
                <c:pt idx="21">
                  <c:v>10410.595555502368</c:v>
                </c:pt>
                <c:pt idx="22">
                  <c:v>9823.9449197271297</c:v>
                </c:pt>
                <c:pt idx="23">
                  <c:v>6525.59049158161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8135</c:v>
                </c:pt>
                <c:pt idx="1">
                  <c:v>7241</c:v>
                </c:pt>
                <c:pt idx="2">
                  <c:v>8722</c:v>
                </c:pt>
                <c:pt idx="3">
                  <c:v>8853</c:v>
                </c:pt>
                <c:pt idx="4">
                  <c:v>8104</c:v>
                </c:pt>
                <c:pt idx="5">
                  <c:v>9275</c:v>
                </c:pt>
                <c:pt idx="6">
                  <c:v>7262.7999999999993</c:v>
                </c:pt>
                <c:pt idx="7">
                  <c:v>6540.1</c:v>
                </c:pt>
                <c:pt idx="8">
                  <c:v>5112.7000000000007</c:v>
                </c:pt>
                <c:pt idx="9">
                  <c:v>5204.5</c:v>
                </c:pt>
                <c:pt idx="10">
                  <c:v>4969.3999999999996</c:v>
                </c:pt>
                <c:pt idx="11">
                  <c:v>6608.4</c:v>
                </c:pt>
                <c:pt idx="12">
                  <c:v>7267.7000000000007</c:v>
                </c:pt>
                <c:pt idx="13">
                  <c:v>5802.9</c:v>
                </c:pt>
                <c:pt idx="14">
                  <c:v>5969.9</c:v>
                </c:pt>
                <c:pt idx="15">
                  <c:v>5382.5</c:v>
                </c:pt>
                <c:pt idx="16">
                  <c:v>6175</c:v>
                </c:pt>
                <c:pt idx="17">
                  <c:v>7937.6</c:v>
                </c:pt>
                <c:pt idx="18">
                  <c:v>6990</c:v>
                </c:pt>
                <c:pt idx="19">
                  <c:v>4761</c:v>
                </c:pt>
                <c:pt idx="20">
                  <c:v>6680</c:v>
                </c:pt>
                <c:pt idx="21">
                  <c:v>8301</c:v>
                </c:pt>
                <c:pt idx="22">
                  <c:v>8722</c:v>
                </c:pt>
                <c:pt idx="23">
                  <c:v>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219177.79642926253</c:v>
                </c:pt>
                <c:pt idx="26">
                  <c:v>219177.79642926253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168520.5</c:v>
                </c:pt>
                <c:pt idx="26">
                  <c:v>166000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1637.28</c:v>
                </c:pt>
                <c:pt idx="1">
                  <c:v>726</c:v>
                </c:pt>
                <c:pt idx="2">
                  <c:v>963.24</c:v>
                </c:pt>
                <c:pt idx="3">
                  <c:v>1348.08</c:v>
                </c:pt>
                <c:pt idx="4">
                  <c:v>1452</c:v>
                </c:pt>
                <c:pt idx="5">
                  <c:v>674.04</c:v>
                </c:pt>
                <c:pt idx="6">
                  <c:v>1815</c:v>
                </c:pt>
                <c:pt idx="7">
                  <c:v>1689.24</c:v>
                </c:pt>
                <c:pt idx="8">
                  <c:v>1926.48</c:v>
                </c:pt>
                <c:pt idx="9">
                  <c:v>1689.24</c:v>
                </c:pt>
                <c:pt idx="10">
                  <c:v>2363.2799999999997</c:v>
                </c:pt>
                <c:pt idx="11">
                  <c:v>1089</c:v>
                </c:pt>
                <c:pt idx="12">
                  <c:v>1089</c:v>
                </c:pt>
                <c:pt idx="13">
                  <c:v>2370.84</c:v>
                </c:pt>
                <c:pt idx="14">
                  <c:v>2911.5599999999995</c:v>
                </c:pt>
                <c:pt idx="15">
                  <c:v>2059.8000000000002</c:v>
                </c:pt>
                <c:pt idx="16">
                  <c:v>3615.7199999999993</c:v>
                </c:pt>
                <c:pt idx="17">
                  <c:v>2111.7600000000002</c:v>
                </c:pt>
                <c:pt idx="18">
                  <c:v>3312.24</c:v>
                </c:pt>
                <c:pt idx="19">
                  <c:v>4371.119999999999</c:v>
                </c:pt>
                <c:pt idx="20">
                  <c:v>4193.3999999999996</c:v>
                </c:pt>
                <c:pt idx="21">
                  <c:v>4259.6399999999994</c:v>
                </c:pt>
                <c:pt idx="22">
                  <c:v>4385.3999999999996</c:v>
                </c:pt>
                <c:pt idx="23">
                  <c:v>4163.9999999999991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0</c:v>
                </c:pt>
                <c:pt idx="1">
                  <c:v>2023</c:v>
                </c:pt>
                <c:pt idx="2">
                  <c:v>2806</c:v>
                </c:pt>
                <c:pt idx="3">
                  <c:v>2626</c:v>
                </c:pt>
                <c:pt idx="4">
                  <c:v>2286</c:v>
                </c:pt>
                <c:pt idx="5">
                  <c:v>1921</c:v>
                </c:pt>
                <c:pt idx="6">
                  <c:v>1475</c:v>
                </c:pt>
                <c:pt idx="7">
                  <c:v>1912</c:v>
                </c:pt>
                <c:pt idx="8">
                  <c:v>4089</c:v>
                </c:pt>
                <c:pt idx="9">
                  <c:v>3310</c:v>
                </c:pt>
                <c:pt idx="10">
                  <c:v>3419</c:v>
                </c:pt>
                <c:pt idx="11">
                  <c:v>3768</c:v>
                </c:pt>
                <c:pt idx="12">
                  <c:v>4597</c:v>
                </c:pt>
                <c:pt idx="13">
                  <c:v>2599</c:v>
                </c:pt>
                <c:pt idx="14">
                  <c:v>4127</c:v>
                </c:pt>
                <c:pt idx="15">
                  <c:v>2732</c:v>
                </c:pt>
                <c:pt idx="16">
                  <c:v>4740</c:v>
                </c:pt>
                <c:pt idx="17">
                  <c:v>3569</c:v>
                </c:pt>
                <c:pt idx="18">
                  <c:v>3612</c:v>
                </c:pt>
                <c:pt idx="19">
                  <c:v>3899</c:v>
                </c:pt>
                <c:pt idx="20">
                  <c:v>1701</c:v>
                </c:pt>
                <c:pt idx="21">
                  <c:v>2905</c:v>
                </c:pt>
                <c:pt idx="22">
                  <c:v>1747</c:v>
                </c:pt>
                <c:pt idx="23">
                  <c:v>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56217.36</c:v>
                </c:pt>
                <c:pt idx="26">
                  <c:v>56217.36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66430</c:v>
                </c:pt>
                <c:pt idx="26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1380</c:v>
                </c:pt>
                <c:pt idx="1">
                  <c:v>1110</c:v>
                </c:pt>
                <c:pt idx="2">
                  <c:v>670</c:v>
                </c:pt>
                <c:pt idx="3">
                  <c:v>210</c:v>
                </c:pt>
                <c:pt idx="4">
                  <c:v>2340</c:v>
                </c:pt>
                <c:pt idx="5">
                  <c:v>1380</c:v>
                </c:pt>
                <c:pt idx="6">
                  <c:v>0</c:v>
                </c:pt>
                <c:pt idx="7">
                  <c:v>960</c:v>
                </c:pt>
                <c:pt idx="8">
                  <c:v>1570</c:v>
                </c:pt>
                <c:pt idx="9">
                  <c:v>510</c:v>
                </c:pt>
                <c:pt idx="10">
                  <c:v>0</c:v>
                </c:pt>
                <c:pt idx="11">
                  <c:v>70</c:v>
                </c:pt>
                <c:pt idx="12">
                  <c:v>0</c:v>
                </c:pt>
                <c:pt idx="13">
                  <c:v>560</c:v>
                </c:pt>
                <c:pt idx="14">
                  <c:v>580</c:v>
                </c:pt>
                <c:pt idx="15">
                  <c:v>510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810</c:v>
                </c:pt>
                <c:pt idx="21">
                  <c:v>1250</c:v>
                </c:pt>
                <c:pt idx="22">
                  <c:v>390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14300</c:v>
                </c:pt>
                <c:pt idx="26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22</c:v>
                </c:pt>
                <c:pt idx="1">
                  <c:v>102</c:v>
                </c:pt>
                <c:pt idx="2">
                  <c:v>158</c:v>
                </c:pt>
                <c:pt idx="3">
                  <c:v>128</c:v>
                </c:pt>
                <c:pt idx="4">
                  <c:v>155</c:v>
                </c:pt>
                <c:pt idx="5">
                  <c:v>76</c:v>
                </c:pt>
                <c:pt idx="6">
                  <c:v>0</c:v>
                </c:pt>
                <c:pt idx="7">
                  <c:v>21</c:v>
                </c:pt>
                <c:pt idx="8">
                  <c:v>135</c:v>
                </c:pt>
                <c:pt idx="9">
                  <c:v>188</c:v>
                </c:pt>
                <c:pt idx="10">
                  <c:v>179</c:v>
                </c:pt>
                <c:pt idx="11">
                  <c:v>65</c:v>
                </c:pt>
                <c:pt idx="12">
                  <c:v>0</c:v>
                </c:pt>
                <c:pt idx="13">
                  <c:v>107</c:v>
                </c:pt>
                <c:pt idx="14">
                  <c:v>170</c:v>
                </c:pt>
                <c:pt idx="15">
                  <c:v>91</c:v>
                </c:pt>
                <c:pt idx="16">
                  <c:v>47</c:v>
                </c:pt>
                <c:pt idx="17">
                  <c:v>156</c:v>
                </c:pt>
                <c:pt idx="18">
                  <c:v>0</c:v>
                </c:pt>
                <c:pt idx="19">
                  <c:v>65</c:v>
                </c:pt>
                <c:pt idx="20">
                  <c:v>1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1010.0000000000002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1885</c:v>
                </c:pt>
                <c:pt idx="26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9766.8264177298952</c:v>
                </c:pt>
                <c:pt idx="1">
                  <c:v>11284.698869227572</c:v>
                </c:pt>
                <c:pt idx="2">
                  <c:v>10385.461331324654</c:v>
                </c:pt>
                <c:pt idx="3">
                  <c:v>10657.908012416861</c:v>
                </c:pt>
                <c:pt idx="4">
                  <c:v>10798.651746064419</c:v>
                </c:pt>
                <c:pt idx="5">
                  <c:v>10951.502661699522</c:v>
                </c:pt>
                <c:pt idx="6">
                  <c:v>12136.266718483566</c:v>
                </c:pt>
                <c:pt idx="7">
                  <c:v>10642.869204249138</c:v>
                </c:pt>
                <c:pt idx="8">
                  <c:v>11829.331986708021</c:v>
                </c:pt>
                <c:pt idx="9">
                  <c:v>11516.522401447786</c:v>
                </c:pt>
                <c:pt idx="10">
                  <c:v>12059.757215716216</c:v>
                </c:pt>
                <c:pt idx="11">
                  <c:v>11047.694571799924</c:v>
                </c:pt>
                <c:pt idx="12">
                  <c:v>8574.7380635181999</c:v>
                </c:pt>
                <c:pt idx="13">
                  <c:v>9038.1604667908905</c:v>
                </c:pt>
                <c:pt idx="14">
                  <c:v>9054.4457546234753</c:v>
                </c:pt>
                <c:pt idx="15">
                  <c:v>9258.5355020947918</c:v>
                </c:pt>
                <c:pt idx="16">
                  <c:v>14142.653340751382</c:v>
                </c:pt>
                <c:pt idx="17">
                  <c:v>10784.759981341655</c:v>
                </c:pt>
                <c:pt idx="18">
                  <c:v>13234.110838152366</c:v>
                </c:pt>
                <c:pt idx="19">
                  <c:v>14910.800017783229</c:v>
                </c:pt>
                <c:pt idx="20">
                  <c:v>14634.040360527848</c:v>
                </c:pt>
                <c:pt idx="21">
                  <c:v>14712.318888835702</c:v>
                </c:pt>
                <c:pt idx="22">
                  <c:v>14251.428253060463</c:v>
                </c:pt>
                <c:pt idx="23">
                  <c:v>10731.673824914944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9537</c:v>
                </c:pt>
                <c:pt idx="1">
                  <c:v>10476</c:v>
                </c:pt>
                <c:pt idx="2">
                  <c:v>12356</c:v>
                </c:pt>
                <c:pt idx="3">
                  <c:v>11817</c:v>
                </c:pt>
                <c:pt idx="4">
                  <c:v>12885</c:v>
                </c:pt>
                <c:pt idx="5">
                  <c:v>12652</c:v>
                </c:pt>
                <c:pt idx="6">
                  <c:v>8737.7999999999993</c:v>
                </c:pt>
                <c:pt idx="7">
                  <c:v>9433.1</c:v>
                </c:pt>
                <c:pt idx="8">
                  <c:v>10906.7</c:v>
                </c:pt>
                <c:pt idx="9">
                  <c:v>9212.5</c:v>
                </c:pt>
                <c:pt idx="10">
                  <c:v>8567.4</c:v>
                </c:pt>
                <c:pt idx="11">
                  <c:v>10511.4</c:v>
                </c:pt>
                <c:pt idx="12">
                  <c:v>11864.7</c:v>
                </c:pt>
                <c:pt idx="13">
                  <c:v>9068.9</c:v>
                </c:pt>
                <c:pt idx="14">
                  <c:v>10846.9</c:v>
                </c:pt>
                <c:pt idx="15">
                  <c:v>8715.5</c:v>
                </c:pt>
                <c:pt idx="16">
                  <c:v>10962</c:v>
                </c:pt>
                <c:pt idx="17">
                  <c:v>11662.6</c:v>
                </c:pt>
                <c:pt idx="18">
                  <c:v>10602</c:v>
                </c:pt>
                <c:pt idx="19">
                  <c:v>8725</c:v>
                </c:pt>
                <c:pt idx="20">
                  <c:v>9192</c:v>
                </c:pt>
                <c:pt idx="21">
                  <c:v>12475</c:v>
                </c:pt>
                <c:pt idx="22">
                  <c:v>10859</c:v>
                </c:pt>
                <c:pt idx="23">
                  <c:v>9070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262153.7281762021</c:v>
                </c:pt>
                <c:pt idx="26">
                  <c:v>276405.15642926254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251135.5</c:v>
                </c:pt>
                <c:pt idx="26">
                  <c:v>183067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8087.4630843965615</c:v>
                </c:pt>
                <c:pt idx="1">
                  <c:v>10516.615535894238</c:v>
                </c:pt>
                <c:pt idx="2">
                  <c:v>9380.1379979913199</c:v>
                </c:pt>
                <c:pt idx="3">
                  <c:v>9267.7446790835274</c:v>
                </c:pt>
                <c:pt idx="4">
                  <c:v>9304.5684127310851</c:v>
                </c:pt>
                <c:pt idx="5">
                  <c:v>10235.379328366189</c:v>
                </c:pt>
                <c:pt idx="6">
                  <c:v>10279.183385150232</c:v>
                </c:pt>
                <c:pt idx="7">
                  <c:v>8911.5458709158047</c:v>
                </c:pt>
                <c:pt idx="8">
                  <c:v>9860.7686533746873</c:v>
                </c:pt>
                <c:pt idx="9">
                  <c:v>9785.1990681144525</c:v>
                </c:pt>
                <c:pt idx="10">
                  <c:v>9654.3938823828812</c:v>
                </c:pt>
                <c:pt idx="11">
                  <c:v>9916.6112384665903</c:v>
                </c:pt>
                <c:pt idx="12">
                  <c:v>7443.6547301848668</c:v>
                </c:pt>
                <c:pt idx="13">
                  <c:v>6625.2371334575564</c:v>
                </c:pt>
                <c:pt idx="14">
                  <c:v>6100.802421290141</c:v>
                </c:pt>
                <c:pt idx="15">
                  <c:v>7156.6521687614586</c:v>
                </c:pt>
                <c:pt idx="16">
                  <c:v>10484.850007418048</c:v>
                </c:pt>
                <c:pt idx="17">
                  <c:v>8630.9166480083204</c:v>
                </c:pt>
                <c:pt idx="18">
                  <c:v>9879.7875048190326</c:v>
                </c:pt>
                <c:pt idx="19">
                  <c:v>10497.596684449896</c:v>
                </c:pt>
                <c:pt idx="20">
                  <c:v>10398.557027194514</c:v>
                </c:pt>
                <c:pt idx="21">
                  <c:v>10410.595555502368</c:v>
                </c:pt>
                <c:pt idx="22">
                  <c:v>9823.9449197271297</c:v>
                </c:pt>
                <c:pt idx="23">
                  <c:v>6525.59049158161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8135</c:v>
                </c:pt>
                <c:pt idx="1">
                  <c:v>7241</c:v>
                </c:pt>
                <c:pt idx="2">
                  <c:v>8722</c:v>
                </c:pt>
                <c:pt idx="3">
                  <c:v>8853</c:v>
                </c:pt>
                <c:pt idx="4">
                  <c:v>8104</c:v>
                </c:pt>
                <c:pt idx="5">
                  <c:v>9275</c:v>
                </c:pt>
                <c:pt idx="6">
                  <c:v>7262.7999999999993</c:v>
                </c:pt>
                <c:pt idx="7">
                  <c:v>6540.1</c:v>
                </c:pt>
                <c:pt idx="8">
                  <c:v>5112.7000000000007</c:v>
                </c:pt>
                <c:pt idx="9">
                  <c:v>5204.5</c:v>
                </c:pt>
                <c:pt idx="10">
                  <c:v>4969.3999999999996</c:v>
                </c:pt>
                <c:pt idx="11">
                  <c:v>6608.4</c:v>
                </c:pt>
                <c:pt idx="12">
                  <c:v>7267.7000000000007</c:v>
                </c:pt>
                <c:pt idx="13">
                  <c:v>5802.9</c:v>
                </c:pt>
                <c:pt idx="14">
                  <c:v>5969.9</c:v>
                </c:pt>
                <c:pt idx="15">
                  <c:v>5382.5</c:v>
                </c:pt>
                <c:pt idx="16">
                  <c:v>6175</c:v>
                </c:pt>
                <c:pt idx="17">
                  <c:v>7937.6</c:v>
                </c:pt>
                <c:pt idx="18">
                  <c:v>6990</c:v>
                </c:pt>
                <c:pt idx="19">
                  <c:v>4761</c:v>
                </c:pt>
                <c:pt idx="20">
                  <c:v>6680</c:v>
                </c:pt>
                <c:pt idx="21">
                  <c:v>8301</c:v>
                </c:pt>
                <c:pt idx="22">
                  <c:v>8722</c:v>
                </c:pt>
                <c:pt idx="23">
                  <c:v>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219177.79642926253</c:v>
                </c:pt>
                <c:pt idx="26">
                  <c:v>219177.79642926253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168520.5</c:v>
                </c:pt>
                <c:pt idx="26">
                  <c:v>166000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1637.28</c:v>
                </c:pt>
                <c:pt idx="1">
                  <c:v>726</c:v>
                </c:pt>
                <c:pt idx="2">
                  <c:v>963.24</c:v>
                </c:pt>
                <c:pt idx="3">
                  <c:v>1348.08</c:v>
                </c:pt>
                <c:pt idx="4">
                  <c:v>1452</c:v>
                </c:pt>
                <c:pt idx="5">
                  <c:v>674.04</c:v>
                </c:pt>
                <c:pt idx="6">
                  <c:v>1815</c:v>
                </c:pt>
                <c:pt idx="7">
                  <c:v>1689.24</c:v>
                </c:pt>
                <c:pt idx="8">
                  <c:v>1926.48</c:v>
                </c:pt>
                <c:pt idx="9">
                  <c:v>1689.24</c:v>
                </c:pt>
                <c:pt idx="10">
                  <c:v>2363.2799999999997</c:v>
                </c:pt>
                <c:pt idx="11">
                  <c:v>1089</c:v>
                </c:pt>
                <c:pt idx="12">
                  <c:v>1089</c:v>
                </c:pt>
                <c:pt idx="13">
                  <c:v>2370.84</c:v>
                </c:pt>
                <c:pt idx="14">
                  <c:v>2911.5599999999995</c:v>
                </c:pt>
                <c:pt idx="15">
                  <c:v>2059.8000000000002</c:v>
                </c:pt>
                <c:pt idx="16">
                  <c:v>3615.7199999999993</c:v>
                </c:pt>
                <c:pt idx="17">
                  <c:v>2111.7600000000002</c:v>
                </c:pt>
                <c:pt idx="18">
                  <c:v>3312.24</c:v>
                </c:pt>
                <c:pt idx="19">
                  <c:v>4371.119999999999</c:v>
                </c:pt>
                <c:pt idx="20">
                  <c:v>4193.3999999999996</c:v>
                </c:pt>
                <c:pt idx="21">
                  <c:v>4259.6399999999994</c:v>
                </c:pt>
                <c:pt idx="22">
                  <c:v>4385.3999999999996</c:v>
                </c:pt>
                <c:pt idx="23">
                  <c:v>4163.9999999999991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0</c:v>
                </c:pt>
                <c:pt idx="1">
                  <c:v>2023</c:v>
                </c:pt>
                <c:pt idx="2">
                  <c:v>2806</c:v>
                </c:pt>
                <c:pt idx="3">
                  <c:v>2626</c:v>
                </c:pt>
                <c:pt idx="4">
                  <c:v>2286</c:v>
                </c:pt>
                <c:pt idx="5">
                  <c:v>1921</c:v>
                </c:pt>
                <c:pt idx="6">
                  <c:v>1475</c:v>
                </c:pt>
                <c:pt idx="7">
                  <c:v>1912</c:v>
                </c:pt>
                <c:pt idx="8">
                  <c:v>4089</c:v>
                </c:pt>
                <c:pt idx="9">
                  <c:v>3310</c:v>
                </c:pt>
                <c:pt idx="10">
                  <c:v>3419</c:v>
                </c:pt>
                <c:pt idx="11">
                  <c:v>3768</c:v>
                </c:pt>
                <c:pt idx="12">
                  <c:v>4597</c:v>
                </c:pt>
                <c:pt idx="13">
                  <c:v>2599</c:v>
                </c:pt>
                <c:pt idx="14">
                  <c:v>4127</c:v>
                </c:pt>
                <c:pt idx="15">
                  <c:v>2732</c:v>
                </c:pt>
                <c:pt idx="16">
                  <c:v>4740</c:v>
                </c:pt>
                <c:pt idx="17">
                  <c:v>3569</c:v>
                </c:pt>
                <c:pt idx="18">
                  <c:v>3612</c:v>
                </c:pt>
                <c:pt idx="19">
                  <c:v>3899</c:v>
                </c:pt>
                <c:pt idx="20">
                  <c:v>1701</c:v>
                </c:pt>
                <c:pt idx="21">
                  <c:v>2905</c:v>
                </c:pt>
                <c:pt idx="22">
                  <c:v>1747</c:v>
                </c:pt>
                <c:pt idx="23">
                  <c:v>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56217.36</c:v>
                </c:pt>
                <c:pt idx="26">
                  <c:v>56217.36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66430</c:v>
                </c:pt>
                <c:pt idx="26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1380</c:v>
                </c:pt>
                <c:pt idx="1">
                  <c:v>1110</c:v>
                </c:pt>
                <c:pt idx="2">
                  <c:v>670</c:v>
                </c:pt>
                <c:pt idx="3">
                  <c:v>210</c:v>
                </c:pt>
                <c:pt idx="4">
                  <c:v>2340</c:v>
                </c:pt>
                <c:pt idx="5">
                  <c:v>1380</c:v>
                </c:pt>
                <c:pt idx="6">
                  <c:v>0</c:v>
                </c:pt>
                <c:pt idx="7">
                  <c:v>960</c:v>
                </c:pt>
                <c:pt idx="8">
                  <c:v>1570</c:v>
                </c:pt>
                <c:pt idx="9">
                  <c:v>510</c:v>
                </c:pt>
                <c:pt idx="10">
                  <c:v>0</c:v>
                </c:pt>
                <c:pt idx="11">
                  <c:v>70</c:v>
                </c:pt>
                <c:pt idx="12">
                  <c:v>0</c:v>
                </c:pt>
                <c:pt idx="13">
                  <c:v>560</c:v>
                </c:pt>
                <c:pt idx="14">
                  <c:v>580</c:v>
                </c:pt>
                <c:pt idx="15">
                  <c:v>510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810</c:v>
                </c:pt>
                <c:pt idx="21">
                  <c:v>1250</c:v>
                </c:pt>
                <c:pt idx="22">
                  <c:v>390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14300</c:v>
                </c:pt>
                <c:pt idx="26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22</c:v>
                </c:pt>
                <c:pt idx="1">
                  <c:v>102</c:v>
                </c:pt>
                <c:pt idx="2">
                  <c:v>158</c:v>
                </c:pt>
                <c:pt idx="3">
                  <c:v>128</c:v>
                </c:pt>
                <c:pt idx="4">
                  <c:v>155</c:v>
                </c:pt>
                <c:pt idx="5">
                  <c:v>76</c:v>
                </c:pt>
                <c:pt idx="6">
                  <c:v>0</c:v>
                </c:pt>
                <c:pt idx="7">
                  <c:v>21</c:v>
                </c:pt>
                <c:pt idx="8">
                  <c:v>135</c:v>
                </c:pt>
                <c:pt idx="9">
                  <c:v>188</c:v>
                </c:pt>
                <c:pt idx="10">
                  <c:v>179</c:v>
                </c:pt>
                <c:pt idx="11">
                  <c:v>65</c:v>
                </c:pt>
                <c:pt idx="12">
                  <c:v>0</c:v>
                </c:pt>
                <c:pt idx="13">
                  <c:v>107</c:v>
                </c:pt>
                <c:pt idx="14">
                  <c:v>170</c:v>
                </c:pt>
                <c:pt idx="15">
                  <c:v>91</c:v>
                </c:pt>
                <c:pt idx="16">
                  <c:v>47</c:v>
                </c:pt>
                <c:pt idx="17">
                  <c:v>156</c:v>
                </c:pt>
                <c:pt idx="18">
                  <c:v>0</c:v>
                </c:pt>
                <c:pt idx="19">
                  <c:v>65</c:v>
                </c:pt>
                <c:pt idx="20">
                  <c:v>1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1010.0000000000002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1885</c:v>
                </c:pt>
                <c:pt idx="26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6</c:v>
                </c:pt>
                <c:pt idx="5">
                  <c:v>REP 02</c:v>
                </c:pt>
                <c:pt idx="6">
                  <c:v>BSM 2</c:v>
                </c:pt>
                <c:pt idx="7">
                  <c:v>BSM 7</c:v>
                </c:pt>
                <c:pt idx="8">
                  <c:v>REP 06</c:v>
                </c:pt>
                <c:pt idx="9">
                  <c:v>BSM 5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322744.44000000024</c:v>
                </c:pt>
                <c:pt idx="2">
                  <c:v>278959.91999999993</c:v>
                </c:pt>
                <c:pt idx="3">
                  <c:v>256813.67999999993</c:v>
                </c:pt>
                <c:pt idx="4">
                  <c:v>256813.67999999993</c:v>
                </c:pt>
                <c:pt idx="5">
                  <c:v>256813.67999999993</c:v>
                </c:pt>
                <c:pt idx="6">
                  <c:v>261623.67999999993</c:v>
                </c:pt>
                <c:pt idx="7">
                  <c:v>267784.79999999993</c:v>
                </c:pt>
                <c:pt idx="8">
                  <c:v>275175.35999999993</c:v>
                </c:pt>
                <c:pt idx="9">
                  <c:v>282640.35999999993</c:v>
                </c:pt>
                <c:pt idx="10">
                  <c:v>296037.99999999994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6</c:v>
                </c:pt>
                <c:pt idx="5">
                  <c:v>REP 02</c:v>
                </c:pt>
                <c:pt idx="6">
                  <c:v>BSM 2</c:v>
                </c:pt>
                <c:pt idx="7">
                  <c:v>BSM 7</c:v>
                </c:pt>
                <c:pt idx="8">
                  <c:v>REP 06</c:v>
                </c:pt>
                <c:pt idx="9">
                  <c:v>BSM 5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316204.19999999995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6</c:v>
                </c:pt>
                <c:pt idx="5">
                  <c:v>REP 02</c:v>
                </c:pt>
                <c:pt idx="6">
                  <c:v>BSM 2</c:v>
                </c:pt>
                <c:pt idx="7">
                  <c:v>BSM 7</c:v>
                </c:pt>
                <c:pt idx="8">
                  <c:v>REP 06</c:v>
                </c:pt>
                <c:pt idx="9">
                  <c:v>BSM 5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4810</c:v>
                </c:pt>
                <c:pt idx="6">
                  <c:v>6161.1200000000026</c:v>
                </c:pt>
                <c:pt idx="7">
                  <c:v>7390.5599999999977</c:v>
                </c:pt>
                <c:pt idx="8">
                  <c:v>7465</c:v>
                </c:pt>
                <c:pt idx="9">
                  <c:v>13397.640000000007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6</c:v>
                </c:pt>
                <c:pt idx="5">
                  <c:v>REP 02</c:v>
                </c:pt>
                <c:pt idx="6">
                  <c:v>BSM 2</c:v>
                </c:pt>
                <c:pt idx="7">
                  <c:v>BSM 7</c:v>
                </c:pt>
                <c:pt idx="8">
                  <c:v>REP 06</c:v>
                </c:pt>
                <c:pt idx="9">
                  <c:v>BSM 5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37244.28</c:v>
                </c:pt>
                <c:pt idx="3">
                  <c:v>22146.239999999998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20166.19999999999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en-US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228888</c:v>
                </c:pt>
                <c:pt idx="1">
                  <c:v>240156</c:v>
                </c:pt>
                <c:pt idx="2">
                  <c:v>258952</c:v>
                </c:pt>
                <c:pt idx="3">
                  <c:v>265116</c:v>
                </c:pt>
                <c:pt idx="4">
                  <c:v>273940.80000000005</c:v>
                </c:pt>
                <c:pt idx="5">
                  <c:v>278892</c:v>
                </c:pt>
                <c:pt idx="6">
                  <c:v>269008.45714285714</c:v>
                </c:pt>
                <c:pt idx="7">
                  <c:v>263681.7</c:v>
                </c:pt>
                <c:pt idx="8">
                  <c:v>263468.26666666666</c:v>
                </c:pt>
                <c:pt idx="9">
                  <c:v>259231.44000000003</c:v>
                </c:pt>
                <c:pt idx="10">
                  <c:v>254357.45454545453</c:v>
                </c:pt>
                <c:pt idx="11">
                  <c:v>254183.8</c:v>
                </c:pt>
                <c:pt idx="12">
                  <c:v>256535.26153846155</c:v>
                </c:pt>
                <c:pt idx="13">
                  <c:v>253758</c:v>
                </c:pt>
                <c:pt idx="14">
                  <c:v>254195.84000000003</c:v>
                </c:pt>
                <c:pt idx="15">
                  <c:v>251381.84999999998</c:v>
                </c:pt>
                <c:pt idx="16">
                  <c:v>252070.44705882354</c:v>
                </c:pt>
                <c:pt idx="17">
                  <c:v>253616.66666666669</c:v>
                </c:pt>
                <c:pt idx="18">
                  <c:v>253660.42105263157</c:v>
                </c:pt>
                <c:pt idx="19">
                  <c:v>251447.40000000002</c:v>
                </c:pt>
                <c:pt idx="20">
                  <c:v>249978.85714285713</c:v>
                </c:pt>
                <c:pt idx="21">
                  <c:v>252225.27272727274</c:v>
                </c:pt>
                <c:pt idx="22">
                  <c:v>252590.08695652176</c:v>
                </c:pt>
                <c:pt idx="23">
                  <c:v>262054.4347826087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234403.83402551748</c:v>
                </c:pt>
                <c:pt idx="1">
                  <c:v>252618.30344348963</c:v>
                </c:pt>
                <c:pt idx="2">
                  <c:v>251495.89294625696</c:v>
                </c:pt>
                <c:pt idx="3">
                  <c:v>252569.36778419389</c:v>
                </c:pt>
                <c:pt idx="4">
                  <c:v>253889.02260846429</c:v>
                </c:pt>
                <c:pt idx="5">
                  <c:v>255380.19615385169</c:v>
                </c:pt>
                <c:pt idx="6">
                  <c:v>260507.36830953081</c:v>
                </c:pt>
                <c:pt idx="7">
                  <c:v>259872.55488358688</c:v>
                </c:pt>
                <c:pt idx="8">
                  <c:v>262542.71186107642</c:v>
                </c:pt>
                <c:pt idx="9">
                  <c:v>263928.09443844343</c:v>
                </c:pt>
                <c:pt idx="10">
                  <c:v>266246.8288692385</c:v>
                </c:pt>
                <c:pt idx="11">
                  <c:v>266154.98227373516</c:v>
                </c:pt>
                <c:pt idx="12">
                  <c:v>261511.80775455834</c:v>
                </c:pt>
                <c:pt idx="13">
                  <c:v>258326.38228658854</c:v>
                </c:pt>
                <c:pt idx="14">
                  <c:v>255591.7366748802</c:v>
                </c:pt>
                <c:pt idx="15">
                  <c:v>253505.05638584244</c:v>
                </c:pt>
                <c:pt idx="16">
                  <c:v>258559.09307950072</c:v>
                </c:pt>
                <c:pt idx="17">
                  <c:v>258574.37899465067</c:v>
                </c:pt>
                <c:pt idx="18">
                  <c:v>261681.97273786151</c:v>
                </c:pt>
                <c:pt idx="19">
                  <c:v>266490.8341223083</c:v>
                </c:pt>
                <c:pt idx="20">
                  <c:v>270525.41195708734</c:v>
                </c:pt>
                <c:pt idx="21">
                  <c:v>274278.60474685871</c:v>
                </c:pt>
                <c:pt idx="22">
                  <c:v>277224.5035871453</c:v>
                </c:pt>
                <c:pt idx="23">
                  <c:v>276405.15642926254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234403.83402551748</c:v>
                </c:pt>
                <c:pt idx="1">
                  <c:v>252618.30344348963</c:v>
                </c:pt>
                <c:pt idx="2">
                  <c:v>251495.89294625696</c:v>
                </c:pt>
                <c:pt idx="3">
                  <c:v>252569.36778419389</c:v>
                </c:pt>
                <c:pt idx="4">
                  <c:v>253889.02260846429</c:v>
                </c:pt>
                <c:pt idx="5">
                  <c:v>255380.19615385169</c:v>
                </c:pt>
                <c:pt idx="6">
                  <c:v>260507.36830953081</c:v>
                </c:pt>
                <c:pt idx="7">
                  <c:v>259872.55488358688</c:v>
                </c:pt>
                <c:pt idx="8">
                  <c:v>262542.71186107642</c:v>
                </c:pt>
                <c:pt idx="9">
                  <c:v>263928.09443844343</c:v>
                </c:pt>
                <c:pt idx="10">
                  <c:v>266246.8288692385</c:v>
                </c:pt>
                <c:pt idx="11">
                  <c:v>266154.98227373516</c:v>
                </c:pt>
                <c:pt idx="12">
                  <c:v>261511.80775455834</c:v>
                </c:pt>
                <c:pt idx="13">
                  <c:v>258326.38228658854</c:v>
                </c:pt>
                <c:pt idx="14">
                  <c:v>255591.7366748802</c:v>
                </c:pt>
                <c:pt idx="15">
                  <c:v>253505.05638584244</c:v>
                </c:pt>
                <c:pt idx="16">
                  <c:v>258559.09307950072</c:v>
                </c:pt>
                <c:pt idx="17">
                  <c:v>258574.37899465067</c:v>
                </c:pt>
                <c:pt idx="18">
                  <c:v>261681.97273786151</c:v>
                </c:pt>
                <c:pt idx="19">
                  <c:v>266490.8341223083</c:v>
                </c:pt>
                <c:pt idx="20">
                  <c:v>270525.41195708734</c:v>
                </c:pt>
                <c:pt idx="21">
                  <c:v>274278.60474685871</c:v>
                </c:pt>
                <c:pt idx="22">
                  <c:v>277224.5035871453</c:v>
                </c:pt>
                <c:pt idx="23">
                  <c:v>276405.15642926254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228888</c:v>
                </c:pt>
                <c:pt idx="1">
                  <c:v>240156</c:v>
                </c:pt>
                <c:pt idx="2">
                  <c:v>258952</c:v>
                </c:pt>
                <c:pt idx="3">
                  <c:v>265116</c:v>
                </c:pt>
                <c:pt idx="4">
                  <c:v>273940.80000000005</c:v>
                </c:pt>
                <c:pt idx="5">
                  <c:v>278892</c:v>
                </c:pt>
                <c:pt idx="6">
                  <c:v>269008.45714285714</c:v>
                </c:pt>
                <c:pt idx="7">
                  <c:v>263681.7</c:v>
                </c:pt>
                <c:pt idx="8">
                  <c:v>263468.26666666666</c:v>
                </c:pt>
                <c:pt idx="9">
                  <c:v>259231.44000000003</c:v>
                </c:pt>
                <c:pt idx="10">
                  <c:v>254357.45454545453</c:v>
                </c:pt>
                <c:pt idx="11">
                  <c:v>254183.8</c:v>
                </c:pt>
                <c:pt idx="12">
                  <c:v>256535.26153846155</c:v>
                </c:pt>
                <c:pt idx="13">
                  <c:v>253758</c:v>
                </c:pt>
                <c:pt idx="14">
                  <c:v>254195.84000000003</c:v>
                </c:pt>
                <c:pt idx="15">
                  <c:v>251381.84999999998</c:v>
                </c:pt>
                <c:pt idx="16">
                  <c:v>252070.44705882354</c:v>
                </c:pt>
                <c:pt idx="17">
                  <c:v>253616.66666666669</c:v>
                </c:pt>
                <c:pt idx="18">
                  <c:v>253660.42105263157</c:v>
                </c:pt>
                <c:pt idx="19">
                  <c:v>251447.40000000002</c:v>
                </c:pt>
                <c:pt idx="20">
                  <c:v>249978.85714285713</c:v>
                </c:pt>
                <c:pt idx="21">
                  <c:v>252225.27272727274</c:v>
                </c:pt>
                <c:pt idx="22">
                  <c:v>252590.08695652176</c:v>
                </c:pt>
                <c:pt idx="23">
                  <c:v>262054.4347826087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194099.11402551748</c:v>
                </c:pt>
                <c:pt idx="1">
                  <c:v>223248.94344348958</c:v>
                </c:pt>
                <c:pt idx="2">
                  <c:v>223873.73294625693</c:v>
                </c:pt>
                <c:pt idx="3">
                  <c:v>223511.76778419389</c:v>
                </c:pt>
                <c:pt idx="4">
                  <c:v>223471.3426084643</c:v>
                </c:pt>
                <c:pt idx="5">
                  <c:v>227167.63615385164</c:v>
                </c:pt>
                <c:pt idx="6">
                  <c:v>229958.03116667364</c:v>
                </c:pt>
                <c:pt idx="7">
                  <c:v>227947.9148835869</c:v>
                </c:pt>
                <c:pt idx="8">
                  <c:v>228915.75186107639</c:v>
                </c:pt>
                <c:pt idx="9">
                  <c:v>229508.65443844348</c:v>
                </c:pt>
                <c:pt idx="10">
                  <c:v>229708.36341469307</c:v>
                </c:pt>
                <c:pt idx="11">
                  <c:v>230399.22227373515</c:v>
                </c:pt>
                <c:pt idx="12">
                  <c:v>226418.33698532759</c:v>
                </c:pt>
                <c:pt idx="13">
                  <c:v>221603.14800087429</c:v>
                </c:pt>
                <c:pt idx="14">
                  <c:v>216590.8886748802</c:v>
                </c:pt>
                <c:pt idx="15">
                  <c:v>213788.93638584239</c:v>
                </c:pt>
                <c:pt idx="16">
                  <c:v>216015.25778538303</c:v>
                </c:pt>
                <c:pt idx="17">
                  <c:v>215522.2989946506</c:v>
                </c:pt>
                <c:pt idx="18">
                  <c:v>216658.75168522989</c:v>
                </c:pt>
                <c:pt idx="19">
                  <c:v>218422.93012230826</c:v>
                </c:pt>
                <c:pt idx="20">
                  <c:v>219905.90338565875</c:v>
                </c:pt>
                <c:pt idx="21">
                  <c:v>221267.19383776776</c:v>
                </c:pt>
                <c:pt idx="22">
                  <c:v>221897.9540219279</c:v>
                </c:pt>
                <c:pt idx="23">
                  <c:v>219177.79642926253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195240</c:v>
                </c:pt>
                <c:pt idx="1">
                  <c:v>184512</c:v>
                </c:pt>
                <c:pt idx="2">
                  <c:v>192784</c:v>
                </c:pt>
                <c:pt idx="3">
                  <c:v>197706</c:v>
                </c:pt>
                <c:pt idx="4">
                  <c:v>197064</c:v>
                </c:pt>
                <c:pt idx="5">
                  <c:v>201320</c:v>
                </c:pt>
                <c:pt idx="6">
                  <c:v>197461.02857142861</c:v>
                </c:pt>
                <c:pt idx="7">
                  <c:v>192398.7</c:v>
                </c:pt>
                <c:pt idx="8">
                  <c:v>184654.93333333335</c:v>
                </c:pt>
                <c:pt idx="9">
                  <c:v>178680.24</c:v>
                </c:pt>
                <c:pt idx="10">
                  <c:v>173278.90909090909</c:v>
                </c:pt>
                <c:pt idx="11">
                  <c:v>172055.8</c:v>
                </c:pt>
                <c:pt idx="12">
                  <c:v>172238.03076923077</c:v>
                </c:pt>
                <c:pt idx="13">
                  <c:v>169883.14285714284</c:v>
                </c:pt>
                <c:pt idx="14">
                  <c:v>168109.43999999997</c:v>
                </c:pt>
                <c:pt idx="15">
                  <c:v>165676.34999999998</c:v>
                </c:pt>
                <c:pt idx="16">
                  <c:v>164648.32941176469</c:v>
                </c:pt>
                <c:pt idx="17">
                  <c:v>166084.66666666663</c:v>
                </c:pt>
                <c:pt idx="18">
                  <c:v>166172.84210526315</c:v>
                </c:pt>
                <c:pt idx="19">
                  <c:v>163577.40000000002</c:v>
                </c:pt>
                <c:pt idx="20">
                  <c:v>163422.28571428571</c:v>
                </c:pt>
                <c:pt idx="21">
                  <c:v>165049.63636363635</c:v>
                </c:pt>
                <c:pt idx="22">
                  <c:v>166974.78260869565</c:v>
                </c:pt>
                <c:pt idx="23">
                  <c:v>175847.47826086957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39294.720000000001</c:v>
                </c:pt>
                <c:pt idx="1">
                  <c:v>28359.359999999997</c:v>
                </c:pt>
                <c:pt idx="2">
                  <c:v>26612.159999999996</c:v>
                </c:pt>
                <c:pt idx="3">
                  <c:v>28047.599999999999</c:v>
                </c:pt>
                <c:pt idx="4">
                  <c:v>29407.68</c:v>
                </c:pt>
                <c:pt idx="5">
                  <c:v>27202.559999999998</c:v>
                </c:pt>
                <c:pt idx="6">
                  <c:v>29539.337142857141</c:v>
                </c:pt>
                <c:pt idx="7">
                  <c:v>30914.639999999999</c:v>
                </c:pt>
                <c:pt idx="8">
                  <c:v>32616.959999999999</c:v>
                </c:pt>
                <c:pt idx="9">
                  <c:v>33409.440000000002</c:v>
                </c:pt>
                <c:pt idx="10">
                  <c:v>35528.465454545447</c:v>
                </c:pt>
                <c:pt idx="11">
                  <c:v>34745.759999999995</c:v>
                </c:pt>
                <c:pt idx="12">
                  <c:v>34083.470769230764</c:v>
                </c:pt>
                <c:pt idx="13">
                  <c:v>35713.234285714279</c:v>
                </c:pt>
                <c:pt idx="14">
                  <c:v>37990.847999999998</c:v>
                </c:pt>
                <c:pt idx="15">
                  <c:v>38706.119999999995</c:v>
                </c:pt>
                <c:pt idx="16">
                  <c:v>41533.835294117642</c:v>
                </c:pt>
                <c:pt idx="17">
                  <c:v>42042.079999999994</c:v>
                </c:pt>
                <c:pt idx="18">
                  <c:v>44013.221052631576</c:v>
                </c:pt>
                <c:pt idx="19">
                  <c:v>47057.903999999995</c:v>
                </c:pt>
                <c:pt idx="20">
                  <c:v>49609.508571428567</c:v>
                </c:pt>
                <c:pt idx="21">
                  <c:v>52001.410909090904</c:v>
                </c:pt>
                <c:pt idx="22">
                  <c:v>54316.549565217385</c:v>
                </c:pt>
                <c:pt idx="23">
                  <c:v>56217.36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24276</c:v>
                </c:pt>
                <c:pt idx="2">
                  <c:v>38632</c:v>
                </c:pt>
                <c:pt idx="3">
                  <c:v>44730</c:v>
                </c:pt>
                <c:pt idx="4">
                  <c:v>46756.800000000003</c:v>
                </c:pt>
                <c:pt idx="5">
                  <c:v>46648</c:v>
                </c:pt>
                <c:pt idx="6">
                  <c:v>45041.142857142855</c:v>
                </c:pt>
                <c:pt idx="7">
                  <c:v>45147</c:v>
                </c:pt>
                <c:pt idx="8">
                  <c:v>51034.666666666664</c:v>
                </c:pt>
                <c:pt idx="9">
                  <c:v>53875.200000000004</c:v>
                </c:pt>
                <c:pt idx="10">
                  <c:v>56437.090909090912</c:v>
                </c:pt>
                <c:pt idx="11">
                  <c:v>59270</c:v>
                </c:pt>
                <c:pt idx="12">
                  <c:v>63197.538461538454</c:v>
                </c:pt>
                <c:pt idx="13">
                  <c:v>63138.857142857145</c:v>
                </c:pt>
                <c:pt idx="14">
                  <c:v>65532.800000000003</c:v>
                </c:pt>
                <c:pt idx="15">
                  <c:v>65535</c:v>
                </c:pt>
                <c:pt idx="16">
                  <c:v>68371.76470588235</c:v>
                </c:pt>
                <c:pt idx="17">
                  <c:v>69332</c:v>
                </c:pt>
                <c:pt idx="18">
                  <c:v>70245.473684210534</c:v>
                </c:pt>
                <c:pt idx="19">
                  <c:v>71412</c:v>
                </c:pt>
                <c:pt idx="20">
                  <c:v>69955.42857142858</c:v>
                </c:pt>
                <c:pt idx="21">
                  <c:v>69944.727272727279</c:v>
                </c:pt>
                <c:pt idx="22">
                  <c:v>68726.608695652176</c:v>
                </c:pt>
                <c:pt idx="23">
                  <c:v>69318.260869565216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39294.720000000001</c:v>
                </c:pt>
                <c:pt idx="1">
                  <c:v>28359.359999999997</c:v>
                </c:pt>
                <c:pt idx="2">
                  <c:v>26612.159999999996</c:v>
                </c:pt>
                <c:pt idx="3">
                  <c:v>28047.599999999999</c:v>
                </c:pt>
                <c:pt idx="4">
                  <c:v>29407.68</c:v>
                </c:pt>
                <c:pt idx="5">
                  <c:v>27202.559999999998</c:v>
                </c:pt>
                <c:pt idx="6">
                  <c:v>29539.337142857141</c:v>
                </c:pt>
                <c:pt idx="7">
                  <c:v>30914.639999999999</c:v>
                </c:pt>
                <c:pt idx="8">
                  <c:v>32616.959999999999</c:v>
                </c:pt>
                <c:pt idx="9">
                  <c:v>33409.440000000002</c:v>
                </c:pt>
                <c:pt idx="10">
                  <c:v>35528.465454545447</c:v>
                </c:pt>
                <c:pt idx="11">
                  <c:v>34745.759999999995</c:v>
                </c:pt>
                <c:pt idx="12">
                  <c:v>34083.470769230764</c:v>
                </c:pt>
                <c:pt idx="13">
                  <c:v>35713.234285714279</c:v>
                </c:pt>
                <c:pt idx="14">
                  <c:v>37990.847999999998</c:v>
                </c:pt>
                <c:pt idx="15">
                  <c:v>38706.119999999995</c:v>
                </c:pt>
                <c:pt idx="16">
                  <c:v>41533.835294117642</c:v>
                </c:pt>
                <c:pt idx="17">
                  <c:v>42042.079999999994</c:v>
                </c:pt>
                <c:pt idx="18">
                  <c:v>44013.221052631576</c:v>
                </c:pt>
                <c:pt idx="19">
                  <c:v>47057.903999999995</c:v>
                </c:pt>
                <c:pt idx="20">
                  <c:v>49609.508571428567</c:v>
                </c:pt>
                <c:pt idx="21">
                  <c:v>52001.410909090904</c:v>
                </c:pt>
                <c:pt idx="22">
                  <c:v>54316.549565217385</c:v>
                </c:pt>
                <c:pt idx="23">
                  <c:v>56217.36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24276</c:v>
                </c:pt>
                <c:pt idx="2">
                  <c:v>38632</c:v>
                </c:pt>
                <c:pt idx="3">
                  <c:v>44730</c:v>
                </c:pt>
                <c:pt idx="4">
                  <c:v>46756.800000000003</c:v>
                </c:pt>
                <c:pt idx="5">
                  <c:v>46648</c:v>
                </c:pt>
                <c:pt idx="6">
                  <c:v>45041.142857142855</c:v>
                </c:pt>
                <c:pt idx="7">
                  <c:v>45147</c:v>
                </c:pt>
                <c:pt idx="8">
                  <c:v>51034.666666666664</c:v>
                </c:pt>
                <c:pt idx="9">
                  <c:v>53875.200000000004</c:v>
                </c:pt>
                <c:pt idx="10">
                  <c:v>56437.090909090912</c:v>
                </c:pt>
                <c:pt idx="11">
                  <c:v>59270</c:v>
                </c:pt>
                <c:pt idx="12">
                  <c:v>63197.538461538454</c:v>
                </c:pt>
                <c:pt idx="13">
                  <c:v>63138.857142857145</c:v>
                </c:pt>
                <c:pt idx="14">
                  <c:v>65532.800000000003</c:v>
                </c:pt>
                <c:pt idx="15">
                  <c:v>65535</c:v>
                </c:pt>
                <c:pt idx="16">
                  <c:v>68371.76470588235</c:v>
                </c:pt>
                <c:pt idx="17">
                  <c:v>69332</c:v>
                </c:pt>
                <c:pt idx="18">
                  <c:v>70245.473684210534</c:v>
                </c:pt>
                <c:pt idx="19">
                  <c:v>71412</c:v>
                </c:pt>
                <c:pt idx="20">
                  <c:v>69955.42857142858</c:v>
                </c:pt>
                <c:pt idx="21">
                  <c:v>69944.727272727279</c:v>
                </c:pt>
                <c:pt idx="22">
                  <c:v>68726.608695652176</c:v>
                </c:pt>
                <c:pt idx="23">
                  <c:v>69318.260869565216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33120</c:v>
                </c:pt>
                <c:pt idx="1">
                  <c:v>29880</c:v>
                </c:pt>
                <c:pt idx="2">
                  <c:v>25280</c:v>
                </c:pt>
                <c:pt idx="3">
                  <c:v>20220</c:v>
                </c:pt>
                <c:pt idx="4">
                  <c:v>27408</c:v>
                </c:pt>
                <c:pt idx="5">
                  <c:v>28360</c:v>
                </c:pt>
                <c:pt idx="6">
                  <c:v>24308.571428571428</c:v>
                </c:pt>
                <c:pt idx="7">
                  <c:v>24150</c:v>
                </c:pt>
                <c:pt idx="8">
                  <c:v>25653.333333333336</c:v>
                </c:pt>
                <c:pt idx="9">
                  <c:v>24312</c:v>
                </c:pt>
                <c:pt idx="10">
                  <c:v>22101.81818181818</c:v>
                </c:pt>
                <c:pt idx="11">
                  <c:v>20400</c:v>
                </c:pt>
                <c:pt idx="12">
                  <c:v>18830.76923076923</c:v>
                </c:pt>
                <c:pt idx="13">
                  <c:v>18445.714285714286</c:v>
                </c:pt>
                <c:pt idx="14">
                  <c:v>18144</c:v>
                </c:pt>
                <c:pt idx="15">
                  <c:v>17775</c:v>
                </c:pt>
                <c:pt idx="16">
                  <c:v>16729.411764705881</c:v>
                </c:pt>
                <c:pt idx="17">
                  <c:v>15800</c:v>
                </c:pt>
                <c:pt idx="18">
                  <c:v>14968.42105263158</c:v>
                </c:pt>
                <c:pt idx="19">
                  <c:v>14220</c:v>
                </c:pt>
                <c:pt idx="20">
                  <c:v>14468.571428571429</c:v>
                </c:pt>
                <c:pt idx="21">
                  <c:v>15174.545454545454</c:v>
                </c:pt>
                <c:pt idx="22">
                  <c:v>14921.739130434784</c:v>
                </c:pt>
                <c:pt idx="23">
                  <c:v>14921.739130434784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1009.9999999999998</c:v>
                </c:pt>
                <c:pt idx="1">
                  <c:v>1009.9999999999998</c:v>
                </c:pt>
                <c:pt idx="2">
                  <c:v>1009.9999999999998</c:v>
                </c:pt>
                <c:pt idx="3">
                  <c:v>1009.9999999999998</c:v>
                </c:pt>
                <c:pt idx="4">
                  <c:v>1009.9999999999998</c:v>
                </c:pt>
                <c:pt idx="5">
                  <c:v>1009.9999999999998</c:v>
                </c:pt>
                <c:pt idx="6">
                  <c:v>1009.9999999999998</c:v>
                </c:pt>
                <c:pt idx="7">
                  <c:v>1009.9999999999998</c:v>
                </c:pt>
                <c:pt idx="8">
                  <c:v>1009.9999999999998</c:v>
                </c:pt>
                <c:pt idx="9">
                  <c:v>1009.9999999999998</c:v>
                </c:pt>
                <c:pt idx="10">
                  <c:v>1009.9999999999998</c:v>
                </c:pt>
                <c:pt idx="11">
                  <c:v>1009.9999999999998</c:v>
                </c:pt>
                <c:pt idx="12">
                  <c:v>1009.9999999999998</c:v>
                </c:pt>
                <c:pt idx="13">
                  <c:v>1009.9999999999998</c:v>
                </c:pt>
                <c:pt idx="14">
                  <c:v>1009.9999999999999</c:v>
                </c:pt>
                <c:pt idx="15">
                  <c:v>1009.9999999999999</c:v>
                </c:pt>
                <c:pt idx="16">
                  <c:v>1009.9999999999999</c:v>
                </c:pt>
                <c:pt idx="17">
                  <c:v>1010</c:v>
                </c:pt>
                <c:pt idx="18">
                  <c:v>1010</c:v>
                </c:pt>
                <c:pt idx="19">
                  <c:v>1010</c:v>
                </c:pt>
                <c:pt idx="20">
                  <c:v>1010</c:v>
                </c:pt>
                <c:pt idx="21">
                  <c:v>1010.0000000000002</c:v>
                </c:pt>
                <c:pt idx="22">
                  <c:v>1010.0000000000002</c:v>
                </c:pt>
                <c:pt idx="23">
                  <c:v>1010.0000000000002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528</c:v>
                </c:pt>
                <c:pt idx="1">
                  <c:v>1488</c:v>
                </c:pt>
                <c:pt idx="2">
                  <c:v>2256</c:v>
                </c:pt>
                <c:pt idx="3">
                  <c:v>2460</c:v>
                </c:pt>
                <c:pt idx="4">
                  <c:v>2712</c:v>
                </c:pt>
                <c:pt idx="5">
                  <c:v>2564</c:v>
                </c:pt>
                <c:pt idx="6">
                  <c:v>2197.7142857142858</c:v>
                </c:pt>
                <c:pt idx="7">
                  <c:v>1986</c:v>
                </c:pt>
                <c:pt idx="8">
                  <c:v>2125.3333333333335</c:v>
                </c:pt>
                <c:pt idx="9">
                  <c:v>2364</c:v>
                </c:pt>
                <c:pt idx="10">
                  <c:v>2539.6363636363635</c:v>
                </c:pt>
                <c:pt idx="11">
                  <c:v>2458</c:v>
                </c:pt>
                <c:pt idx="12">
                  <c:v>2268.9230769230767</c:v>
                </c:pt>
                <c:pt idx="13">
                  <c:v>2290.2857142857142</c:v>
                </c:pt>
                <c:pt idx="14">
                  <c:v>2409.6000000000004</c:v>
                </c:pt>
                <c:pt idx="15">
                  <c:v>2395.5</c:v>
                </c:pt>
                <c:pt idx="16">
                  <c:v>2320.9411764705883</c:v>
                </c:pt>
                <c:pt idx="17">
                  <c:v>2400</c:v>
                </c:pt>
                <c:pt idx="18">
                  <c:v>2273.6842105263158</c:v>
                </c:pt>
                <c:pt idx="19">
                  <c:v>2238</c:v>
                </c:pt>
                <c:pt idx="20">
                  <c:v>2132.5714285714284</c:v>
                </c:pt>
                <c:pt idx="21">
                  <c:v>2056.3636363636365</c:v>
                </c:pt>
                <c:pt idx="22">
                  <c:v>1966.9565217391305</c:v>
                </c:pt>
                <c:pt idx="23">
                  <c:v>1966.9565217391305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9766.8264177298952</c:v>
                </c:pt>
                <c:pt idx="1">
                  <c:v>11284.698869227572</c:v>
                </c:pt>
                <c:pt idx="2">
                  <c:v>10385.461331324654</c:v>
                </c:pt>
                <c:pt idx="3">
                  <c:v>10657.908012416861</c:v>
                </c:pt>
                <c:pt idx="4">
                  <c:v>10798.651746064419</c:v>
                </c:pt>
                <c:pt idx="5">
                  <c:v>10951.502661699522</c:v>
                </c:pt>
                <c:pt idx="6">
                  <c:v>12136.266718483566</c:v>
                </c:pt>
                <c:pt idx="7">
                  <c:v>10642.869204249138</c:v>
                </c:pt>
                <c:pt idx="8">
                  <c:v>11829.331986708021</c:v>
                </c:pt>
                <c:pt idx="9">
                  <c:v>11516.522401447786</c:v>
                </c:pt>
                <c:pt idx="10">
                  <c:v>12059.757215716216</c:v>
                </c:pt>
                <c:pt idx="11">
                  <c:v>11047.694571799924</c:v>
                </c:pt>
                <c:pt idx="12">
                  <c:v>8574.7380635181999</c:v>
                </c:pt>
                <c:pt idx="13">
                  <c:v>9038.1604667908905</c:v>
                </c:pt>
                <c:pt idx="14">
                  <c:v>9054.4457546234753</c:v>
                </c:pt>
                <c:pt idx="15">
                  <c:v>9258.5355020947918</c:v>
                </c:pt>
                <c:pt idx="16">
                  <c:v>14142.653340751382</c:v>
                </c:pt>
                <c:pt idx="17">
                  <c:v>10784.759981341655</c:v>
                </c:pt>
                <c:pt idx="18">
                  <c:v>13234.110838152366</c:v>
                </c:pt>
                <c:pt idx="19">
                  <c:v>14910.800017783229</c:v>
                </c:pt>
                <c:pt idx="20">
                  <c:v>14634.040360527848</c:v>
                </c:pt>
                <c:pt idx="21">
                  <c:v>14712.318888835702</c:v>
                </c:pt>
                <c:pt idx="22">
                  <c:v>14251.428253060463</c:v>
                </c:pt>
                <c:pt idx="23">
                  <c:v>10731.673824914944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9537</c:v>
                </c:pt>
                <c:pt idx="1">
                  <c:v>10476</c:v>
                </c:pt>
                <c:pt idx="2">
                  <c:v>12356</c:v>
                </c:pt>
                <c:pt idx="3">
                  <c:v>11817</c:v>
                </c:pt>
                <c:pt idx="4">
                  <c:v>12885</c:v>
                </c:pt>
                <c:pt idx="5">
                  <c:v>12652</c:v>
                </c:pt>
                <c:pt idx="6">
                  <c:v>8737.7999999999993</c:v>
                </c:pt>
                <c:pt idx="7">
                  <c:v>9433.1</c:v>
                </c:pt>
                <c:pt idx="8">
                  <c:v>10906.7</c:v>
                </c:pt>
                <c:pt idx="9">
                  <c:v>9212.5</c:v>
                </c:pt>
                <c:pt idx="10">
                  <c:v>8567.4</c:v>
                </c:pt>
                <c:pt idx="11">
                  <c:v>10511.4</c:v>
                </c:pt>
                <c:pt idx="12">
                  <c:v>11864.7</c:v>
                </c:pt>
                <c:pt idx="13">
                  <c:v>9068.9</c:v>
                </c:pt>
                <c:pt idx="14">
                  <c:v>10846.9</c:v>
                </c:pt>
                <c:pt idx="15">
                  <c:v>8715.5</c:v>
                </c:pt>
                <c:pt idx="16">
                  <c:v>10962</c:v>
                </c:pt>
                <c:pt idx="17">
                  <c:v>11662.6</c:v>
                </c:pt>
                <c:pt idx="18">
                  <c:v>10602</c:v>
                </c:pt>
                <c:pt idx="19">
                  <c:v>8725</c:v>
                </c:pt>
                <c:pt idx="20">
                  <c:v>9192</c:v>
                </c:pt>
                <c:pt idx="21">
                  <c:v>12475</c:v>
                </c:pt>
                <c:pt idx="22">
                  <c:v>10859</c:v>
                </c:pt>
                <c:pt idx="23">
                  <c:v>9070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262153.7281762021</c:v>
                </c:pt>
                <c:pt idx="26">
                  <c:v>276405.15642926254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251135.5</c:v>
                </c:pt>
                <c:pt idx="26">
                  <c:v>183067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20</c:v>
                </c:pt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5736.5966844498962</c:v>
                </c:pt>
                <c:pt idx="1">
                  <c:v>4748.0686533746866</c:v>
                </c:pt>
                <c:pt idx="2">
                  <c:v>4684.9938823828816</c:v>
                </c:pt>
                <c:pt idx="3">
                  <c:v>4580.6990681144525</c:v>
                </c:pt>
                <c:pt idx="4">
                  <c:v>4309.8500074180483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24</c:v>
                </c:pt>
                <c:pt idx="1">
                  <c:v>23</c:v>
                </c:pt>
                <c:pt idx="2">
                  <c:v>21</c:v>
                </c:pt>
                <c:pt idx="3">
                  <c:v>1</c:v>
                </c:pt>
                <c:pt idx="4">
                  <c:v>22</c:v>
                </c:pt>
              </c:numCache>
            </c:num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3596.9999999999991</c:v>
                </c:pt>
                <c:pt idx="1">
                  <c:v>2638.3999999999996</c:v>
                </c:pt>
                <c:pt idx="2">
                  <c:v>2492.3999999999996</c:v>
                </c:pt>
                <c:pt idx="3">
                  <c:v>1637.28</c:v>
                </c:pt>
                <c:pt idx="4">
                  <c:v>1354.6399999999994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8087.4630843965615</c:v>
                </c:pt>
                <c:pt idx="1">
                  <c:v>10516.615535894238</c:v>
                </c:pt>
                <c:pt idx="2">
                  <c:v>9380.1379979913199</c:v>
                </c:pt>
                <c:pt idx="3">
                  <c:v>9267.7446790835274</c:v>
                </c:pt>
                <c:pt idx="4">
                  <c:v>9304.5684127310851</c:v>
                </c:pt>
                <c:pt idx="5">
                  <c:v>10235.379328366189</c:v>
                </c:pt>
                <c:pt idx="6">
                  <c:v>10279.183385150232</c:v>
                </c:pt>
                <c:pt idx="7">
                  <c:v>8911.5458709158047</c:v>
                </c:pt>
                <c:pt idx="8">
                  <c:v>9860.7686533746873</c:v>
                </c:pt>
                <c:pt idx="9">
                  <c:v>9785.1990681144525</c:v>
                </c:pt>
                <c:pt idx="10">
                  <c:v>9654.3938823828812</c:v>
                </c:pt>
                <c:pt idx="11">
                  <c:v>9916.6112384665903</c:v>
                </c:pt>
                <c:pt idx="12">
                  <c:v>7443.6547301848668</c:v>
                </c:pt>
                <c:pt idx="13">
                  <c:v>6625.2371334575564</c:v>
                </c:pt>
                <c:pt idx="14">
                  <c:v>6100.802421290141</c:v>
                </c:pt>
                <c:pt idx="15">
                  <c:v>7156.6521687614586</c:v>
                </c:pt>
                <c:pt idx="16">
                  <c:v>10484.850007418048</c:v>
                </c:pt>
                <c:pt idx="17">
                  <c:v>8630.9166480083204</c:v>
                </c:pt>
                <c:pt idx="18">
                  <c:v>9879.7875048190326</c:v>
                </c:pt>
                <c:pt idx="19">
                  <c:v>10497.596684449896</c:v>
                </c:pt>
                <c:pt idx="20">
                  <c:v>10398.557027194514</c:v>
                </c:pt>
                <c:pt idx="21">
                  <c:v>10410.595555502368</c:v>
                </c:pt>
                <c:pt idx="22">
                  <c:v>9823.9449197271297</c:v>
                </c:pt>
                <c:pt idx="23">
                  <c:v>6525.59049158161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8135</c:v>
                </c:pt>
                <c:pt idx="1">
                  <c:v>7241</c:v>
                </c:pt>
                <c:pt idx="2">
                  <c:v>8722</c:v>
                </c:pt>
                <c:pt idx="3">
                  <c:v>8853</c:v>
                </c:pt>
                <c:pt idx="4">
                  <c:v>8104</c:v>
                </c:pt>
                <c:pt idx="5">
                  <c:v>9275</c:v>
                </c:pt>
                <c:pt idx="6">
                  <c:v>7262.7999999999993</c:v>
                </c:pt>
                <c:pt idx="7">
                  <c:v>6540.1</c:v>
                </c:pt>
                <c:pt idx="8">
                  <c:v>5112.7000000000007</c:v>
                </c:pt>
                <c:pt idx="9">
                  <c:v>5204.5</c:v>
                </c:pt>
                <c:pt idx="10">
                  <c:v>4969.3999999999996</c:v>
                </c:pt>
                <c:pt idx="11">
                  <c:v>6608.4</c:v>
                </c:pt>
                <c:pt idx="12">
                  <c:v>7267.7000000000007</c:v>
                </c:pt>
                <c:pt idx="13">
                  <c:v>5802.9</c:v>
                </c:pt>
                <c:pt idx="14">
                  <c:v>5969.9</c:v>
                </c:pt>
                <c:pt idx="15">
                  <c:v>5382.5</c:v>
                </c:pt>
                <c:pt idx="16">
                  <c:v>6175</c:v>
                </c:pt>
                <c:pt idx="17">
                  <c:v>7937.6</c:v>
                </c:pt>
                <c:pt idx="18">
                  <c:v>6990</c:v>
                </c:pt>
                <c:pt idx="19">
                  <c:v>4761</c:v>
                </c:pt>
                <c:pt idx="20">
                  <c:v>6680</c:v>
                </c:pt>
                <c:pt idx="21">
                  <c:v>8301</c:v>
                </c:pt>
                <c:pt idx="22">
                  <c:v>8722</c:v>
                </c:pt>
                <c:pt idx="23">
                  <c:v>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219177.79642926253</c:v>
                </c:pt>
                <c:pt idx="26">
                  <c:v>219177.79642926253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168520.5</c:v>
                </c:pt>
                <c:pt idx="26">
                  <c:v>166000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1637.28</c:v>
                </c:pt>
                <c:pt idx="1">
                  <c:v>726</c:v>
                </c:pt>
                <c:pt idx="2">
                  <c:v>963.24</c:v>
                </c:pt>
                <c:pt idx="3">
                  <c:v>1348.08</c:v>
                </c:pt>
                <c:pt idx="4">
                  <c:v>1452</c:v>
                </c:pt>
                <c:pt idx="5">
                  <c:v>674.04</c:v>
                </c:pt>
                <c:pt idx="6">
                  <c:v>1815</c:v>
                </c:pt>
                <c:pt idx="7">
                  <c:v>1689.24</c:v>
                </c:pt>
                <c:pt idx="8">
                  <c:v>1926.48</c:v>
                </c:pt>
                <c:pt idx="9">
                  <c:v>1689.24</c:v>
                </c:pt>
                <c:pt idx="10">
                  <c:v>2363.2799999999997</c:v>
                </c:pt>
                <c:pt idx="11">
                  <c:v>1089</c:v>
                </c:pt>
                <c:pt idx="12">
                  <c:v>1089</c:v>
                </c:pt>
                <c:pt idx="13">
                  <c:v>2370.84</c:v>
                </c:pt>
                <c:pt idx="14">
                  <c:v>2911.5599999999995</c:v>
                </c:pt>
                <c:pt idx="15">
                  <c:v>2059.8000000000002</c:v>
                </c:pt>
                <c:pt idx="16">
                  <c:v>3615.7199999999993</c:v>
                </c:pt>
                <c:pt idx="17">
                  <c:v>2111.7600000000002</c:v>
                </c:pt>
                <c:pt idx="18">
                  <c:v>3312.24</c:v>
                </c:pt>
                <c:pt idx="19">
                  <c:v>4371.119999999999</c:v>
                </c:pt>
                <c:pt idx="20">
                  <c:v>4193.3999999999996</c:v>
                </c:pt>
                <c:pt idx="21">
                  <c:v>4259.6399999999994</c:v>
                </c:pt>
                <c:pt idx="22">
                  <c:v>4385.3999999999996</c:v>
                </c:pt>
                <c:pt idx="23">
                  <c:v>4163.9999999999991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0</c:v>
                </c:pt>
                <c:pt idx="1">
                  <c:v>2023</c:v>
                </c:pt>
                <c:pt idx="2">
                  <c:v>2806</c:v>
                </c:pt>
                <c:pt idx="3">
                  <c:v>2626</c:v>
                </c:pt>
                <c:pt idx="4">
                  <c:v>2286</c:v>
                </c:pt>
                <c:pt idx="5">
                  <c:v>1921</c:v>
                </c:pt>
                <c:pt idx="6">
                  <c:v>1475</c:v>
                </c:pt>
                <c:pt idx="7">
                  <c:v>1912</c:v>
                </c:pt>
                <c:pt idx="8">
                  <c:v>4089</c:v>
                </c:pt>
                <c:pt idx="9">
                  <c:v>3310</c:v>
                </c:pt>
                <c:pt idx="10">
                  <c:v>3419</c:v>
                </c:pt>
                <c:pt idx="11">
                  <c:v>3768</c:v>
                </c:pt>
                <c:pt idx="12">
                  <c:v>4597</c:v>
                </c:pt>
                <c:pt idx="13">
                  <c:v>2599</c:v>
                </c:pt>
                <c:pt idx="14">
                  <c:v>4127</c:v>
                </c:pt>
                <c:pt idx="15">
                  <c:v>2732</c:v>
                </c:pt>
                <c:pt idx="16">
                  <c:v>4740</c:v>
                </c:pt>
                <c:pt idx="17">
                  <c:v>3569</c:v>
                </c:pt>
                <c:pt idx="18">
                  <c:v>3612</c:v>
                </c:pt>
                <c:pt idx="19">
                  <c:v>3899</c:v>
                </c:pt>
                <c:pt idx="20">
                  <c:v>1701</c:v>
                </c:pt>
                <c:pt idx="21">
                  <c:v>2905</c:v>
                </c:pt>
                <c:pt idx="22">
                  <c:v>1747</c:v>
                </c:pt>
                <c:pt idx="23">
                  <c:v>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56217.36</c:v>
                </c:pt>
                <c:pt idx="26">
                  <c:v>56217.36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66430</c:v>
                </c:pt>
                <c:pt idx="26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1380</c:v>
                </c:pt>
                <c:pt idx="1">
                  <c:v>1110</c:v>
                </c:pt>
                <c:pt idx="2">
                  <c:v>670</c:v>
                </c:pt>
                <c:pt idx="3">
                  <c:v>210</c:v>
                </c:pt>
                <c:pt idx="4">
                  <c:v>2340</c:v>
                </c:pt>
                <c:pt idx="5">
                  <c:v>1380</c:v>
                </c:pt>
                <c:pt idx="6">
                  <c:v>0</c:v>
                </c:pt>
                <c:pt idx="7">
                  <c:v>960</c:v>
                </c:pt>
                <c:pt idx="8">
                  <c:v>1570</c:v>
                </c:pt>
                <c:pt idx="9">
                  <c:v>510</c:v>
                </c:pt>
                <c:pt idx="10">
                  <c:v>0</c:v>
                </c:pt>
                <c:pt idx="11">
                  <c:v>70</c:v>
                </c:pt>
                <c:pt idx="12">
                  <c:v>0</c:v>
                </c:pt>
                <c:pt idx="13">
                  <c:v>560</c:v>
                </c:pt>
                <c:pt idx="14">
                  <c:v>580</c:v>
                </c:pt>
                <c:pt idx="15">
                  <c:v>510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810</c:v>
                </c:pt>
                <c:pt idx="21">
                  <c:v>1250</c:v>
                </c:pt>
                <c:pt idx="22">
                  <c:v>390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14300</c:v>
                </c:pt>
                <c:pt idx="26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42.083333333333321</c:v>
                </c:pt>
                <c:pt idx="1">
                  <c:v>42.083333333333321</c:v>
                </c:pt>
                <c:pt idx="2">
                  <c:v>42.083333333333321</c:v>
                </c:pt>
                <c:pt idx="3">
                  <c:v>42.083333333333321</c:v>
                </c:pt>
                <c:pt idx="4">
                  <c:v>42.083333333333321</c:v>
                </c:pt>
                <c:pt idx="5">
                  <c:v>42.083333333333321</c:v>
                </c:pt>
                <c:pt idx="6">
                  <c:v>42.083333333333321</c:v>
                </c:pt>
                <c:pt idx="7">
                  <c:v>42.083333333333321</c:v>
                </c:pt>
                <c:pt idx="8">
                  <c:v>42.083333333333321</c:v>
                </c:pt>
                <c:pt idx="9">
                  <c:v>42.083333333333321</c:v>
                </c:pt>
                <c:pt idx="10">
                  <c:v>42.083333333333321</c:v>
                </c:pt>
                <c:pt idx="11">
                  <c:v>42.083333333333321</c:v>
                </c:pt>
                <c:pt idx="12">
                  <c:v>42.083333333333321</c:v>
                </c:pt>
                <c:pt idx="13">
                  <c:v>42.083333333333321</c:v>
                </c:pt>
                <c:pt idx="14">
                  <c:v>42.083333333333321</c:v>
                </c:pt>
                <c:pt idx="15">
                  <c:v>42.083333333333321</c:v>
                </c:pt>
                <c:pt idx="16">
                  <c:v>42.083333333333321</c:v>
                </c:pt>
                <c:pt idx="17">
                  <c:v>42.083333333333321</c:v>
                </c:pt>
                <c:pt idx="18">
                  <c:v>42.083333333333321</c:v>
                </c:pt>
                <c:pt idx="19">
                  <c:v>42.083333333333321</c:v>
                </c:pt>
                <c:pt idx="20">
                  <c:v>42.083333333333321</c:v>
                </c:pt>
                <c:pt idx="21">
                  <c:v>42.083333333333321</c:v>
                </c:pt>
                <c:pt idx="22">
                  <c:v>42.083333333333321</c:v>
                </c:pt>
                <c:pt idx="23">
                  <c:v>42.083333333333321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22</c:v>
                </c:pt>
                <c:pt idx="1">
                  <c:v>102</c:v>
                </c:pt>
                <c:pt idx="2">
                  <c:v>158</c:v>
                </c:pt>
                <c:pt idx="3">
                  <c:v>128</c:v>
                </c:pt>
                <c:pt idx="4">
                  <c:v>155</c:v>
                </c:pt>
                <c:pt idx="5">
                  <c:v>76</c:v>
                </c:pt>
                <c:pt idx="6">
                  <c:v>0</c:v>
                </c:pt>
                <c:pt idx="7">
                  <c:v>21</c:v>
                </c:pt>
                <c:pt idx="8">
                  <c:v>135</c:v>
                </c:pt>
                <c:pt idx="9">
                  <c:v>188</c:v>
                </c:pt>
                <c:pt idx="10">
                  <c:v>179</c:v>
                </c:pt>
                <c:pt idx="11">
                  <c:v>65</c:v>
                </c:pt>
                <c:pt idx="12">
                  <c:v>0</c:v>
                </c:pt>
                <c:pt idx="13">
                  <c:v>107</c:v>
                </c:pt>
                <c:pt idx="14">
                  <c:v>170</c:v>
                </c:pt>
                <c:pt idx="15">
                  <c:v>91</c:v>
                </c:pt>
                <c:pt idx="16">
                  <c:v>47</c:v>
                </c:pt>
                <c:pt idx="17">
                  <c:v>156</c:v>
                </c:pt>
                <c:pt idx="18">
                  <c:v>0</c:v>
                </c:pt>
                <c:pt idx="19">
                  <c:v>65</c:v>
                </c:pt>
                <c:pt idx="20">
                  <c:v>1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1010.0000000000002</c:v>
                </c:pt>
                <c:pt idx="26">
                  <c:v>1010.0000000000002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1885</c:v>
                </c:pt>
                <c:pt idx="26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1.xml"/><Relationship Id="rId7" Type="http://schemas.openxmlformats.org/officeDocument/2006/relationships/image" Target="../media/image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2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5" Type="http://schemas.openxmlformats.org/officeDocument/2006/relationships/image" Target="../media/image27.png"/><Relationship Id="rId4" Type="http://schemas.openxmlformats.org/officeDocument/2006/relationships/image" Target="../media/image26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28.png"/><Relationship Id="rId5" Type="http://schemas.openxmlformats.org/officeDocument/2006/relationships/image" Target="../media/image30.png"/><Relationship Id="rId4" Type="http://schemas.openxmlformats.org/officeDocument/2006/relationships/image" Target="../media/image2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9.emf"/><Relationship Id="rId2" Type="http://schemas.openxmlformats.org/officeDocument/2006/relationships/chart" Target="../charts/chart29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7" Type="http://schemas.openxmlformats.org/officeDocument/2006/relationships/image" Target="../media/image39.emf"/><Relationship Id="rId2" Type="http://schemas.openxmlformats.org/officeDocument/2006/relationships/image" Target="../media/image34.png"/><Relationship Id="rId6" Type="http://schemas.openxmlformats.org/officeDocument/2006/relationships/image" Target="../media/image38.emf"/><Relationship Id="rId1" Type="http://schemas.openxmlformats.org/officeDocument/2006/relationships/image" Target="../media/image33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1270</xdr:colOff>
      <xdr:row>1</xdr:row>
      <xdr:rowOff>170181</xdr:rowOff>
    </xdr:from>
    <xdr:to>
      <xdr:col>56</xdr:col>
      <xdr:colOff>13607</xdr:colOff>
      <xdr:row>3</xdr:row>
      <xdr:rowOff>76201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956520" y="379731"/>
          <a:ext cx="3098437" cy="13538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91284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91285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9128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128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128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80208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80208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80208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80209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80209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24041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1032677</xdr:colOff>
          <xdr:row>6</xdr:row>
          <xdr:rowOff>499378</xdr:rowOff>
        </xdr:from>
        <xdr:to>
          <xdr:col>7</xdr:col>
          <xdr:colOff>4938183</xdr:colOff>
          <xdr:row>10</xdr:row>
          <xdr:rowOff>344709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80943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864344" y="2732461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1132605</xdr:colOff>
      <xdr:row>4</xdr:row>
      <xdr:rowOff>132849</xdr:rowOff>
    </xdr:from>
    <xdr:to>
      <xdr:col>7</xdr:col>
      <xdr:colOff>4902327</xdr:colOff>
      <xdr:row>6</xdr:row>
      <xdr:rowOff>397933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8943105" y="1590174"/>
          <a:ext cx="3769722" cy="1036609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9</xdr:col>
      <xdr:colOff>0</xdr:colOff>
      <xdr:row>7</xdr:row>
      <xdr:rowOff>0</xdr:rowOff>
    </xdr:from>
    <xdr:to>
      <xdr:col>14</xdr:col>
      <xdr:colOff>9835595</xdr:colOff>
      <xdr:row>33</xdr:row>
      <xdr:rowOff>60750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B3F328D-C4E2-8DAF-F4F2-03608487B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36083" y="2783417"/>
          <a:ext cx="12904762" cy="135333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99422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99423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9942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942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9426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942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942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942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9430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9431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943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autoFilter ref="CD1:CG9" xr:uid="{82374C41-CC85-4816-B676-5971A629D369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2" totalsRowDxfId="103"/>
    <tableColumn id="2" xr3:uid="{AFF2284A-908E-4344-AFA5-DD82D7DE37D6}" uniqueName="2" name="D+1" totalsRowFunction="custom" queryTableFieldId="2" dataDxfId="100" totalsRowDxfId="101">
      <totalsRowFormula>SUBTOTAL(109,CE2:CE9)</totalsRowFormula>
    </tableColumn>
    <tableColumn id="3" xr3:uid="{35AE7364-7116-4B57-A786-6E6BF4858D09}" uniqueName="3" name="EXEC" totalsRowFunction="custom" queryTableFieldId="3" dataDxfId="98" totalsRowDxfId="99">
      <totalsRowFormula>SUBTOTAL(109,CF2:CF9)</totalsRowFormula>
    </tableColumn>
    <tableColumn id="4" xr3:uid="{195BFE4F-44F0-4095-AC51-A5732E14615A}" uniqueName="4" name="DIF" totalsRowFunction="custom" queryTableFieldId="4" dataDxfId="96" totalsRowDxfId="97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pageSetUpPr fitToPage="1"/>
  </sheetPr>
  <dimension ref="A1:CE49"/>
  <sheetViews>
    <sheetView showGridLines="0" topLeftCell="B1" zoomScale="90" zoomScaleNormal="90" zoomScaleSheetLayoutView="85" workbookViewId="0">
      <selection activeCell="BQ7" sqref="BQ7"/>
    </sheetView>
  </sheetViews>
  <sheetFormatPr defaultColWidth="9.140625" defaultRowHeight="4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45" customHeight="1">
      <c r="A1" s="66" t="s">
        <v>0</v>
      </c>
      <c r="B1" s="194" t="s">
        <v>1</v>
      </c>
      <c r="C1" s="195"/>
      <c r="D1" s="196"/>
      <c r="E1" s="67"/>
      <c r="F1" s="194" t="s">
        <v>2</v>
      </c>
      <c r="G1" s="195"/>
      <c r="H1" s="196"/>
      <c r="I1" s="68"/>
      <c r="J1" s="194" t="s">
        <v>3</v>
      </c>
      <c r="K1" s="195"/>
      <c r="L1" s="196"/>
      <c r="M1" s="68"/>
      <c r="N1" s="194" t="s">
        <v>4</v>
      </c>
      <c r="O1" s="195"/>
      <c r="P1" s="196"/>
      <c r="R1" s="194"/>
      <c r="S1" s="195"/>
      <c r="T1" s="196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4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</f>
        <v>183067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7">
        <v>166000</v>
      </c>
      <c r="AH2" s="188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7">
        <v>67</v>
      </c>
      <c r="AT2" s="188"/>
      <c r="AX2" s="121" t="s">
        <v>13</v>
      </c>
      <c r="AY2" s="77"/>
      <c r="AZ2" s="77"/>
      <c r="BA2" s="77"/>
      <c r="BB2" s="77"/>
      <c r="BC2" s="78" t="s">
        <v>11</v>
      </c>
      <c r="BD2" s="77"/>
      <c r="BE2" s="187">
        <v>15000</v>
      </c>
      <c r="BF2" s="188"/>
      <c r="BJ2" s="76" t="s">
        <v>14</v>
      </c>
      <c r="BK2" s="77"/>
      <c r="BL2" s="77"/>
      <c r="BM2" s="77"/>
      <c r="BN2" s="77"/>
      <c r="BO2" s="78" t="s">
        <v>11</v>
      </c>
      <c r="BP2" s="77"/>
      <c r="BQ2" s="187">
        <v>2000</v>
      </c>
      <c r="BR2" s="188"/>
      <c r="BT2" s="76" t="s">
        <v>15</v>
      </c>
      <c r="BU2" s="77"/>
      <c r="BV2" s="77"/>
      <c r="BW2" s="77"/>
      <c r="BX2" s="77"/>
      <c r="BY2" s="78" t="s">
        <v>11</v>
      </c>
      <c r="BZ2" s="77"/>
      <c r="CA2" s="187"/>
      <c r="CB2" s="188"/>
    </row>
    <row r="3" spans="1:83" ht="45" customHeight="1">
      <c r="A3" s="79">
        <f>'ACOMPANHAMENTO USINA'!$AL$2</f>
        <v>45463</v>
      </c>
      <c r="B3" s="80">
        <v>1</v>
      </c>
      <c r="C3" s="81">
        <f ca="1">IF('PRODUÇÃO TOTAL USINA'!K3="","",'PRODUÇÃO TOTAL USINA'!K3-'PRODUÇÃO TOTAL USINA'!J3)</f>
        <v>47.536915603438501</v>
      </c>
      <c r="D3" s="186"/>
      <c r="E3" s="54"/>
      <c r="F3" s="80">
        <v>1</v>
      </c>
      <c r="G3" s="81">
        <f ca="1">IF('PRODUÇÃO TOTAL USINA'!S3="","",'PRODUÇÃO TOTAL USINA'!S3-'PRODUÇÃO TOTAL USINA'!R3)</f>
        <v>-1637.28</v>
      </c>
      <c r="H3" s="186" t="s">
        <v>16</v>
      </c>
      <c r="I3" s="82" t="s">
        <v>17</v>
      </c>
      <c r="J3" s="80">
        <v>1</v>
      </c>
      <c r="K3" s="81">
        <f ca="1">IF('PRODUÇÃO TOTAL USINA'!AA3="","",'PRODUÇÃO TOTAL USINA'!AA3-'PRODUÇÃO TOTAL USINA'!Z3)</f>
        <v>1380</v>
      </c>
      <c r="L3" s="186"/>
      <c r="M3" s="82"/>
      <c r="N3" s="80">
        <v>1</v>
      </c>
      <c r="O3" s="81">
        <f ca="1">IF('PRODUÇÃO TOTAL USINA'!AI3="","",'PRODUÇÃO TOTAL USINA'!AI3-'PRODUÇÃO TOTAL USINA'!AH3)</f>
        <v>-20.083333333333321</v>
      </c>
      <c r="P3" s="90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2" t="s">
        <v>18</v>
      </c>
      <c r="AA3" s="189"/>
      <c r="AB3" s="189"/>
      <c r="AC3" s="189"/>
      <c r="AD3" s="189"/>
      <c r="AE3" s="189"/>
      <c r="AF3" s="189"/>
      <c r="AG3" s="189"/>
      <c r="AH3" s="189"/>
      <c r="AI3" s="15"/>
      <c r="AJ3" s="15"/>
      <c r="AK3" s="15"/>
      <c r="AL3" s="192" t="s">
        <v>19</v>
      </c>
      <c r="AM3" s="193"/>
      <c r="AN3" s="193"/>
      <c r="AO3" s="193"/>
      <c r="AP3" s="193"/>
      <c r="AQ3" s="193"/>
      <c r="AR3" s="193"/>
      <c r="AS3" s="193"/>
      <c r="AT3" s="193"/>
      <c r="AU3" s="15"/>
      <c r="AV3" s="15"/>
      <c r="AW3" s="15"/>
      <c r="AX3" s="192" t="s">
        <v>20</v>
      </c>
      <c r="AY3" s="189"/>
      <c r="AZ3" s="189"/>
      <c r="BA3" s="189"/>
      <c r="BB3" s="189"/>
      <c r="BC3" s="189"/>
      <c r="BD3" s="189"/>
      <c r="BE3" s="189"/>
      <c r="BF3" s="189"/>
      <c r="BG3" s="15"/>
      <c r="BH3" s="15"/>
      <c r="BI3" s="15"/>
      <c r="BJ3" s="189" t="s">
        <v>21</v>
      </c>
      <c r="BK3" s="190"/>
      <c r="BL3" s="190"/>
      <c r="BM3" s="190"/>
      <c r="BN3" s="190"/>
      <c r="BO3" s="190"/>
      <c r="BP3" s="190"/>
      <c r="BQ3" s="190"/>
      <c r="BR3" s="191"/>
      <c r="BS3" s="83"/>
      <c r="BT3" s="189"/>
      <c r="BU3" s="190"/>
      <c r="BV3" s="190"/>
      <c r="BW3" s="190"/>
      <c r="BX3" s="190"/>
      <c r="BY3" s="190"/>
      <c r="BZ3" s="190"/>
      <c r="CA3" s="190"/>
      <c r="CB3" s="191"/>
    </row>
    <row r="4" spans="1:83" ht="45" customHeight="1">
      <c r="A4" s="79">
        <f>'ACOMPANHAMENTO USINA'!$AL$2</f>
        <v>45463</v>
      </c>
      <c r="B4" s="80">
        <v>2</v>
      </c>
      <c r="C4" s="81">
        <f ca="1">IF('PRODUÇÃO TOTAL USINA'!K4="","",'PRODUÇÃO TOTAL USINA'!K4-'PRODUÇÃO TOTAL USINA'!J4)</f>
        <v>-3275.6155358942378</v>
      </c>
      <c r="D4" s="186" t="s">
        <v>22</v>
      </c>
      <c r="E4" s="54"/>
      <c r="F4" s="80">
        <v>2</v>
      </c>
      <c r="G4" s="81">
        <f ca="1">IF('PRODUÇÃO TOTAL USINA'!S4="","",'PRODUÇÃO TOTAL USINA'!S4-'PRODUÇÃO TOTAL USINA'!R4)</f>
        <v>1297</v>
      </c>
      <c r="H4" s="186"/>
      <c r="I4" s="82"/>
      <c r="J4" s="80">
        <v>2</v>
      </c>
      <c r="K4" s="81">
        <f ca="1">IF('PRODUÇÃO TOTAL USINA'!AA4="","",'PRODUÇÃO TOTAL USINA'!AA4-'PRODUÇÃO TOTAL USINA'!Z4)</f>
        <v>1110</v>
      </c>
      <c r="L4" s="186"/>
      <c r="M4" s="88"/>
      <c r="N4" s="80">
        <v>2</v>
      </c>
      <c r="O4" s="81">
        <f ca="1">IF('PRODUÇÃO TOTAL USINA'!AI4="","",'PRODUÇÃO TOTAL USINA'!AI4-'PRODUÇÃO TOTAL USINA'!AH4)</f>
        <v>59.916666666666679</v>
      </c>
      <c r="P4" s="90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89"/>
      <c r="AA4" s="189"/>
      <c r="AB4" s="189"/>
      <c r="AC4" s="189"/>
      <c r="AD4" s="189"/>
      <c r="AE4" s="189"/>
      <c r="AF4" s="189"/>
      <c r="AG4" s="189"/>
      <c r="AH4" s="189"/>
      <c r="AI4" s="15"/>
      <c r="AJ4" s="15"/>
      <c r="AK4" s="15"/>
      <c r="AL4" s="193"/>
      <c r="AM4" s="193"/>
      <c r="AN4" s="193"/>
      <c r="AO4" s="193"/>
      <c r="AP4" s="193"/>
      <c r="AQ4" s="193"/>
      <c r="AR4" s="193"/>
      <c r="AS4" s="193"/>
      <c r="AT4" s="193"/>
      <c r="AU4" s="15"/>
      <c r="AV4" s="15"/>
      <c r="AW4" s="15"/>
      <c r="AX4" s="189"/>
      <c r="AY4" s="189"/>
      <c r="AZ4" s="189"/>
      <c r="BA4" s="189"/>
      <c r="BB4" s="189"/>
      <c r="BC4" s="189"/>
      <c r="BD4" s="189"/>
      <c r="BE4" s="189"/>
      <c r="BF4" s="189"/>
      <c r="BG4" s="15"/>
      <c r="BH4" s="15"/>
      <c r="BI4" s="15"/>
      <c r="BJ4" s="190"/>
      <c r="BK4" s="190"/>
      <c r="BL4" s="190"/>
      <c r="BM4" s="190"/>
      <c r="BN4" s="190"/>
      <c r="BO4" s="190"/>
      <c r="BP4" s="190"/>
      <c r="BQ4" s="190"/>
      <c r="BR4" s="191"/>
      <c r="BT4" s="190"/>
      <c r="BU4" s="190"/>
      <c r="BV4" s="190"/>
      <c r="BW4" s="190"/>
      <c r="BX4" s="190"/>
      <c r="BY4" s="190"/>
      <c r="BZ4" s="190"/>
      <c r="CA4" s="190"/>
      <c r="CB4" s="191"/>
    </row>
    <row r="5" spans="1:83" ht="45" customHeight="1">
      <c r="A5" s="79">
        <f>'ACOMPANHAMENTO USINA'!$AL$2</f>
        <v>45463</v>
      </c>
      <c r="B5" s="80">
        <v>3</v>
      </c>
      <c r="C5" s="81">
        <f ca="1">IF('PRODUÇÃO TOTAL USINA'!K5="","",'PRODUÇÃO TOTAL USINA'!K5-'PRODUÇÃO TOTAL USINA'!J5)</f>
        <v>-658.13799799131993</v>
      </c>
      <c r="D5" s="186" t="s">
        <v>22</v>
      </c>
      <c r="E5" s="54"/>
      <c r="F5" s="80" t="s">
        <v>23</v>
      </c>
      <c r="G5" s="81">
        <f ca="1">IF('PRODUÇÃO TOTAL USINA'!S5="","",'PRODUÇÃO TOTAL USINA'!S5-'PRODUÇÃO TOTAL USINA'!R5)</f>
        <v>1842.76</v>
      </c>
      <c r="H5" s="186"/>
      <c r="I5" s="82"/>
      <c r="J5" s="80">
        <v>3</v>
      </c>
      <c r="K5" s="81">
        <f ca="1">IF('PRODUÇÃO TOTAL USINA'!AA5="","",'PRODUÇÃO TOTAL USINA'!AA5-'PRODUÇÃO TOTAL USINA'!Z5)</f>
        <v>670</v>
      </c>
      <c r="L5" s="90"/>
      <c r="M5" s="82"/>
      <c r="N5" s="80">
        <v>3</v>
      </c>
      <c r="O5" s="81">
        <f ca="1">IF('PRODUÇÃO TOTAL USINA'!AI5="","",'PRODUÇÃO TOTAL USINA'!AI5-'PRODUÇÃO TOTAL USINA'!AH5)</f>
        <v>115.91666666666669</v>
      </c>
      <c r="P5" s="90"/>
      <c r="R5" s="80">
        <v>3</v>
      </c>
      <c r="S5" s="81" t="str">
        <f>IF('PRODUÇÃO TOTAL USINA'!AM5="","",'PRODUÇÃO TOTAL USINA'!AM5-'PRODUÇÃO TOTAL USINA'!AL5)</f>
        <v/>
      </c>
      <c r="T5" s="103"/>
      <c r="Z5" s="189"/>
      <c r="AA5" s="189"/>
      <c r="AB5" s="189"/>
      <c r="AC5" s="189"/>
      <c r="AD5" s="189"/>
      <c r="AE5" s="189"/>
      <c r="AF5" s="189"/>
      <c r="AG5" s="189"/>
      <c r="AH5" s="189"/>
      <c r="AI5" s="15"/>
      <c r="AJ5" s="15"/>
      <c r="AK5" s="15"/>
      <c r="AL5" s="193"/>
      <c r="AM5" s="193"/>
      <c r="AN5" s="193"/>
      <c r="AO5" s="193"/>
      <c r="AP5" s="193"/>
      <c r="AQ5" s="193"/>
      <c r="AR5" s="193"/>
      <c r="AS5" s="193"/>
      <c r="AT5" s="193"/>
      <c r="AU5" s="15"/>
      <c r="AV5" s="15"/>
      <c r="AW5" s="15"/>
      <c r="AX5" s="189"/>
      <c r="AY5" s="189"/>
      <c r="AZ5" s="189"/>
      <c r="BA5" s="189"/>
      <c r="BB5" s="189"/>
      <c r="BC5" s="189"/>
      <c r="BD5" s="189"/>
      <c r="BE5" s="189"/>
      <c r="BF5" s="189"/>
      <c r="BG5" s="15"/>
      <c r="BH5" s="15"/>
      <c r="BI5" s="15"/>
      <c r="BJ5" s="190"/>
      <c r="BK5" s="190"/>
      <c r="BL5" s="190"/>
      <c r="BM5" s="190"/>
      <c r="BN5" s="190"/>
      <c r="BO5" s="190"/>
      <c r="BP5" s="190"/>
      <c r="BQ5" s="190"/>
      <c r="BR5" s="191"/>
      <c r="BT5" s="190"/>
      <c r="BU5" s="190"/>
      <c r="BV5" s="190"/>
      <c r="BW5" s="190"/>
      <c r="BX5" s="190"/>
      <c r="BY5" s="190"/>
      <c r="BZ5" s="190"/>
      <c r="CA5" s="190"/>
      <c r="CB5" s="191"/>
    </row>
    <row r="6" spans="1:83" ht="45" customHeight="1">
      <c r="A6" s="79">
        <f>'ACOMPANHAMENTO USINA'!$AL$2</f>
        <v>45463</v>
      </c>
      <c r="B6" s="80">
        <v>4</v>
      </c>
      <c r="C6" s="81">
        <f ca="1">IF('PRODUÇÃO TOTAL USINA'!K6="","",'PRODUÇÃO TOTAL USINA'!K6-'PRODUÇÃO TOTAL USINA'!J6)</f>
        <v>-414.74467908352744</v>
      </c>
      <c r="D6" s="186" t="s">
        <v>24</v>
      </c>
      <c r="E6" s="54"/>
      <c r="F6" s="80">
        <v>4</v>
      </c>
      <c r="G6" s="81">
        <f ca="1">IF('PRODUÇÃO TOTAL USINA'!S6="","",'PRODUÇÃO TOTAL USINA'!S6-'PRODUÇÃO TOTAL USINA'!R6)</f>
        <v>1277.92</v>
      </c>
      <c r="H6" s="90"/>
      <c r="I6" s="82"/>
      <c r="J6" s="80">
        <v>4</v>
      </c>
      <c r="K6" s="81">
        <f ca="1">IF('PRODUÇÃO TOTAL USINA'!AA6="","",'PRODUÇÃO TOTAL USINA'!AA6-'PRODUÇÃO TOTAL USINA'!Z6)</f>
        <v>210</v>
      </c>
      <c r="L6" s="186"/>
      <c r="M6" s="82"/>
      <c r="N6" s="80">
        <v>4</v>
      </c>
      <c r="O6" s="81">
        <f ca="1">IF('PRODUÇÃO TOTAL USINA'!AI6="","",'PRODUÇÃO TOTAL USINA'!AI6-'PRODUÇÃO TOTAL USINA'!AH6)</f>
        <v>85.916666666666686</v>
      </c>
      <c r="P6" s="90"/>
      <c r="R6" s="80">
        <v>4</v>
      </c>
      <c r="S6" s="81" t="str">
        <f>IF('PRODUÇÃO TOTAL USINA'!AM6="","",'PRODUÇÃO TOTAL USINA'!AM6-'PRODUÇÃO TOTAL USINA'!AL6)</f>
        <v/>
      </c>
      <c r="T6" s="90"/>
      <c r="Z6" s="189"/>
      <c r="AA6" s="189"/>
      <c r="AB6" s="189"/>
      <c r="AC6" s="189"/>
      <c r="AD6" s="189"/>
      <c r="AE6" s="189"/>
      <c r="AF6" s="189"/>
      <c r="AG6" s="189"/>
      <c r="AH6" s="189"/>
      <c r="AI6" s="15"/>
      <c r="AJ6" s="15"/>
      <c r="AK6" s="15"/>
      <c r="AL6" s="193"/>
      <c r="AM6" s="193"/>
      <c r="AN6" s="193"/>
      <c r="AO6" s="193"/>
      <c r="AP6" s="193"/>
      <c r="AQ6" s="193"/>
      <c r="AR6" s="193"/>
      <c r="AS6" s="193"/>
      <c r="AT6" s="193"/>
      <c r="AU6" s="15"/>
      <c r="AV6" s="15"/>
      <c r="AW6" s="15"/>
      <c r="AX6" s="189"/>
      <c r="AY6" s="189"/>
      <c r="AZ6" s="189"/>
      <c r="BA6" s="189"/>
      <c r="BB6" s="189"/>
      <c r="BC6" s="189"/>
      <c r="BD6" s="189"/>
      <c r="BE6" s="189"/>
      <c r="BF6" s="189"/>
      <c r="BG6" s="15"/>
      <c r="BH6" s="15"/>
      <c r="BI6" s="15"/>
      <c r="BJ6" s="190"/>
      <c r="BK6" s="190"/>
      <c r="BL6" s="190"/>
      <c r="BM6" s="190"/>
      <c r="BN6" s="190"/>
      <c r="BO6" s="190"/>
      <c r="BP6" s="190"/>
      <c r="BQ6" s="190"/>
      <c r="BR6" s="191"/>
      <c r="BT6" s="190"/>
      <c r="BU6" s="190"/>
      <c r="BV6" s="190"/>
      <c r="BW6" s="190"/>
      <c r="BX6" s="190"/>
      <c r="BY6" s="190"/>
      <c r="BZ6" s="190"/>
      <c r="CA6" s="190"/>
      <c r="CB6" s="191"/>
    </row>
    <row r="7" spans="1:83" ht="45" customHeight="1">
      <c r="A7" s="79">
        <f>'ACOMPANHAMENTO USINA'!$AL$2</f>
        <v>45463</v>
      </c>
      <c r="B7" s="80">
        <v>5</v>
      </c>
      <c r="C7" s="81">
        <f ca="1">IF('PRODUÇÃO TOTAL USINA'!K7="","",'PRODUÇÃO TOTAL USINA'!K7-'PRODUÇÃO TOTAL USINA'!J7)</f>
        <v>-1200.5684127310851</v>
      </c>
      <c r="D7" s="186" t="s">
        <v>24</v>
      </c>
      <c r="E7" s="54"/>
      <c r="F7" s="80">
        <v>5</v>
      </c>
      <c r="G7" s="81">
        <f ca="1">IF('PRODUÇÃO TOTAL USINA'!S7="","",'PRODUÇÃO TOTAL USINA'!S7-'PRODUÇÃO TOTAL USINA'!R7)</f>
        <v>834</v>
      </c>
      <c r="H7" s="90"/>
      <c r="I7" s="82"/>
      <c r="J7" s="80">
        <v>5</v>
      </c>
      <c r="K7" s="81">
        <f ca="1">IF('PRODUÇÃO TOTAL USINA'!AA7="","",'PRODUÇÃO TOTAL USINA'!AA7-'PRODUÇÃO TOTAL USINA'!Z7)</f>
        <v>2340</v>
      </c>
      <c r="L7" s="186"/>
      <c r="M7" s="82"/>
      <c r="N7" s="80">
        <v>5</v>
      </c>
      <c r="O7" s="81">
        <f ca="1">IF('PRODUÇÃO TOTAL USINA'!AI7="","",'PRODUÇÃO TOTAL USINA'!AI7-'PRODUÇÃO TOTAL USINA'!AH7)</f>
        <v>112.91666666666669</v>
      </c>
      <c r="P7" s="90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89"/>
      <c r="AA7" s="189"/>
      <c r="AB7" s="189"/>
      <c r="AC7" s="189"/>
      <c r="AD7" s="189"/>
      <c r="AE7" s="189"/>
      <c r="AF7" s="189"/>
      <c r="AG7" s="189"/>
      <c r="AH7" s="189"/>
      <c r="AL7" s="193"/>
      <c r="AM7" s="193"/>
      <c r="AN7" s="193"/>
      <c r="AO7" s="193"/>
      <c r="AP7" s="193"/>
      <c r="AQ7" s="193"/>
      <c r="AR7" s="193"/>
      <c r="AS7" s="193"/>
      <c r="AT7" s="193"/>
      <c r="AX7" s="189"/>
      <c r="AY7" s="189"/>
      <c r="AZ7" s="189"/>
      <c r="BA7" s="189"/>
      <c r="BB7" s="189"/>
      <c r="BC7" s="189"/>
      <c r="BD7" s="189"/>
      <c r="BE7" s="189"/>
      <c r="BF7" s="189"/>
      <c r="CE7" s="87"/>
    </row>
    <row r="8" spans="1:83" ht="45" customHeight="1">
      <c r="A8" s="79">
        <f>'ACOMPANHAMENTO USINA'!$AL$2</f>
        <v>45463</v>
      </c>
      <c r="B8" s="80" t="s">
        <v>25</v>
      </c>
      <c r="C8" s="81">
        <f ca="1">IF('PRODUÇÃO TOTAL USINA'!K8="","",'PRODUÇÃO TOTAL USINA'!K8-'PRODUÇÃO TOTAL USINA'!J8)</f>
        <v>-960.37932836618893</v>
      </c>
      <c r="D8" s="186" t="s">
        <v>26</v>
      </c>
      <c r="E8" s="54"/>
      <c r="F8" s="80" t="s">
        <v>25</v>
      </c>
      <c r="G8" s="81">
        <f ca="1">IF('PRODUÇÃO TOTAL USINA'!S8="","",'PRODUÇÃO TOTAL USINA'!S8-'PRODUÇÃO TOTAL USINA'!R8)</f>
        <v>1246.96</v>
      </c>
      <c r="H8" s="90"/>
      <c r="I8" s="82"/>
      <c r="J8" s="80">
        <v>6</v>
      </c>
      <c r="K8" s="81">
        <f ca="1">IF('PRODUÇÃO TOTAL USINA'!AA8="","",'PRODUÇÃO TOTAL USINA'!AA8-'PRODUÇÃO TOTAL USINA'!Z8)</f>
        <v>1380</v>
      </c>
      <c r="L8" s="186"/>
      <c r="M8" s="82"/>
      <c r="N8" s="80">
        <v>6</v>
      </c>
      <c r="O8" s="81">
        <f ca="1">IF('PRODUÇÃO TOTAL USINA'!AI8="","",'PRODUÇÃO TOTAL USINA'!AI8-'PRODUÇÃO TOTAL USINA'!AH8)</f>
        <v>33.916666666666679</v>
      </c>
      <c r="P8" s="90"/>
      <c r="R8" s="80">
        <v>6</v>
      </c>
      <c r="S8" s="81" t="str">
        <f>IF('PRODUÇÃO TOTAL USINA'!AM8="","",'PRODUÇÃO TOTAL USINA'!AM8-'PRODUÇÃO TOTAL USINA'!AL8)</f>
        <v/>
      </c>
      <c r="T8" s="90"/>
      <c r="Z8" s="189"/>
      <c r="AA8" s="189"/>
      <c r="AB8" s="189"/>
      <c r="AC8" s="189"/>
      <c r="AD8" s="189"/>
      <c r="AE8" s="189"/>
      <c r="AF8" s="189"/>
      <c r="AG8" s="189"/>
      <c r="AH8" s="189"/>
      <c r="AL8" s="193"/>
      <c r="AM8" s="193"/>
      <c r="AN8" s="193"/>
      <c r="AO8" s="193"/>
      <c r="AP8" s="193"/>
      <c r="AQ8" s="193"/>
      <c r="AR8" s="193"/>
      <c r="AS8" s="193"/>
      <c r="AT8" s="193"/>
      <c r="AX8" s="189"/>
      <c r="AY8" s="189"/>
      <c r="AZ8" s="189"/>
      <c r="BA8" s="189"/>
      <c r="BB8" s="189"/>
      <c r="BC8" s="189"/>
      <c r="BD8" s="189"/>
      <c r="BE8" s="189"/>
      <c r="BF8" s="189"/>
    </row>
    <row r="9" spans="1:83" ht="45" customHeight="1">
      <c r="A9" s="79">
        <f>'ACOMPANHAMENTO USINA'!$AL$2</f>
        <v>45463</v>
      </c>
      <c r="B9" s="80" t="s">
        <v>27</v>
      </c>
      <c r="C9" s="81">
        <f ca="1">IF('PRODUÇÃO TOTAL USINA'!K9="","",'PRODUÇÃO TOTAL USINA'!K9-'PRODUÇÃO TOTAL USINA'!J9)</f>
        <v>-3016.3833851502332</v>
      </c>
      <c r="D9" s="186" t="s">
        <v>26</v>
      </c>
      <c r="E9" s="54"/>
      <c r="F9" s="80" t="s">
        <v>27</v>
      </c>
      <c r="G9" s="81">
        <f ca="1">IF('PRODUÇÃO TOTAL USINA'!S9="","",'PRODUÇÃO TOTAL USINA'!S9-'PRODUÇÃO TOTAL USINA'!R9)</f>
        <v>-340</v>
      </c>
      <c r="H9" s="90"/>
      <c r="I9" s="82"/>
      <c r="J9" s="80">
        <v>7</v>
      </c>
      <c r="K9" s="81">
        <f ca="1">IF('PRODUÇÃO TOTAL USINA'!AA9="","",'PRODUÇÃO TOTAL USINA'!AA9-'PRODUÇÃO TOTAL USINA'!Z9)</f>
        <v>0</v>
      </c>
      <c r="L9" s="186"/>
      <c r="M9" s="82"/>
      <c r="N9" s="80">
        <v>7</v>
      </c>
      <c r="O9" s="81">
        <f ca="1">IF('PRODUÇÃO TOTAL USINA'!AI9="","",'PRODUÇÃO TOTAL USINA'!AI9-'PRODUÇÃO TOTAL USINA'!AH9)</f>
        <v>-42.083333333333321</v>
      </c>
      <c r="P9" s="185"/>
      <c r="R9" s="80">
        <v>7</v>
      </c>
      <c r="S9" s="81" t="str">
        <f>IF('PRODUÇÃO TOTAL USINA'!AM9="","",'PRODUÇÃO TOTAL USINA'!AM9-'PRODUÇÃO TOTAL USINA'!AL9)</f>
        <v/>
      </c>
      <c r="T9" s="90"/>
      <c r="Z9" s="189"/>
      <c r="AA9" s="189"/>
      <c r="AB9" s="189"/>
      <c r="AC9" s="189"/>
      <c r="AD9" s="189"/>
      <c r="AE9" s="189"/>
      <c r="AF9" s="189"/>
      <c r="AG9" s="189"/>
      <c r="AH9" s="189"/>
      <c r="AL9" s="193"/>
      <c r="AM9" s="193"/>
      <c r="AN9" s="193"/>
      <c r="AO9" s="193"/>
      <c r="AP9" s="193"/>
      <c r="AQ9" s="193"/>
      <c r="AR9" s="193"/>
      <c r="AS9" s="193"/>
      <c r="AT9" s="193"/>
      <c r="AX9" s="189"/>
      <c r="AY9" s="189"/>
      <c r="AZ9" s="189"/>
      <c r="BA9" s="189"/>
      <c r="BB9" s="189"/>
      <c r="BC9" s="189"/>
      <c r="BD9" s="189"/>
      <c r="BE9" s="189"/>
      <c r="BF9" s="189"/>
      <c r="BL9" s="91"/>
      <c r="BX9" s="70">
        <v>152</v>
      </c>
    </row>
    <row r="10" spans="1:83" ht="45" customHeight="1">
      <c r="A10" s="79">
        <f>'ACOMPANHAMENTO USINA'!$AL$2</f>
        <v>45463</v>
      </c>
      <c r="B10" s="80" t="s">
        <v>28</v>
      </c>
      <c r="C10" s="81">
        <f ca="1">IF('PRODUÇÃO TOTAL USINA'!K10="","",'PRODUÇÃO TOTAL USINA'!K10-'PRODUÇÃO TOTAL USINA'!J10)</f>
        <v>-2371.4458709158043</v>
      </c>
      <c r="D10" s="186" t="s">
        <v>26</v>
      </c>
      <c r="E10" s="54"/>
      <c r="F10" s="80">
        <v>8</v>
      </c>
      <c r="G10" s="81">
        <f ca="1">IF('PRODUÇÃO TOTAL USINA'!S10="","",'PRODUÇÃO TOTAL USINA'!S10-'PRODUÇÃO TOTAL USINA'!R10)</f>
        <v>222.76</v>
      </c>
      <c r="H10" s="90"/>
      <c r="I10" s="82"/>
      <c r="J10" s="80">
        <v>8</v>
      </c>
      <c r="K10" s="81">
        <f ca="1">IF('PRODUÇÃO TOTAL USINA'!AA10="","",'PRODUÇÃO TOTAL USINA'!AA10-'PRODUÇÃO TOTAL USINA'!Z10)</f>
        <v>960</v>
      </c>
      <c r="L10" s="186"/>
      <c r="M10" s="82"/>
      <c r="N10" s="80">
        <v>8</v>
      </c>
      <c r="O10" s="81">
        <f ca="1">IF('PRODUÇÃO TOTAL USINA'!AI10="","",'PRODUÇÃO TOTAL USINA'!AI10-'PRODUÇÃO TOTAL USINA'!AH10)</f>
        <v>-21.083333333333321</v>
      </c>
      <c r="P10" s="90"/>
      <c r="R10" s="80">
        <v>8</v>
      </c>
      <c r="S10" s="81" t="str">
        <f>IF('PRODUÇÃO TOTAL USINA'!AM10="","",'PRODUÇÃO TOTAL USINA'!AM10-'PRODUÇÃO TOTAL USINA'!AL10)</f>
        <v/>
      </c>
      <c r="T10" s="90"/>
      <c r="Z10" s="189"/>
      <c r="AA10" s="189"/>
      <c r="AB10" s="189"/>
      <c r="AC10" s="189"/>
      <c r="AD10" s="189"/>
      <c r="AE10" s="189"/>
      <c r="AF10" s="189"/>
      <c r="AG10" s="189"/>
      <c r="AH10" s="189"/>
      <c r="AL10" s="193"/>
      <c r="AM10" s="193"/>
      <c r="AN10" s="193"/>
      <c r="AO10" s="193"/>
      <c r="AP10" s="193"/>
      <c r="AQ10" s="193"/>
      <c r="AR10" s="193"/>
      <c r="AS10" s="193"/>
      <c r="AT10" s="193"/>
      <c r="AX10" s="189"/>
      <c r="AY10" s="189"/>
      <c r="AZ10" s="189"/>
      <c r="BA10" s="189"/>
      <c r="BB10" s="189"/>
      <c r="BC10" s="189"/>
      <c r="BD10" s="189"/>
      <c r="BE10" s="189"/>
      <c r="BF10" s="189"/>
      <c r="BL10" s="91"/>
    </row>
    <row r="11" spans="1:83" ht="45" customHeight="1">
      <c r="A11" s="79">
        <f>'ACOMPANHAMENTO USINA'!$AL$2</f>
        <v>45463</v>
      </c>
      <c r="B11" s="80">
        <v>9</v>
      </c>
      <c r="C11" s="81">
        <f ca="1">IF('PRODUÇÃO TOTAL USINA'!K11="","",'PRODUÇÃO TOTAL USINA'!K11-'PRODUÇÃO TOTAL USINA'!J11)</f>
        <v>-4748.0686533746866</v>
      </c>
      <c r="D11" s="186" t="s">
        <v>29</v>
      </c>
      <c r="E11" s="84"/>
      <c r="F11" s="80">
        <v>9</v>
      </c>
      <c r="G11" s="81">
        <f ca="1">IF('PRODUÇÃO TOTAL USINA'!S11="","",'PRODUÇÃO TOTAL USINA'!S11-'PRODUÇÃO TOTAL USINA'!R11)</f>
        <v>2162.52</v>
      </c>
      <c r="H11" s="90"/>
      <c r="I11" s="82"/>
      <c r="J11" s="80">
        <v>9</v>
      </c>
      <c r="K11" s="81">
        <f ca="1">IF('PRODUÇÃO TOTAL USINA'!AA11="","",'PRODUÇÃO TOTAL USINA'!AA11-'PRODUÇÃO TOTAL USINA'!Z11)</f>
        <v>1570</v>
      </c>
      <c r="L11" s="90"/>
      <c r="M11" s="82"/>
      <c r="N11" s="80">
        <v>9</v>
      </c>
      <c r="O11" s="81">
        <f ca="1">IF('PRODUÇÃO TOTAL USINA'!AI11="","",'PRODUÇÃO TOTAL USINA'!AI11-'PRODUÇÃO TOTAL USINA'!AH11)</f>
        <v>92.916666666666686</v>
      </c>
      <c r="P11" s="185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89"/>
      <c r="AA11" s="189"/>
      <c r="AB11" s="189"/>
      <c r="AC11" s="189"/>
      <c r="AD11" s="189"/>
      <c r="AE11" s="189"/>
      <c r="AF11" s="189"/>
      <c r="AG11" s="189"/>
      <c r="AH11" s="189"/>
      <c r="AL11" s="193"/>
      <c r="AM11" s="193"/>
      <c r="AN11" s="193"/>
      <c r="AO11" s="193"/>
      <c r="AP11" s="193"/>
      <c r="AQ11" s="193"/>
      <c r="AR11" s="193"/>
      <c r="AS11" s="193"/>
      <c r="AT11" s="193"/>
      <c r="AX11" s="189"/>
      <c r="AY11" s="189"/>
      <c r="AZ11" s="189"/>
      <c r="BA11" s="189"/>
      <c r="BB11" s="189"/>
      <c r="BC11" s="189"/>
      <c r="BD11" s="189"/>
      <c r="BE11" s="189"/>
      <c r="BF11" s="189"/>
      <c r="BL11" s="91"/>
    </row>
    <row r="12" spans="1:83" ht="45" customHeight="1">
      <c r="A12" s="79">
        <f>'ACOMPANHAMENTO USINA'!$AL$2</f>
        <v>45463</v>
      </c>
      <c r="B12" s="80">
        <v>10</v>
      </c>
      <c r="C12" s="81">
        <f ca="1">IF('PRODUÇÃO TOTAL USINA'!K12="","",'PRODUÇÃO TOTAL USINA'!K12-'PRODUÇÃO TOTAL USINA'!J12)</f>
        <v>-4580.6990681144525</v>
      </c>
      <c r="D12" s="186" t="s">
        <v>26</v>
      </c>
      <c r="E12" s="54"/>
      <c r="F12" s="80">
        <v>10</v>
      </c>
      <c r="G12" s="81">
        <f ca="1">IF('PRODUÇÃO TOTAL USINA'!S12="","",'PRODUÇÃO TOTAL USINA'!S12-'PRODUÇÃO TOTAL USINA'!R12)</f>
        <v>1620.76</v>
      </c>
      <c r="H12" s="186"/>
      <c r="I12" s="82"/>
      <c r="J12" s="80">
        <v>10</v>
      </c>
      <c r="K12" s="81">
        <f ca="1">IF('PRODUÇÃO TOTAL USINA'!AA12="","",'PRODUÇÃO TOTAL USINA'!AA12-'PRODUÇÃO TOTAL USINA'!Z12)</f>
        <v>510</v>
      </c>
      <c r="L12" s="186"/>
      <c r="M12" s="82"/>
      <c r="N12" s="80">
        <v>10</v>
      </c>
      <c r="O12" s="81">
        <f ca="1">IF('PRODUÇÃO TOTAL USINA'!AI12="","",'PRODUÇÃO TOTAL USINA'!AI12-'PRODUÇÃO TOTAL USINA'!AH12)</f>
        <v>145.91666666666669</v>
      </c>
      <c r="P12" s="185"/>
      <c r="R12" s="80">
        <v>10</v>
      </c>
      <c r="S12" s="81" t="str">
        <f>IF('PRODUÇÃO TOTAL USINA'!AM12="","",'PRODUÇÃO TOTAL USINA'!AM12-'PRODUÇÃO TOTAL USINA'!AL12)</f>
        <v/>
      </c>
      <c r="T12" s="90"/>
      <c r="Z12" s="189"/>
      <c r="AA12" s="189"/>
      <c r="AB12" s="189"/>
      <c r="AC12" s="189"/>
      <c r="AD12" s="189"/>
      <c r="AE12" s="189"/>
      <c r="AF12" s="189"/>
      <c r="AG12" s="189"/>
      <c r="AH12" s="189"/>
      <c r="AL12" s="193"/>
      <c r="AM12" s="193"/>
      <c r="AN12" s="193"/>
      <c r="AO12" s="193"/>
      <c r="AP12" s="193"/>
      <c r="AQ12" s="193"/>
      <c r="AR12" s="193"/>
      <c r="AS12" s="193"/>
      <c r="AT12" s="193"/>
      <c r="AX12" s="189"/>
      <c r="AY12" s="189"/>
      <c r="AZ12" s="189"/>
      <c r="BA12" s="189"/>
      <c r="BB12" s="189"/>
      <c r="BC12" s="189"/>
      <c r="BD12" s="189"/>
      <c r="BE12" s="189"/>
      <c r="BF12" s="189"/>
      <c r="BL12" s="91"/>
      <c r="BO12" s="70" t="s">
        <v>30</v>
      </c>
    </row>
    <row r="13" spans="1:83" ht="45" customHeight="1">
      <c r="A13" s="79">
        <f>'ACOMPANHAMENTO USINA'!$AL$2</f>
        <v>45463</v>
      </c>
      <c r="B13" s="80">
        <v>11</v>
      </c>
      <c r="C13" s="81">
        <f ca="1">IF('PRODUÇÃO TOTAL USINA'!K13="","",'PRODUÇÃO TOTAL USINA'!K13-'PRODUÇÃO TOTAL USINA'!J13)</f>
        <v>-4684.9938823828816</v>
      </c>
      <c r="D13" s="186" t="s">
        <v>31</v>
      </c>
      <c r="E13" s="54"/>
      <c r="F13" s="80">
        <v>11</v>
      </c>
      <c r="G13" s="81">
        <f ca="1">IF('PRODUÇÃO TOTAL USINA'!S13="","",'PRODUÇÃO TOTAL USINA'!S13-'PRODUÇÃO TOTAL USINA'!R13)</f>
        <v>1055.7200000000003</v>
      </c>
      <c r="H13" s="186"/>
      <c r="I13" s="82"/>
      <c r="J13" s="80">
        <v>11</v>
      </c>
      <c r="K13" s="81">
        <f ca="1">IF('PRODUÇÃO TOTAL USINA'!AA13="","",'PRODUÇÃO TOTAL USINA'!AA13-'PRODUÇÃO TOTAL USINA'!Z13)</f>
        <v>0</v>
      </c>
      <c r="L13" s="186"/>
      <c r="M13" s="82"/>
      <c r="N13" s="80">
        <v>11</v>
      </c>
      <c r="O13" s="81">
        <f ca="1">IF('PRODUÇÃO TOTAL USINA'!AI13="","",'PRODUÇÃO TOTAL USINA'!AI13-'PRODUÇÃO TOTAL USINA'!AH13)</f>
        <v>136.91666666666669</v>
      </c>
      <c r="P13" s="185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45" customHeight="1">
      <c r="A14" s="79">
        <f>'ACOMPANHAMENTO USINA'!$AL$2</f>
        <v>45463</v>
      </c>
      <c r="B14" s="80">
        <v>12</v>
      </c>
      <c r="C14" s="81">
        <f ca="1">IF('PRODUÇÃO TOTAL USINA'!K14="","",'PRODUÇÃO TOTAL USINA'!K14-'PRODUÇÃO TOTAL USINA'!J14)</f>
        <v>-3308.2112384665907</v>
      </c>
      <c r="D14" s="186" t="s">
        <v>31</v>
      </c>
      <c r="E14" s="54"/>
      <c r="F14" s="80">
        <v>12</v>
      </c>
      <c r="G14" s="81">
        <f ca="1">IF('PRODUÇÃO TOTAL USINA'!S14="","",'PRODUÇÃO TOTAL USINA'!S14-'PRODUÇÃO TOTAL USINA'!R14)</f>
        <v>2679</v>
      </c>
      <c r="H14" s="186"/>
      <c r="I14" s="82"/>
      <c r="J14" s="80">
        <v>12</v>
      </c>
      <c r="K14" s="81">
        <f ca="1">IF('PRODUÇÃO TOTAL USINA'!AA14="","",'PRODUÇÃO TOTAL USINA'!AA14-'PRODUÇÃO TOTAL USINA'!Z14)</f>
        <v>70</v>
      </c>
      <c r="L14" s="186"/>
      <c r="M14" s="82"/>
      <c r="N14" s="80">
        <v>12</v>
      </c>
      <c r="O14" s="81">
        <f ca="1">IF('PRODUÇÃO TOTAL USINA'!AI14="","",'PRODUÇÃO TOTAL USINA'!AI14-'PRODUÇÃO TOTAL USINA'!AH14)</f>
        <v>22.916666666666679</v>
      </c>
      <c r="P14" s="90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45" customHeight="1">
      <c r="A15" s="79">
        <f>'ACOMPANHAMENTO USINA'!$AL$2</f>
        <v>45463</v>
      </c>
      <c r="B15" s="80">
        <v>13</v>
      </c>
      <c r="C15" s="81">
        <f ca="1">IF('PRODUÇÃO TOTAL USINA'!K15="","",'PRODUÇÃO TOTAL USINA'!K15-'PRODUÇÃO TOTAL USINA'!J15)</f>
        <v>-175.95473018486609</v>
      </c>
      <c r="D15" s="186" t="s">
        <v>31</v>
      </c>
      <c r="E15" s="54"/>
      <c r="F15" s="80">
        <v>13</v>
      </c>
      <c r="G15" s="81">
        <f ca="1">IF('PRODUÇÃO TOTAL USINA'!S15="","",'PRODUÇÃO TOTAL USINA'!S15-'PRODUÇÃO TOTAL USINA'!R15)</f>
        <v>3508</v>
      </c>
      <c r="H15" s="186"/>
      <c r="I15" s="82"/>
      <c r="J15" s="80">
        <v>13</v>
      </c>
      <c r="K15" s="81">
        <f ca="1">IF('PRODUÇÃO TOTAL USINA'!AA15="","",'PRODUÇÃO TOTAL USINA'!AA15-'PRODUÇÃO TOTAL USINA'!Z15)</f>
        <v>0</v>
      </c>
      <c r="L15" s="186"/>
      <c r="M15" s="82"/>
      <c r="N15" s="80">
        <v>13</v>
      </c>
      <c r="O15" s="81">
        <f ca="1">IF('PRODUÇÃO TOTAL USINA'!AI15="","",'PRODUÇÃO TOTAL USINA'!AI15-'PRODUÇÃO TOTAL USINA'!AH15)</f>
        <v>-42.083333333333321</v>
      </c>
      <c r="P15" s="90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45" customHeight="1">
      <c r="A16" s="79">
        <f>'ACOMPANHAMENTO USINA'!$AL$2</f>
        <v>45463</v>
      </c>
      <c r="B16" s="80">
        <v>14</v>
      </c>
      <c r="C16" s="81">
        <f ca="1">IF('PRODUÇÃO TOTAL USINA'!K16="","",'PRODUÇÃO TOTAL USINA'!K16-'PRODUÇÃO TOTAL USINA'!J16)</f>
        <v>-822.33713345755677</v>
      </c>
      <c r="D16" s="186" t="s">
        <v>32</v>
      </c>
      <c r="E16" s="54"/>
      <c r="F16" s="80">
        <v>14</v>
      </c>
      <c r="G16" s="81">
        <f ca="1">IF('PRODUÇÃO TOTAL USINA'!S16="","",'PRODUÇÃO TOTAL USINA'!S16-'PRODUÇÃO TOTAL USINA'!R16)</f>
        <v>228.15999999999985</v>
      </c>
      <c r="H16" s="186"/>
      <c r="I16" s="82"/>
      <c r="J16" s="80">
        <v>14</v>
      </c>
      <c r="K16" s="81">
        <f ca="1">IF('PRODUÇÃO TOTAL USINA'!AA16="","",'PRODUÇÃO TOTAL USINA'!AA16-'PRODUÇÃO TOTAL USINA'!Z16)</f>
        <v>560</v>
      </c>
      <c r="L16" s="186"/>
      <c r="M16" s="82"/>
      <c r="N16" s="80">
        <v>14</v>
      </c>
      <c r="O16" s="81">
        <f ca="1">IF('PRODUÇÃO TOTAL USINA'!AI16="","",'PRODUÇÃO TOTAL USINA'!AI16-'PRODUÇÃO TOTAL USINA'!AH16)</f>
        <v>64.916666666666686</v>
      </c>
      <c r="P16" s="90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45" customHeight="1">
      <c r="A17" s="79">
        <f>'ACOMPANHAMENTO USINA'!$AL$2</f>
        <v>45463</v>
      </c>
      <c r="B17" s="80">
        <v>15</v>
      </c>
      <c r="C17" s="81">
        <f ca="1">IF('PRODUÇÃO TOTAL USINA'!K17="","",'PRODUÇÃO TOTAL USINA'!K17-'PRODUÇÃO TOTAL USINA'!J17)</f>
        <v>-130.90242129014132</v>
      </c>
      <c r="D17" s="186" t="s">
        <v>32</v>
      </c>
      <c r="E17" s="54"/>
      <c r="F17" s="80">
        <v>15</v>
      </c>
      <c r="G17" s="81">
        <f ca="1">IF('PRODUÇÃO TOTAL USINA'!S17="","",'PRODUÇÃO TOTAL USINA'!S17-'PRODUÇÃO TOTAL USINA'!R17)</f>
        <v>1215.4400000000005</v>
      </c>
      <c r="H17" s="186"/>
      <c r="I17" s="82"/>
      <c r="J17" s="80">
        <v>15</v>
      </c>
      <c r="K17" s="81">
        <f ca="1">IF('PRODUÇÃO TOTAL USINA'!AA17="","",'PRODUÇÃO TOTAL USINA'!AA17-'PRODUÇÃO TOTAL USINA'!Z17)</f>
        <v>580</v>
      </c>
      <c r="L17" s="185"/>
      <c r="M17" s="82"/>
      <c r="N17" s="80">
        <v>15</v>
      </c>
      <c r="O17" s="81">
        <f ca="1">IF('PRODUÇÃO TOTAL USINA'!AI17="","",'PRODUÇÃO TOTAL USINA'!AI17-'PRODUÇÃO TOTAL USINA'!AH17)</f>
        <v>127.91666666666669</v>
      </c>
      <c r="P17" s="90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45" customHeight="1">
      <c r="A18" s="79">
        <f>'ACOMPANHAMENTO USINA'!$AL$2</f>
        <v>45463</v>
      </c>
      <c r="B18" s="80">
        <v>16</v>
      </c>
      <c r="C18" s="81">
        <f ca="1">IF('PRODUÇÃO TOTAL USINA'!K18="","",'PRODUÇÃO TOTAL USINA'!K18-'PRODUÇÃO TOTAL USINA'!J18)</f>
        <v>-1774.1521687614586</v>
      </c>
      <c r="D18" s="186" t="s">
        <v>32</v>
      </c>
      <c r="E18" s="54"/>
      <c r="F18" s="80">
        <v>16</v>
      </c>
      <c r="G18" s="81">
        <f ca="1">IF('PRODUÇÃO TOTAL USINA'!S18="","",'PRODUÇÃO TOTAL USINA'!S18-'PRODUÇÃO TOTAL USINA'!R18)</f>
        <v>672.19999999999982</v>
      </c>
      <c r="H18" s="90"/>
      <c r="I18" s="82"/>
      <c r="J18" s="80">
        <v>16</v>
      </c>
      <c r="K18" s="81">
        <f ca="1">IF('PRODUÇÃO TOTAL USINA'!AA18="","",'PRODUÇÃO TOTAL USINA'!AA18-'PRODUÇÃO TOTAL USINA'!Z18)</f>
        <v>510</v>
      </c>
      <c r="L18" s="185"/>
      <c r="M18" s="82"/>
      <c r="N18" s="80">
        <v>16</v>
      </c>
      <c r="O18" s="81">
        <f ca="1">IF('PRODUÇÃO TOTAL USINA'!AI18="","",'PRODUÇÃO TOTAL USINA'!AI18-'PRODUÇÃO TOTAL USINA'!AH18)</f>
        <v>48.916666666666679</v>
      </c>
      <c r="P18" s="90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51.75">
      <c r="A19" s="79">
        <f>'ACOMPANHAMENTO USINA'!$AL$2</f>
        <v>45463</v>
      </c>
      <c r="B19" s="80">
        <v>17</v>
      </c>
      <c r="C19" s="81">
        <f ca="1">IF('PRODUÇÃO TOTAL USINA'!K19="","",'PRODUÇÃO TOTAL USINA'!K19-'PRODUÇÃO TOTAL USINA'!J19)</f>
        <v>-4309.8500074180483</v>
      </c>
      <c r="D19" s="186" t="s">
        <v>33</v>
      </c>
      <c r="E19" s="54"/>
      <c r="F19" s="80">
        <v>17</v>
      </c>
      <c r="G19" s="81">
        <f ca="1">IF('PRODUÇÃO TOTAL USINA'!S19="","",'PRODUÇÃO TOTAL USINA'!S19-'PRODUÇÃO TOTAL USINA'!R19)</f>
        <v>1124.2800000000007</v>
      </c>
      <c r="H19" s="90"/>
      <c r="I19" s="82"/>
      <c r="J19" s="80">
        <v>17</v>
      </c>
      <c r="K19" s="81">
        <f ca="1">IF('PRODUÇÃO TOTAL USINA'!AA19="","",'PRODUÇÃO TOTAL USINA'!AA19-'PRODUÇÃO TOTAL USINA'!Z19)</f>
        <v>0</v>
      </c>
      <c r="L19" s="185"/>
      <c r="M19" s="82"/>
      <c r="N19" s="80">
        <v>17</v>
      </c>
      <c r="O19" s="81">
        <f ca="1">IF('PRODUÇÃO TOTAL USINA'!AI19="","",'PRODUÇÃO TOTAL USINA'!AI19-'PRODUÇÃO TOTAL USINA'!AH19)</f>
        <v>4.9166666666666785</v>
      </c>
      <c r="P19" s="90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45" customHeight="1">
      <c r="A20" s="79">
        <f>'ACOMPANHAMENTO USINA'!$AL$2</f>
        <v>45463</v>
      </c>
      <c r="B20" s="80">
        <v>18</v>
      </c>
      <c r="C20" s="81">
        <f ca="1">IF('PRODUÇÃO TOTAL USINA'!K20="","",'PRODUÇÃO TOTAL USINA'!K20-'PRODUÇÃO TOTAL USINA'!J20)</f>
        <v>-693.31664800832004</v>
      </c>
      <c r="D20" s="186" t="s">
        <v>33</v>
      </c>
      <c r="E20" s="54"/>
      <c r="F20" s="80">
        <v>18</v>
      </c>
      <c r="G20" s="81">
        <f ca="1">IF('PRODUÇÃO TOTAL USINA'!S20="","",'PRODUÇÃO TOTAL USINA'!S20-'PRODUÇÃO TOTAL USINA'!R20)</f>
        <v>1457.2399999999998</v>
      </c>
      <c r="H20" s="186"/>
      <c r="I20" s="82"/>
      <c r="J20" s="80">
        <v>18</v>
      </c>
      <c r="K20" s="81">
        <f ca="1">IF('PRODUÇÃO TOTAL USINA'!AA20="","",'PRODUÇÃO TOTAL USINA'!AA20-'PRODUÇÃO TOTAL USINA'!Z20)</f>
        <v>0</v>
      </c>
      <c r="L20" s="186"/>
      <c r="M20" s="82"/>
      <c r="N20" s="80" t="s">
        <v>34</v>
      </c>
      <c r="O20" s="81">
        <f ca="1">IF('PRODUÇÃO TOTAL USINA'!AI20="","",'PRODUÇÃO TOTAL USINA'!AI20-'PRODUÇÃO TOTAL USINA'!AH20)</f>
        <v>113.91666666666669</v>
      </c>
      <c r="P20" s="90"/>
      <c r="R20" s="80" t="s">
        <v>34</v>
      </c>
      <c r="S20" s="81" t="str">
        <f>IF('PRODUÇÃO TOTAL USINA'!AM20="","",'PRODUÇÃO TOTAL USINA'!AM20-'PRODUÇÃO TOTAL USINA'!AL20)</f>
        <v/>
      </c>
      <c r="T20" s="90"/>
    </row>
    <row r="21" spans="1:34" ht="45" customHeight="1">
      <c r="A21" s="79">
        <f>'ACOMPANHAMENTO USINA'!$AL$2</f>
        <v>45463</v>
      </c>
      <c r="B21" s="80">
        <v>19</v>
      </c>
      <c r="C21" s="81">
        <f ca="1">IF('PRODUÇÃO TOTAL USINA'!K21="","",'PRODUÇÃO TOTAL USINA'!K21-'PRODUÇÃO TOTAL USINA'!J21)</f>
        <v>-2889.7875048190326</v>
      </c>
      <c r="D21" s="186" t="s">
        <v>33</v>
      </c>
      <c r="E21" s="54"/>
      <c r="F21" s="80">
        <v>19</v>
      </c>
      <c r="G21" s="81">
        <f ca="1">IF('PRODUÇÃO TOTAL USINA'!S21="","",'PRODUÇÃO TOTAL USINA'!S21-'PRODUÇÃO TOTAL USINA'!R21)</f>
        <v>299.76000000000022</v>
      </c>
      <c r="H21" s="186"/>
      <c r="I21" s="82"/>
      <c r="J21" s="80">
        <v>19</v>
      </c>
      <c r="K21" s="81">
        <f ca="1">IF('PRODUÇÃO TOTAL USINA'!AA21="","",'PRODUÇÃO TOTAL USINA'!AA21-'PRODUÇÃO TOTAL USINA'!Z21)</f>
        <v>0</v>
      </c>
      <c r="L21" s="186"/>
      <c r="M21" s="82"/>
      <c r="N21" s="80">
        <v>19</v>
      </c>
      <c r="O21" s="81">
        <f ca="1">IF('PRODUÇÃO TOTAL USINA'!AI21="","",'PRODUÇÃO TOTAL USINA'!AI21-'PRODUÇÃO TOTAL USINA'!AH21)</f>
        <v>-42.083333333333321</v>
      </c>
      <c r="P21" s="185" t="s">
        <v>35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51.75">
      <c r="A22" s="79">
        <f>'ACOMPANHAMENTO USINA'!$AL$2</f>
        <v>45463</v>
      </c>
      <c r="B22" s="80">
        <v>20</v>
      </c>
      <c r="C22" s="81">
        <f ca="1">IF('PRODUÇÃO TOTAL USINA'!K22="","",'PRODUÇÃO TOTAL USINA'!K22-'PRODUÇÃO TOTAL USINA'!J22)</f>
        <v>-5736.5966844498962</v>
      </c>
      <c r="D22" s="186" t="s">
        <v>33</v>
      </c>
      <c r="E22" s="54"/>
      <c r="F22" s="80">
        <v>20</v>
      </c>
      <c r="G22" s="81">
        <f ca="1">IF('PRODUÇÃO TOTAL USINA'!S22="","",'PRODUÇÃO TOTAL USINA'!S22-'PRODUÇÃO TOTAL USINA'!R22)</f>
        <v>-472.11999999999898</v>
      </c>
      <c r="H22" s="185" t="s">
        <v>36</v>
      </c>
      <c r="I22" s="82"/>
      <c r="J22" s="80">
        <v>20</v>
      </c>
      <c r="K22" s="81">
        <f ca="1">IF('PRODUÇÃO TOTAL USINA'!AA22="","",'PRODUÇÃO TOTAL USINA'!AA22-'PRODUÇÃO TOTAL USINA'!Z22)</f>
        <v>0</v>
      </c>
      <c r="L22" s="185"/>
      <c r="M22" s="82"/>
      <c r="N22" s="80">
        <v>20</v>
      </c>
      <c r="O22" s="81">
        <f ca="1">IF('PRODUÇÃO TOTAL USINA'!AI22="","",'PRODUÇÃO TOTAL USINA'!AI22-'PRODUÇÃO TOTAL USINA'!AH22)</f>
        <v>22.916666666666679</v>
      </c>
      <c r="P22" s="185"/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51.75">
      <c r="A23" s="79">
        <f>'ACOMPANHAMENTO USINA'!$AL$2</f>
        <v>45463</v>
      </c>
      <c r="B23" s="80">
        <v>21</v>
      </c>
      <c r="C23" s="81">
        <f ca="1">IF('PRODUÇÃO TOTAL USINA'!K23="","",'PRODUÇÃO TOTAL USINA'!K23-'PRODUÇÃO TOTAL USINA'!J23)</f>
        <v>-3718.5570271945144</v>
      </c>
      <c r="D23" s="186" t="s">
        <v>33</v>
      </c>
      <c r="E23" s="54"/>
      <c r="F23" s="80">
        <v>21</v>
      </c>
      <c r="G23" s="81">
        <f ca="1">IF('PRODUÇÃO TOTAL USINA'!S23="","",'PRODUÇÃO TOTAL USINA'!S23-'PRODUÇÃO TOTAL USINA'!R23)</f>
        <v>-2492.3999999999996</v>
      </c>
      <c r="H23" s="185" t="s">
        <v>36</v>
      </c>
      <c r="I23" s="82"/>
      <c r="J23" s="80">
        <v>21</v>
      </c>
      <c r="K23" s="81">
        <f ca="1">IF('PRODUÇÃO TOTAL USINA'!AA23="","",'PRODUÇÃO TOTAL USINA'!AA23-'PRODUÇÃO TOTAL USINA'!Z23)</f>
        <v>810</v>
      </c>
      <c r="L23" s="90"/>
      <c r="M23" s="82"/>
      <c r="N23" s="80">
        <v>21</v>
      </c>
      <c r="O23" s="81">
        <f ca="1">IF('PRODUÇÃO TOTAL USINA'!AI23="","",'PRODUÇÃO TOTAL USINA'!AI23-'PRODUÇÃO TOTAL USINA'!AH23)</f>
        <v>-41.083333333333321</v>
      </c>
      <c r="P23" s="185" t="s">
        <v>35</v>
      </c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51.75">
      <c r="A24" s="79">
        <f>'ACOMPANHAMENTO USINA'!$AL$2</f>
        <v>45463</v>
      </c>
      <c r="B24" s="80">
        <v>22</v>
      </c>
      <c r="C24" s="81">
        <f ca="1">IF('PRODUÇÃO TOTAL USINA'!K24="","",'PRODUÇÃO TOTAL USINA'!K24-'PRODUÇÃO TOTAL USINA'!J24)</f>
        <v>-2109.5955555023684</v>
      </c>
      <c r="D24" s="186" t="s">
        <v>33</v>
      </c>
      <c r="E24" s="54"/>
      <c r="F24" s="80">
        <v>22</v>
      </c>
      <c r="G24" s="81">
        <f ca="1">IF('PRODUÇÃO TOTAL USINA'!S24="","",'PRODUÇÃO TOTAL USINA'!S24-'PRODUÇÃO TOTAL USINA'!R24)</f>
        <v>-1354.6399999999994</v>
      </c>
      <c r="H24" s="185" t="s">
        <v>36</v>
      </c>
      <c r="I24" s="82"/>
      <c r="J24" s="80">
        <v>22</v>
      </c>
      <c r="K24" s="81">
        <f ca="1">IF('PRODUÇÃO TOTAL USINA'!AA24="","",'PRODUÇÃO TOTAL USINA'!AA24-'PRODUÇÃO TOTAL USINA'!Z24)</f>
        <v>1250</v>
      </c>
      <c r="L24" s="90"/>
      <c r="M24" s="82"/>
      <c r="N24" s="80">
        <v>22</v>
      </c>
      <c r="O24" s="81">
        <f ca="1">IF('PRODUÇÃO TOTAL USINA'!AI24="","",'PRODUÇÃO TOTAL USINA'!AI24-'PRODUÇÃO TOTAL USINA'!AH24)</f>
        <v>-23.083333333333321</v>
      </c>
      <c r="P24" s="185" t="s">
        <v>35</v>
      </c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60" customHeight="1">
      <c r="A25" s="79">
        <f>'ACOMPANHAMENTO USINA'!$AL$2</f>
        <v>45463</v>
      </c>
      <c r="B25" s="80">
        <v>23</v>
      </c>
      <c r="C25" s="81">
        <f ca="1">IF('PRODUÇÃO TOTAL USINA'!K25="","",'PRODUÇÃO TOTAL USINA'!K25-'PRODUÇÃO TOTAL USINA'!J25)</f>
        <v>-1101.9449197271297</v>
      </c>
      <c r="D25" s="186" t="s">
        <v>33</v>
      </c>
      <c r="E25" s="54"/>
      <c r="F25" s="172">
        <v>23</v>
      </c>
      <c r="G25" s="171">
        <f ca="1">IF('PRODUÇÃO TOTAL USINA'!S25="","",'PRODUÇÃO TOTAL USINA'!S25-'PRODUÇÃO TOTAL USINA'!R25)</f>
        <v>-2638.3999999999996</v>
      </c>
      <c r="H25" s="185" t="s">
        <v>36</v>
      </c>
      <c r="I25" s="82"/>
      <c r="J25" s="80">
        <v>23</v>
      </c>
      <c r="K25" s="81">
        <f ca="1">IF('PRODUÇÃO TOTAL USINA'!AA25="","",'PRODUÇÃO TOTAL USINA'!AA25-'PRODUÇÃO TOTAL USINA'!Z25)</f>
        <v>390</v>
      </c>
      <c r="L25" s="186"/>
      <c r="M25" s="82"/>
      <c r="N25" s="80">
        <v>23</v>
      </c>
      <c r="O25" s="81">
        <f ca="1">IF('PRODUÇÃO TOTAL USINA'!AI25="","",'PRODUÇÃO TOTAL USINA'!AI25-'PRODUÇÃO TOTAL USINA'!AH25)</f>
        <v>-42.083333333333321</v>
      </c>
      <c r="P25" s="185" t="s">
        <v>35</v>
      </c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45" customHeight="1">
      <c r="A26" s="79">
        <f>'ACOMPANHAMENTO USINA'!$AL$2</f>
        <v>45463</v>
      </c>
      <c r="B26" s="80">
        <v>24</v>
      </c>
      <c r="C26" s="81">
        <f ca="1">IF('PRODUÇÃO TOTAL USINA'!K26="","",'PRODUÇÃO TOTAL USINA'!K26-'PRODUÇÃO TOTAL USINA'!J26)</f>
        <v>1977.40950841839</v>
      </c>
      <c r="D26" s="186"/>
      <c r="E26" s="54"/>
      <c r="F26" s="175">
        <v>24</v>
      </c>
      <c r="G26" s="174">
        <f ca="1">IF('PRODUÇÃO TOTAL USINA'!S26="","",'PRODUÇÃO TOTAL USINA'!S26-'PRODUÇÃO TOTAL USINA'!R26)</f>
        <v>-3596.9999999999991</v>
      </c>
      <c r="H26" s="185" t="s">
        <v>36</v>
      </c>
      <c r="I26" s="82"/>
      <c r="J26" s="80">
        <v>24</v>
      </c>
      <c r="K26" s="81">
        <f ca="1">IF('PRODUÇÃO TOTAL USINA'!AA26="","",'PRODUÇÃO TOTAL USINA'!AA26-'PRODUÇÃO TOTAL USINA'!Z26)</f>
        <v>0</v>
      </c>
      <c r="L26" s="186"/>
      <c r="M26" s="82"/>
      <c r="N26" s="80">
        <v>24</v>
      </c>
      <c r="O26" s="81">
        <f ca="1">IF('PRODUÇÃO TOTAL USINA'!AI26="","",'PRODUÇÃO TOTAL USINA'!AI26-'PRODUÇÃO TOTAL USINA'!AH26)</f>
        <v>-42.083333333333321</v>
      </c>
      <c r="P26" s="185" t="s">
        <v>35</v>
      </c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45" customHeight="1">
      <c r="H27" s="90"/>
    </row>
    <row r="28" spans="1:34" ht="45" customHeight="1">
      <c r="H28" s="173"/>
    </row>
    <row r="29" spans="1:34" ht="45" customHeight="1">
      <c r="I29" s="53"/>
    </row>
    <row r="30" spans="1:34" ht="45" customHeight="1">
      <c r="I30" s="53"/>
    </row>
    <row r="31" spans="1:34" s="6" customFormat="1" ht="45" customHeight="1">
      <c r="A31" s="65"/>
      <c r="B31" s="13">
        <f ca="1">INDEX($B$3:$B$26,MATCH(-C31,$C$3:$C$26,0))</f>
        <v>20</v>
      </c>
      <c r="C31" s="14">
        <f ca="1">IF(SMALL($C$3:$C$26,1)&gt;0,"",ABS(SMALL($C$3:$C$26,1)))</f>
        <v>5736.5966844498962</v>
      </c>
      <c r="D31" s="13"/>
      <c r="E31" s="13"/>
      <c r="F31" s="13">
        <f ca="1">INDEX($B$3:$B$26,MATCH(-G31,$G$3:$G$26,0))</f>
        <v>24</v>
      </c>
      <c r="G31" s="14">
        <f ca="1">IF(SMALL($G$3:$G$26,1)&gt;0,"",ABS(SMALL($G$3:$G$26,1)))</f>
        <v>3596.9999999999991</v>
      </c>
      <c r="H31" s="13"/>
      <c r="I31" s="53"/>
      <c r="J31" s="13" t="str">
        <f ca="1">INDEX($B$3:$B$26,MATCH(-K31,$K$3:$K$26,0))</f>
        <v>7h</v>
      </c>
      <c r="K31" s="14">
        <f ca="1">IF(SMALL($K$3:$K$26,1)&gt;0,"",ABS(SMALL($K$3:$K$26,1)))</f>
        <v>0</v>
      </c>
      <c r="L31" s="13"/>
      <c r="N31" s="13" t="str">
        <f ca="1">INDEX($B$3:$B$26,MATCH(-O31,$O$3:$O$26,0))</f>
        <v>7h</v>
      </c>
      <c r="O31" s="14">
        <f ca="1">IF(SMALL($O$3:$O$26,1)&gt;0,"",ABS(SMALL($O$3:$O$26,1)))</f>
        <v>42.083333333333321</v>
      </c>
      <c r="P31" s="13"/>
      <c r="R31" s="13" t="str">
        <f ca="1">INDEX($B$3:$B$26,MATCH(-S31,$O$3:$O$26,0))</f>
        <v>7h</v>
      </c>
      <c r="S31" s="14">
        <f ca="1">IF(SMALL($O$3:$O$26,1)&gt;0,"",ABS(SMALL($O$3:$O$26,1)))</f>
        <v>42.083333333333321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45" customHeight="1">
      <c r="A32" s="65"/>
      <c r="B32" s="13">
        <f ca="1">INDEX($B$3:$B$26,MATCH(-C32,$C$3:$C$26,0))</f>
        <v>9</v>
      </c>
      <c r="C32" s="14">
        <f ca="1">IF(SMALL($C$3:$C$26,2)&gt;0,"",ABS(SMALL($C$3:$C$26,2)))</f>
        <v>4748.0686533746866</v>
      </c>
      <c r="D32" s="13"/>
      <c r="E32" s="13"/>
      <c r="F32" s="13">
        <f ca="1">INDEX($B$3:$B$26,MATCH(-G32,$G$3:$G$26,0))</f>
        <v>23</v>
      </c>
      <c r="G32" s="14">
        <f ca="1">IF(SMALL($G$3:$G$26,2)&gt;0,"",ABS(SMALL($G$3:$G$26,2)))</f>
        <v>2638.3999999999996</v>
      </c>
      <c r="H32" s="13"/>
      <c r="I32" s="53"/>
      <c r="J32" s="13" t="str">
        <f ca="1">INDEX($B$3:$B$26,MATCH(-K32,$K$3:$K$26,0))</f>
        <v>7h</v>
      </c>
      <c r="K32" s="14">
        <f ca="1">IF(SMALL($K$3:$K$26,2)&gt;0,"",ABS(SMALL($K$3:$K$26,2)))</f>
        <v>0</v>
      </c>
      <c r="L32" s="13"/>
      <c r="N32" s="13" t="str">
        <f ca="1">INDEX($B$3:$B$26,MATCH(-O32,$O$3:$O$26,0))</f>
        <v>7h</v>
      </c>
      <c r="O32" s="14">
        <f ca="1">IF(SMALL($O$3:$O$26,2)&gt;0,"",ABS(SMALL($O$3:$O$26,2)))</f>
        <v>42.083333333333321</v>
      </c>
      <c r="P32" s="13"/>
      <c r="R32" s="13" t="str">
        <f ca="1">INDEX($B$3:$B$26,MATCH(-S32,$O$3:$O$26,0))</f>
        <v>7h</v>
      </c>
      <c r="S32" s="14">
        <f ca="1">IF(SMALL($O$3:$O$26,2)&gt;0,"",ABS(SMALL($O$3:$O$26,2)))</f>
        <v>42.083333333333321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45" customHeight="1">
      <c r="A33" s="65"/>
      <c r="B33" s="13">
        <f ca="1">INDEX($B$3:$B$26,MATCH(-C33,$C$3:$C$26,0))</f>
        <v>11</v>
      </c>
      <c r="C33" s="14">
        <f ca="1">IF(SMALL($C$3:$C$26,3)&gt;0,"",ABS(SMALL($C$3:$C$26,3)))</f>
        <v>4684.9938823828816</v>
      </c>
      <c r="D33" s="13"/>
      <c r="E33" s="13"/>
      <c r="F33" s="13">
        <f ca="1">INDEX($B$3:$B$26,MATCH(-G33,$G$3:$G$26,0))</f>
        <v>21</v>
      </c>
      <c r="G33" s="14">
        <f ca="1">IF(SMALL($G$3:$G$26,3)&gt;0,"",ABS(SMALL($G$3:$G$26,3)))</f>
        <v>2492.3999999999996</v>
      </c>
      <c r="H33" s="13"/>
      <c r="I33" s="53"/>
      <c r="J33" s="13" t="str">
        <f ca="1">INDEX($B$3:$B$26,MATCH(-K33,$K$3:$K$26,0))</f>
        <v>7h</v>
      </c>
      <c r="K33" s="14">
        <f ca="1">IF(SMALL($K$3:$K$26,3)&gt;0,"",ABS(SMALL($K$3:$K$26,3)))</f>
        <v>0</v>
      </c>
      <c r="L33" s="13"/>
      <c r="N33" s="13" t="str">
        <f ca="1">INDEX($B$3:$B$26,MATCH(-O33,$O$3:$O$26,0))</f>
        <v>7h</v>
      </c>
      <c r="O33" s="14">
        <f ca="1">IF(SMALL($O$3:$O$26,3)&gt;0,"",ABS(SMALL($O$3:$O$26,3)))</f>
        <v>42.083333333333321</v>
      </c>
      <c r="P33" s="13"/>
      <c r="R33" s="13" t="str">
        <f ca="1">INDEX($B$3:$B$26,MATCH(-S33,$O$3:$O$26,0))</f>
        <v>7h</v>
      </c>
      <c r="S33" s="14">
        <f ca="1">IF(SMALL($O$3:$O$26,3)&gt;0,"",ABS(SMALL($O$3:$O$26,3)))</f>
        <v>42.083333333333321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45" customHeight="1">
      <c r="A34" s="65"/>
      <c r="B34" s="13">
        <f ca="1">INDEX($B$3:$B$26,MATCH(-C34,$C$3:$C$26,0))</f>
        <v>10</v>
      </c>
      <c r="C34" s="14">
        <f ca="1">IF(SMALL($C$3:$C$26,4)&gt;0,"",ABS(SMALL($C$3:$C$26,4)))</f>
        <v>4580.6990681144525</v>
      </c>
      <c r="D34" s="13"/>
      <c r="E34" s="13"/>
      <c r="F34" s="13">
        <f ca="1">INDEX($B$3:$B$26,MATCH(-G34,$G$3:$G$26,0))</f>
        <v>1</v>
      </c>
      <c r="G34" s="14">
        <f ca="1">IF(SMALL($G$3:$G$26,4)&gt;0,"",ABS(SMALL($G$3:$G$26,4)))</f>
        <v>1637.28</v>
      </c>
      <c r="H34" s="13"/>
      <c r="I34" s="53"/>
      <c r="J34" s="13" t="str">
        <f ca="1">INDEX($B$3:$B$26,MATCH(-K34,$K$3:$K$26,0))</f>
        <v>7h</v>
      </c>
      <c r="K34" s="14">
        <f ca="1">IF(SMALL($K$3:$K$26,4)&gt;0,"",ABS(SMALL($K$3:$K$26,4)))</f>
        <v>0</v>
      </c>
      <c r="L34" s="13"/>
      <c r="N34" s="13" t="str">
        <f ca="1">INDEX($B$3:$B$26,MATCH(-O34,$O$3:$O$26,0))</f>
        <v>7h</v>
      </c>
      <c r="O34" s="14">
        <f ca="1">IF(SMALL($O$3:$O$26,4)&gt;0,"",ABS(SMALL($O$3:$O$26,4)))</f>
        <v>42.083333333333321</v>
      </c>
      <c r="P34" s="13"/>
      <c r="R34" s="13" t="str">
        <f ca="1">INDEX($B$3:$B$26,MATCH(-S34,$O$3:$O$26,0))</f>
        <v>7h</v>
      </c>
      <c r="S34" s="14">
        <f ca="1">IF(SMALL($O$3:$O$26,4)&gt;0,"",ABS(SMALL($O$3:$O$26,4)))</f>
        <v>42.083333333333321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45" customHeight="1">
      <c r="A35" s="65"/>
      <c r="B35" s="13">
        <f ca="1">INDEX($B$3:$B$26,MATCH(-C35,$C$3:$C$26,0))</f>
        <v>17</v>
      </c>
      <c r="C35" s="14">
        <f ca="1">IF(SMALL($C$3:$C$26,5)&gt;0,"",ABS(SMALL($C$3:$C$26,5)))</f>
        <v>4309.8500074180483</v>
      </c>
      <c r="D35" s="13"/>
      <c r="E35" s="13"/>
      <c r="F35" s="13">
        <f ca="1">INDEX($B$3:$B$26,MATCH(-G35,$G$3:$G$26,0))</f>
        <v>22</v>
      </c>
      <c r="G35" s="14">
        <f ca="1">IF(SMALL($G$3:$G$26,5)&gt;0,"",ABS(SMALL($G$3:$G$26,5)))</f>
        <v>1354.6399999999994</v>
      </c>
      <c r="H35" s="13"/>
      <c r="I35" s="53"/>
      <c r="J35" s="13" t="str">
        <f ca="1">INDEX($B$3:$B$26,MATCH(-K35,$K$3:$K$26,0))</f>
        <v>7h</v>
      </c>
      <c r="K35" s="14">
        <f ca="1">IF(SMALL($K$3:$K$26,5)&gt;0,"",ABS(SMALL($K$3:$K$26,5)))</f>
        <v>0</v>
      </c>
      <c r="L35" s="13"/>
      <c r="N35" s="13" t="str">
        <f ca="1">INDEX($B$3:$B$26,MATCH(-O35,$O$3:$O$26,0))</f>
        <v>7h</v>
      </c>
      <c r="O35" s="14">
        <f ca="1">IF(SMALL($O$3:$O$26,5)&gt;0,"",ABS(SMALL($O$3:$O$26,5)))</f>
        <v>42.083333333333321</v>
      </c>
      <c r="P35" s="13"/>
      <c r="R35" s="13" t="str">
        <f ca="1">INDEX($B$3:$B$26,MATCH(-S35,$O$3:$O$26,0))</f>
        <v>7h</v>
      </c>
      <c r="S35" s="14">
        <f ca="1">IF(SMALL($O$3:$O$26,5)&gt;0,"",ABS(SMALL($O$3:$O$26,5)))</f>
        <v>42.083333333333321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4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4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4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4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4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4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4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45" customHeight="1">
      <c r="H49" s="15" t="s">
        <v>37</v>
      </c>
    </row>
  </sheetData>
  <autoFilter ref="F2:H26" xr:uid="{00000000-0009-0000-0000-000000000000}"/>
  <mergeCells count="15">
    <mergeCell ref="B1:D1"/>
    <mergeCell ref="F1:H1"/>
    <mergeCell ref="J1:L1"/>
    <mergeCell ref="N1:P1"/>
    <mergeCell ref="BQ2:BR2"/>
    <mergeCell ref="R1:T1"/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abSelected="1" topLeftCell="A42" zoomScale="98" zoomScaleNormal="98" workbookViewId="0">
      <selection activeCell="D47" sqref="D47:E47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38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39</v>
      </c>
      <c r="AE2" s="37"/>
      <c r="AF2" s="37"/>
      <c r="AG2" s="37"/>
      <c r="AH2" s="37"/>
      <c r="AI2" s="37"/>
      <c r="AJ2" s="37"/>
      <c r="AK2" s="37"/>
      <c r="AL2" s="197">
        <v>45463</v>
      </c>
      <c r="AM2" s="197"/>
      <c r="AN2" s="197"/>
      <c r="AO2" s="197"/>
      <c r="AP2" s="197"/>
    </row>
    <row r="3" spans="2:145" ht="79.900000000000006" customHeight="1">
      <c r="B3" s="40"/>
      <c r="C3" s="41"/>
      <c r="D3" s="41"/>
      <c r="E3" s="41"/>
      <c r="F3" s="41"/>
      <c r="G3" s="42" t="s">
        <v>40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5" t="s">
        <v>41</v>
      </c>
      <c r="AI3" s="205"/>
      <c r="AJ3" s="205"/>
      <c r="AK3" s="206"/>
      <c r="AL3" s="206"/>
      <c r="AM3" s="206"/>
      <c r="AN3" s="207" t="str">
        <f ca="1">IF(TODAY()&gt;'ACOMPANHAMENTO USINA'!AL2,"23:59:59",NOW())</f>
        <v>23:59:59</v>
      </c>
      <c r="AO3" s="207"/>
      <c r="AP3" s="208"/>
      <c r="BG3" s="17" t="s">
        <v>42</v>
      </c>
      <c r="DA3" s="40"/>
      <c r="DB3" s="41"/>
      <c r="DC3" s="41"/>
      <c r="DD3" s="41"/>
      <c r="DE3" s="41"/>
      <c r="DF3" s="42" t="s">
        <v>43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5" t="s">
        <v>41</v>
      </c>
      <c r="EH3" s="205"/>
      <c r="EI3" s="205"/>
      <c r="EJ3" s="206">
        <f ca="1">NOW()</f>
        <v>45488.506756828705</v>
      </c>
      <c r="EK3" s="206"/>
      <c r="EL3" s="206"/>
      <c r="EM3" s="199">
        <f ca="1">NOW()</f>
        <v>45488.506756828705</v>
      </c>
      <c r="EN3" s="199"/>
      <c r="EO3" s="200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0" t="s">
        <v>44</v>
      </c>
      <c r="Q4" s="210"/>
      <c r="R4" s="210"/>
      <c r="S4" s="209">
        <f ca="1">NOW()</f>
        <v>45488.506756828705</v>
      </c>
      <c r="T4" s="209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223" t="s">
        <v>45</v>
      </c>
      <c r="BC17" s="223"/>
      <c r="BD17" s="223"/>
      <c r="BE17" s="223"/>
      <c r="BF17" s="223"/>
      <c r="BG17" s="223"/>
      <c r="BH17" s="223"/>
      <c r="BI17" s="223"/>
      <c r="BJ17" s="223"/>
      <c r="BK17" s="223"/>
      <c r="BL17" s="223"/>
    </row>
    <row r="18" spans="2:64" ht="19.899999999999999" customHeight="1">
      <c r="B18" s="23"/>
      <c r="AP18" s="24"/>
      <c r="BB18" s="223"/>
      <c r="BC18" s="223"/>
      <c r="BD18" s="223"/>
      <c r="BE18" s="223"/>
      <c r="BF18" s="223"/>
      <c r="BG18" s="223"/>
      <c r="BH18" s="223"/>
      <c r="BI18" s="223"/>
      <c r="BJ18" s="223"/>
      <c r="BK18" s="223"/>
      <c r="BL18" s="223"/>
    </row>
    <row r="19" spans="2:64" s="30" customFormat="1" ht="19.899999999999999" customHeight="1">
      <c r="B19" s="29"/>
      <c r="K19" s="31"/>
      <c r="AP19" s="32"/>
      <c r="BB19" s="223"/>
      <c r="BC19" s="223"/>
      <c r="BD19" s="223"/>
      <c r="BE19" s="223"/>
      <c r="BF19" s="223"/>
      <c r="BG19" s="223"/>
      <c r="BH19" s="223"/>
      <c r="BI19" s="223"/>
      <c r="BJ19" s="223"/>
      <c r="BK19" s="223"/>
      <c r="BL19" s="223"/>
    </row>
    <row r="20" spans="2:64" ht="16.5" customHeight="1">
      <c r="B20" s="23"/>
      <c r="AP20" s="24"/>
      <c r="BB20" s="223"/>
      <c r="BC20" s="223"/>
      <c r="BD20" s="223"/>
      <c r="BE20" s="223"/>
      <c r="BF20" s="223"/>
      <c r="BG20" s="223"/>
      <c r="BH20" s="223"/>
      <c r="BI20" s="223"/>
      <c r="BJ20" s="223"/>
      <c r="BK20" s="223"/>
      <c r="BL20" s="223"/>
    </row>
    <row r="21" spans="2:64" ht="16.5" customHeight="1">
      <c r="B21" s="23"/>
      <c r="AP21" s="24"/>
      <c r="BB21" s="223"/>
      <c r="BC21" s="223"/>
      <c r="BD21" s="223"/>
      <c r="BE21" s="223"/>
      <c r="BF21" s="223"/>
      <c r="BG21" s="223"/>
      <c r="BH21" s="223"/>
      <c r="BI21" s="223"/>
      <c r="BJ21" s="223"/>
      <c r="BK21" s="223"/>
      <c r="BL21" s="223"/>
    </row>
    <row r="22" spans="2:64" ht="16.5" customHeight="1">
      <c r="B22" s="23"/>
      <c r="AP22" s="24"/>
      <c r="BB22" s="223"/>
      <c r="BC22" s="223"/>
      <c r="BD22" s="223"/>
      <c r="BE22" s="223"/>
      <c r="BF22" s="223"/>
      <c r="BG22" s="223"/>
      <c r="BH22" s="223"/>
      <c r="BI22" s="223"/>
      <c r="BJ22" s="223"/>
      <c r="BK22" s="223"/>
      <c r="BL22" s="223"/>
    </row>
    <row r="23" spans="2:64" ht="16.5" customHeight="1">
      <c r="B23" s="23"/>
      <c r="AP23" s="24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</row>
    <row r="24" spans="2:64" ht="16.5" customHeight="1">
      <c r="B24" s="23"/>
      <c r="AP24" s="24"/>
      <c r="BB24" s="223"/>
      <c r="BC24" s="223"/>
      <c r="BD24" s="223"/>
      <c r="BE24" s="223"/>
      <c r="BF24" s="223"/>
      <c r="BG24" s="223"/>
      <c r="BH24" s="223"/>
      <c r="BI24" s="223"/>
      <c r="BJ24" s="223"/>
      <c r="BK24" s="223"/>
      <c r="BL24" s="223"/>
    </row>
    <row r="25" spans="2:64" ht="16.5" customHeight="1">
      <c r="B25" s="23"/>
      <c r="AP25" s="24"/>
      <c r="BB25" s="223"/>
      <c r="BC25" s="223"/>
      <c r="BD25" s="223"/>
      <c r="BE25" s="223"/>
      <c r="BF25" s="223"/>
      <c r="BG25" s="223"/>
      <c r="BH25" s="223"/>
      <c r="BI25" s="223"/>
      <c r="BJ25" s="223"/>
      <c r="BK25" s="223"/>
      <c r="BL25" s="223"/>
    </row>
    <row r="26" spans="2:64" ht="16.5" customHeight="1">
      <c r="B26" s="23"/>
      <c r="AP26" s="24"/>
      <c r="BB26" s="223"/>
      <c r="BC26" s="223"/>
      <c r="BD26" s="223"/>
      <c r="BE26" s="223"/>
      <c r="BF26" s="223"/>
      <c r="BG26" s="223"/>
      <c r="BH26" s="223"/>
      <c r="BI26" s="223"/>
      <c r="BJ26" s="223"/>
      <c r="BK26" s="223"/>
      <c r="BL26" s="223"/>
    </row>
    <row r="27" spans="2:64" ht="16.5" customHeight="1">
      <c r="B27" s="23"/>
      <c r="AP27" s="24"/>
      <c r="BB27" s="223"/>
      <c r="BC27" s="223"/>
      <c r="BD27" s="223"/>
      <c r="BE27" s="223"/>
      <c r="BF27" s="223"/>
      <c r="BG27" s="223"/>
      <c r="BH27" s="223"/>
      <c r="BI27" s="223"/>
      <c r="BJ27" s="223"/>
      <c r="BK27" s="223"/>
      <c r="BL27" s="223"/>
    </row>
    <row r="28" spans="2:64" ht="16.5" customHeight="1">
      <c r="B28" s="23"/>
      <c r="AP28" s="24"/>
      <c r="BB28" s="223"/>
      <c r="BC28" s="223"/>
      <c r="BD28" s="223"/>
      <c r="BE28" s="223"/>
      <c r="BF28" s="223"/>
      <c r="BG28" s="223"/>
      <c r="BH28" s="223"/>
      <c r="BI28" s="223"/>
      <c r="BJ28" s="223"/>
      <c r="BK28" s="223"/>
      <c r="BL28" s="223"/>
    </row>
    <row r="29" spans="2:64" ht="17.45" customHeight="1">
      <c r="B29" s="23"/>
      <c r="AP29" s="24"/>
      <c r="BB29" s="223"/>
      <c r="BC29" s="223"/>
      <c r="BD29" s="223"/>
      <c r="BE29" s="223"/>
      <c r="BF29" s="223"/>
      <c r="BG29" s="223"/>
      <c r="BH29" s="223"/>
      <c r="BI29" s="223"/>
      <c r="BJ29" s="223"/>
      <c r="BK29" s="223"/>
      <c r="BL29" s="223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3" t="s">
        <v>8</v>
      </c>
      <c r="E33" s="204"/>
      <c r="F33" s="201" t="s">
        <v>9</v>
      </c>
      <c r="G33" s="201"/>
      <c r="H33" s="201"/>
      <c r="I33" s="201"/>
      <c r="J33" s="201"/>
      <c r="K33" s="201"/>
      <c r="M33" s="44" t="s">
        <v>7</v>
      </c>
      <c r="N33" s="203" t="s">
        <v>8</v>
      </c>
      <c r="O33" s="204"/>
      <c r="P33" s="201" t="s">
        <v>9</v>
      </c>
      <c r="Q33" s="201"/>
      <c r="R33" s="201"/>
      <c r="S33" s="201"/>
      <c r="T33" s="201"/>
      <c r="U33" s="201"/>
      <c r="W33" s="44" t="s">
        <v>7</v>
      </c>
      <c r="X33" s="203" t="s">
        <v>8</v>
      </c>
      <c r="Y33" s="204"/>
      <c r="Z33" s="201" t="s">
        <v>9</v>
      </c>
      <c r="AA33" s="201"/>
      <c r="AB33" s="201"/>
      <c r="AC33" s="201"/>
      <c r="AD33" s="201"/>
      <c r="AE33" s="201"/>
      <c r="AG33" s="44" t="s">
        <v>7</v>
      </c>
      <c r="AH33" s="203" t="s">
        <v>8</v>
      </c>
      <c r="AI33" s="204"/>
      <c r="AJ33" s="201" t="s">
        <v>9</v>
      </c>
      <c r="AK33" s="201"/>
      <c r="AL33" s="201"/>
      <c r="AM33" s="201"/>
      <c r="AN33" s="201"/>
      <c r="AO33" s="201"/>
      <c r="AP33" s="45"/>
    </row>
    <row r="34" spans="2:42" s="46" customFormat="1" ht="75" customHeight="1">
      <c r="B34" s="47"/>
      <c r="C34" s="48">
        <v>1</v>
      </c>
      <c r="D34" s="198">
        <f ca="1">'JUSTIFICATIVA DE USINA'!C3</f>
        <v>47.536915603438501</v>
      </c>
      <c r="E34" s="198"/>
      <c r="F34" s="202">
        <f>'JUSTIFICATIVA DE USINA'!D3</f>
        <v>0</v>
      </c>
      <c r="G34" s="202"/>
      <c r="H34" s="202"/>
      <c r="I34" s="202"/>
      <c r="J34" s="202"/>
      <c r="K34" s="202"/>
      <c r="M34" s="48">
        <v>1</v>
      </c>
      <c r="N34" s="198">
        <f ca="1">'JUSTIFICATIVA DE USINA'!G3</f>
        <v>-1637.28</v>
      </c>
      <c r="O34" s="198"/>
      <c r="P34" s="202" t="str">
        <f>'JUSTIFICATIVA DE USINA'!H3</f>
        <v>Principal Impacto:  BSM05: descontaminação de circuito, material de silica alta;</v>
      </c>
      <c r="Q34" s="202"/>
      <c r="R34" s="202"/>
      <c r="S34" s="202"/>
      <c r="T34" s="202"/>
      <c r="U34" s="202"/>
      <c r="W34" s="48">
        <v>1</v>
      </c>
      <c r="X34" s="198">
        <f ca="1">'JUSTIFICATIVA DE USINA'!K3</f>
        <v>1380</v>
      </c>
      <c r="Y34" s="198"/>
      <c r="Z34" s="202">
        <f>'JUSTIFICATIVA DE USINA'!L3</f>
        <v>0</v>
      </c>
      <c r="AA34" s="202"/>
      <c r="AB34" s="202"/>
      <c r="AC34" s="202"/>
      <c r="AD34" s="202"/>
      <c r="AE34" s="202"/>
      <c r="AG34" s="48">
        <v>1</v>
      </c>
      <c r="AH34" s="198">
        <f ca="1">'JUSTIFICATIVA DE USINA'!O3</f>
        <v>-20.083333333333321</v>
      </c>
      <c r="AI34" s="198"/>
      <c r="AJ34" s="202">
        <f>'JUSTIFICATIVA DE USINA'!P3</f>
        <v>0</v>
      </c>
      <c r="AK34" s="202"/>
      <c r="AL34" s="202"/>
      <c r="AM34" s="202"/>
      <c r="AN34" s="202"/>
      <c r="AO34" s="202"/>
      <c r="AP34" s="49"/>
    </row>
    <row r="35" spans="2:42" s="46" customFormat="1" ht="75" customHeight="1">
      <c r="B35" s="47"/>
      <c r="C35" s="48">
        <v>2</v>
      </c>
      <c r="D35" s="198">
        <f ca="1">'JUSTIFICATIVA DE USINA'!C4</f>
        <v>-3275.6155358942378</v>
      </c>
      <c r="E35" s="198"/>
      <c r="F35" s="202" t="str">
        <f>'JUSTIFICATIVA DE USINA'!D4</f>
        <v xml:space="preserve">Principal Impacto:  BRIT: baixa oferta devido DF de Pá pulmão BSM e locomoção Pá pulmão 625 </v>
      </c>
      <c r="G35" s="202"/>
      <c r="H35" s="202"/>
      <c r="I35" s="202"/>
      <c r="J35" s="202"/>
      <c r="K35" s="202"/>
      <c r="M35" s="48">
        <v>2</v>
      </c>
      <c r="N35" s="198">
        <f ca="1">'JUSTIFICATIVA DE USINA'!G4</f>
        <v>1297</v>
      </c>
      <c r="O35" s="198"/>
      <c r="P35" s="202"/>
      <c r="Q35" s="202"/>
      <c r="R35" s="202"/>
      <c r="S35" s="202"/>
      <c r="T35" s="202"/>
      <c r="U35" s="202"/>
      <c r="W35" s="48">
        <v>2</v>
      </c>
      <c r="X35" s="198">
        <f ca="1">'JUSTIFICATIVA DE USINA'!K4</f>
        <v>1110</v>
      </c>
      <c r="Y35" s="198"/>
      <c r="Z35" s="202">
        <f>'JUSTIFICATIVA DE USINA'!L4</f>
        <v>0</v>
      </c>
      <c r="AA35" s="202"/>
      <c r="AB35" s="202"/>
      <c r="AC35" s="202"/>
      <c r="AD35" s="202"/>
      <c r="AE35" s="202"/>
      <c r="AG35" s="48">
        <v>2</v>
      </c>
      <c r="AH35" s="198">
        <f ca="1">'JUSTIFICATIVA DE USINA'!O4</f>
        <v>59.916666666666679</v>
      </c>
      <c r="AI35" s="198"/>
      <c r="AJ35" s="202">
        <f>'JUSTIFICATIVA DE USINA'!P4</f>
        <v>0</v>
      </c>
      <c r="AK35" s="202"/>
      <c r="AL35" s="202"/>
      <c r="AM35" s="202"/>
      <c r="AN35" s="202"/>
      <c r="AO35" s="202"/>
      <c r="AP35" s="49"/>
    </row>
    <row r="36" spans="2:42" s="46" customFormat="1" ht="75" customHeight="1">
      <c r="B36" s="47"/>
      <c r="C36" s="48">
        <v>3</v>
      </c>
      <c r="D36" s="198">
        <f ca="1">'JUSTIFICATIVA DE USINA'!C5</f>
        <v>-658.13799799131993</v>
      </c>
      <c r="E36" s="198"/>
      <c r="F36" s="202" t="str">
        <f>'JUSTIFICATIVA DE USINA'!D5</f>
        <v xml:space="preserve">Principal Impacto:  BRIT: baixa oferta devido DF de Pá pulmão BSM e locomoção Pá pulmão 625 </v>
      </c>
      <c r="G36" s="202"/>
      <c r="H36" s="202"/>
      <c r="I36" s="202"/>
      <c r="J36" s="202"/>
      <c r="K36" s="202"/>
      <c r="M36" s="48">
        <v>3</v>
      </c>
      <c r="N36" s="198">
        <f ca="1">'JUSTIFICATIVA DE USINA'!G5</f>
        <v>1842.76</v>
      </c>
      <c r="O36" s="198"/>
      <c r="P36" s="202">
        <f>'JUSTIFICATIVA DE USINA'!H5</f>
        <v>0</v>
      </c>
      <c r="Q36" s="202"/>
      <c r="R36" s="202"/>
      <c r="S36" s="202"/>
      <c r="T36" s="202"/>
      <c r="U36" s="202"/>
      <c r="W36" s="48">
        <v>3</v>
      </c>
      <c r="X36" s="198">
        <f ca="1">'JUSTIFICATIVA DE USINA'!K5</f>
        <v>670</v>
      </c>
      <c r="Y36" s="198"/>
      <c r="Z36" s="202">
        <f>'JUSTIFICATIVA DE USINA'!L5</f>
        <v>0</v>
      </c>
      <c r="AA36" s="202"/>
      <c r="AB36" s="202"/>
      <c r="AC36" s="202"/>
      <c r="AD36" s="202"/>
      <c r="AE36" s="202"/>
      <c r="AG36" s="48">
        <v>3</v>
      </c>
      <c r="AH36" s="198">
        <f ca="1">'JUSTIFICATIVA DE USINA'!O5</f>
        <v>115.91666666666669</v>
      </c>
      <c r="AI36" s="198"/>
      <c r="AJ36" s="202">
        <f>'JUSTIFICATIVA DE USINA'!P5</f>
        <v>0</v>
      </c>
      <c r="AK36" s="202"/>
      <c r="AL36" s="202"/>
      <c r="AM36" s="202"/>
      <c r="AN36" s="202"/>
      <c r="AO36" s="202"/>
      <c r="AP36" s="49"/>
    </row>
    <row r="37" spans="2:42" s="46" customFormat="1" ht="75" customHeight="1">
      <c r="B37" s="47"/>
      <c r="C37" s="48">
        <v>4</v>
      </c>
      <c r="D37" s="198">
        <f ca="1">'JUSTIFICATIVA DE USINA'!C6</f>
        <v>-414.74467908352744</v>
      </c>
      <c r="E37" s="198"/>
      <c r="F37" s="202" t="str">
        <f>'JUSTIFICATIVA DE USINA'!D6</f>
        <v xml:space="preserve">Principal Impacto:  BRIT: baixa oferta devido DF de Pá pulmão BSM e  pulmão 625 </v>
      </c>
      <c r="G37" s="202"/>
      <c r="H37" s="202"/>
      <c r="I37" s="202"/>
      <c r="J37" s="202"/>
      <c r="K37" s="202"/>
      <c r="M37" s="48">
        <v>4</v>
      </c>
      <c r="N37" s="198">
        <f ca="1">'JUSTIFICATIVA DE USINA'!G6</f>
        <v>1277.92</v>
      </c>
      <c r="O37" s="198"/>
      <c r="P37" s="202">
        <f>'JUSTIFICATIVA DE USINA'!H6</f>
        <v>0</v>
      </c>
      <c r="Q37" s="202"/>
      <c r="R37" s="202"/>
      <c r="S37" s="202"/>
      <c r="T37" s="202"/>
      <c r="U37" s="202"/>
      <c r="W37" s="48">
        <v>4</v>
      </c>
      <c r="X37" s="198">
        <f ca="1">'JUSTIFICATIVA DE USINA'!K6</f>
        <v>210</v>
      </c>
      <c r="Y37" s="198"/>
      <c r="Z37" s="202"/>
      <c r="AA37" s="202"/>
      <c r="AB37" s="202"/>
      <c r="AC37" s="202"/>
      <c r="AD37" s="202"/>
      <c r="AE37" s="202"/>
      <c r="AG37" s="48">
        <v>4</v>
      </c>
      <c r="AH37" s="198">
        <f ca="1">'JUSTIFICATIVA DE USINA'!O6</f>
        <v>85.916666666666686</v>
      </c>
      <c r="AI37" s="198"/>
      <c r="AJ37" s="202">
        <f>'JUSTIFICATIVA DE USINA'!P6</f>
        <v>0</v>
      </c>
      <c r="AK37" s="202"/>
      <c r="AL37" s="202"/>
      <c r="AM37" s="202"/>
      <c r="AN37" s="202"/>
      <c r="AO37" s="202"/>
      <c r="AP37" s="49"/>
    </row>
    <row r="38" spans="2:42" s="46" customFormat="1" ht="75" customHeight="1">
      <c r="B38" s="47"/>
      <c r="C38" s="48">
        <v>5</v>
      </c>
      <c r="D38" s="198">
        <f ca="1">'JUSTIFICATIVA DE USINA'!C7</f>
        <v>-1200.5684127310851</v>
      </c>
      <c r="E38" s="198"/>
      <c r="F38" s="202" t="str">
        <f>'JUSTIFICATIVA DE USINA'!D7</f>
        <v xml:space="preserve">Principal Impacto:  BRIT: baixa oferta devido DF de Pá pulmão BSM e  pulmão 625 </v>
      </c>
      <c r="G38" s="202"/>
      <c r="H38" s="202"/>
      <c r="I38" s="202"/>
      <c r="J38" s="202"/>
      <c r="K38" s="202"/>
      <c r="M38" s="48">
        <v>5</v>
      </c>
      <c r="N38" s="198">
        <f ca="1">'JUSTIFICATIVA DE USINA'!G7</f>
        <v>834</v>
      </c>
      <c r="O38" s="198"/>
      <c r="P38" s="202">
        <f>'JUSTIFICATIVA DE USINA'!H7</f>
        <v>0</v>
      </c>
      <c r="Q38" s="202"/>
      <c r="R38" s="202"/>
      <c r="S38" s="202"/>
      <c r="T38" s="202"/>
      <c r="U38" s="202"/>
      <c r="W38" s="48">
        <v>5</v>
      </c>
      <c r="X38" s="198">
        <f ca="1">'JUSTIFICATIVA DE USINA'!K7</f>
        <v>2340</v>
      </c>
      <c r="Y38" s="198"/>
      <c r="Z38" s="202">
        <f>'JUSTIFICATIVA DE USINA'!L7</f>
        <v>0</v>
      </c>
      <c r="AA38" s="202"/>
      <c r="AB38" s="202"/>
      <c r="AC38" s="202"/>
      <c r="AD38" s="202"/>
      <c r="AE38" s="202"/>
      <c r="AG38" s="48">
        <v>5</v>
      </c>
      <c r="AH38" s="198">
        <f ca="1">'JUSTIFICATIVA DE USINA'!O7</f>
        <v>112.91666666666669</v>
      </c>
      <c r="AI38" s="198"/>
      <c r="AJ38" s="202">
        <f>'JUSTIFICATIVA DE USINA'!P7</f>
        <v>0</v>
      </c>
      <c r="AK38" s="202"/>
      <c r="AL38" s="202"/>
      <c r="AM38" s="202"/>
      <c r="AN38" s="202"/>
      <c r="AO38" s="202"/>
      <c r="AP38" s="49"/>
    </row>
    <row r="39" spans="2:42" s="46" customFormat="1" ht="75" customHeight="1">
      <c r="B39" s="47"/>
      <c r="C39" s="48" t="s">
        <v>25</v>
      </c>
      <c r="D39" s="198">
        <f ca="1">'JUSTIFICATIVA DE USINA'!C8</f>
        <v>-960.37932836618893</v>
      </c>
      <c r="E39" s="198"/>
      <c r="F39" s="202" t="str">
        <f>'JUSTIFICATIVA DE USINA'!D8</f>
        <v>Principal Impacto: Baixa produtividade LUN  ausênia de blend</v>
      </c>
      <c r="G39" s="202"/>
      <c r="H39" s="202"/>
      <c r="I39" s="202"/>
      <c r="J39" s="202"/>
      <c r="K39" s="202"/>
      <c r="M39" s="48" t="s">
        <v>25</v>
      </c>
      <c r="N39" s="198">
        <f ca="1">'JUSTIFICATIVA DE USINA'!G8</f>
        <v>1246.96</v>
      </c>
      <c r="O39" s="198"/>
      <c r="P39" s="202">
        <f>'JUSTIFICATIVA DE USINA'!H8</f>
        <v>0</v>
      </c>
      <c r="Q39" s="202"/>
      <c r="R39" s="202"/>
      <c r="S39" s="202"/>
      <c r="T39" s="202"/>
      <c r="U39" s="202"/>
      <c r="W39" s="48" t="s">
        <v>25</v>
      </c>
      <c r="X39" s="198">
        <f ca="1">'JUSTIFICATIVA DE USINA'!K8</f>
        <v>1380</v>
      </c>
      <c r="Y39" s="198"/>
      <c r="Z39" s="202">
        <f>'JUSTIFICATIVA DE USINA'!L8</f>
        <v>0</v>
      </c>
      <c r="AA39" s="202"/>
      <c r="AB39" s="202"/>
      <c r="AC39" s="202"/>
      <c r="AD39" s="202"/>
      <c r="AE39" s="202"/>
      <c r="AG39" s="48" t="s">
        <v>25</v>
      </c>
      <c r="AH39" s="198">
        <f ca="1">'JUSTIFICATIVA DE USINA'!O8</f>
        <v>33.916666666666679</v>
      </c>
      <c r="AI39" s="198"/>
      <c r="AJ39" s="202">
        <f>'JUSTIFICATIVA DE USINA'!P8</f>
        <v>0</v>
      </c>
      <c r="AK39" s="202"/>
      <c r="AL39" s="202"/>
      <c r="AM39" s="202"/>
      <c r="AN39" s="202"/>
      <c r="AO39" s="202"/>
      <c r="AP39" s="49"/>
    </row>
    <row r="40" spans="2:42" s="46" customFormat="1" ht="75" customHeight="1">
      <c r="B40" s="47"/>
      <c r="C40" s="48">
        <v>7</v>
      </c>
      <c r="D40" s="198">
        <f ca="1">'JUSTIFICATIVA DE USINA'!C9</f>
        <v>-3016.3833851502332</v>
      </c>
      <c r="E40" s="198"/>
      <c r="F40" s="202" t="str">
        <f>'JUSTIFICATIVA DE USINA'!D9</f>
        <v>Principal Impacto: Baixa produtividade LUN  ausênia de blend</v>
      </c>
      <c r="G40" s="202"/>
      <c r="H40" s="202"/>
      <c r="I40" s="202"/>
      <c r="J40" s="202"/>
      <c r="K40" s="202"/>
      <c r="M40" s="48">
        <v>7</v>
      </c>
      <c r="N40" s="198">
        <f ca="1">'JUSTIFICATIVA DE USINA'!G9</f>
        <v>-340</v>
      </c>
      <c r="O40" s="198"/>
      <c r="P40" s="202">
        <f>'JUSTIFICATIVA DE USINA'!H9</f>
        <v>0</v>
      </c>
      <c r="Q40" s="202"/>
      <c r="R40" s="202"/>
      <c r="S40" s="202"/>
      <c r="T40" s="202"/>
      <c r="U40" s="202"/>
      <c r="W40" s="48">
        <v>7</v>
      </c>
      <c r="X40" s="198">
        <f ca="1">'JUSTIFICATIVA DE USINA'!K9</f>
        <v>0</v>
      </c>
      <c r="Y40" s="198"/>
      <c r="Z40" s="202">
        <f>'JUSTIFICATIVA DE USINA'!L9</f>
        <v>0</v>
      </c>
      <c r="AA40" s="202"/>
      <c r="AB40" s="202"/>
      <c r="AC40" s="202"/>
      <c r="AD40" s="202"/>
      <c r="AE40" s="202"/>
      <c r="AG40" s="48">
        <v>7</v>
      </c>
      <c r="AH40" s="198">
        <f ca="1">'JUSTIFICATIVA DE USINA'!O9</f>
        <v>-42.083333333333321</v>
      </c>
      <c r="AI40" s="198"/>
      <c r="AJ40" s="202">
        <f>'JUSTIFICATIVA DE USINA'!P9</f>
        <v>0</v>
      </c>
      <c r="AK40" s="202"/>
      <c r="AL40" s="202"/>
      <c r="AM40" s="202"/>
      <c r="AN40" s="202"/>
      <c r="AO40" s="202"/>
      <c r="AP40" s="49"/>
    </row>
    <row r="41" spans="2:42" s="46" customFormat="1" ht="75" customHeight="1">
      <c r="B41" s="47"/>
      <c r="C41" s="48">
        <v>8</v>
      </c>
      <c r="D41" s="198">
        <f ca="1">'JUSTIFICATIVA DE USINA'!C10</f>
        <v>-2371.4458709158043</v>
      </c>
      <c r="E41" s="198"/>
      <c r="F41" s="202" t="str">
        <f>'JUSTIFICATIVA DE USINA'!D10</f>
        <v>Principal Impacto: Baixa produtividade LUN  ausênia de blend</v>
      </c>
      <c r="G41" s="202"/>
      <c r="H41" s="202"/>
      <c r="I41" s="202"/>
      <c r="J41" s="202"/>
      <c r="K41" s="202"/>
      <c r="M41" s="48">
        <v>8</v>
      </c>
      <c r="N41" s="198">
        <f ca="1">'JUSTIFICATIVA DE USINA'!G10</f>
        <v>222.76</v>
      </c>
      <c r="O41" s="198"/>
      <c r="P41" s="202">
        <f>'JUSTIFICATIVA DE USINA'!H10</f>
        <v>0</v>
      </c>
      <c r="Q41" s="202"/>
      <c r="R41" s="202"/>
      <c r="S41" s="202"/>
      <c r="T41" s="202"/>
      <c r="U41" s="202"/>
      <c r="W41" s="48">
        <v>8</v>
      </c>
      <c r="X41" s="198">
        <f ca="1">'JUSTIFICATIVA DE USINA'!K10</f>
        <v>960</v>
      </c>
      <c r="Y41" s="198"/>
      <c r="Z41" s="202">
        <f>'JUSTIFICATIVA DE USINA'!L10</f>
        <v>0</v>
      </c>
      <c r="AA41" s="202"/>
      <c r="AB41" s="202"/>
      <c r="AC41" s="202"/>
      <c r="AD41" s="202"/>
      <c r="AE41" s="202"/>
      <c r="AG41" s="48">
        <v>8</v>
      </c>
      <c r="AH41" s="198">
        <f ca="1">'JUSTIFICATIVA DE USINA'!O10</f>
        <v>-21.083333333333321</v>
      </c>
      <c r="AI41" s="198"/>
      <c r="AJ41" s="202">
        <f>'JUSTIFICATIVA DE USINA'!P10</f>
        <v>0</v>
      </c>
      <c r="AK41" s="202"/>
      <c r="AL41" s="202"/>
      <c r="AM41" s="202"/>
      <c r="AN41" s="202"/>
      <c r="AO41" s="202"/>
      <c r="AP41" s="49"/>
    </row>
    <row r="42" spans="2:42" s="46" customFormat="1" ht="75" customHeight="1">
      <c r="B42" s="47"/>
      <c r="C42" s="48">
        <v>9</v>
      </c>
      <c r="D42" s="198">
        <f ca="1">'JUSTIFICATIVA DE USINA'!C11</f>
        <v>-4748.0686533746866</v>
      </c>
      <c r="E42" s="198"/>
      <c r="F42" s="202" t="str">
        <f>'JUSTIFICATIVA DE USINA'!D11</f>
        <v>Principal Impacto: Baixa produtividade LUN  auseênia de blend</v>
      </c>
      <c r="G42" s="202"/>
      <c r="H42" s="202"/>
      <c r="I42" s="202"/>
      <c r="J42" s="202"/>
      <c r="K42" s="202"/>
      <c r="M42" s="48">
        <v>9</v>
      </c>
      <c r="N42" s="198">
        <f ca="1">'JUSTIFICATIVA DE USINA'!G11</f>
        <v>2162.52</v>
      </c>
      <c r="O42" s="198"/>
      <c r="P42" s="202">
        <f>'JUSTIFICATIVA DE USINA'!H11</f>
        <v>0</v>
      </c>
      <c r="Q42" s="202"/>
      <c r="R42" s="202"/>
      <c r="S42" s="202"/>
      <c r="T42" s="202"/>
      <c r="U42" s="202"/>
      <c r="W42" s="48">
        <v>9</v>
      </c>
      <c r="X42" s="198">
        <f ca="1">'JUSTIFICATIVA DE USINA'!K11</f>
        <v>1570</v>
      </c>
      <c r="Y42" s="198"/>
      <c r="Z42" s="202">
        <f>'JUSTIFICATIVA DE USINA'!L11</f>
        <v>0</v>
      </c>
      <c r="AA42" s="202"/>
      <c r="AB42" s="202"/>
      <c r="AC42" s="202"/>
      <c r="AD42" s="202"/>
      <c r="AE42" s="202"/>
      <c r="AG42" s="48">
        <v>9</v>
      </c>
      <c r="AH42" s="198">
        <f ca="1">'JUSTIFICATIVA DE USINA'!O11</f>
        <v>92.916666666666686</v>
      </c>
      <c r="AI42" s="198"/>
      <c r="AJ42" s="202">
        <f>'JUSTIFICATIVA DE USINA'!P11</f>
        <v>0</v>
      </c>
      <c r="AK42" s="202"/>
      <c r="AL42" s="202"/>
      <c r="AM42" s="202"/>
      <c r="AN42" s="202"/>
      <c r="AO42" s="202"/>
      <c r="AP42" s="49"/>
    </row>
    <row r="43" spans="2:42" s="46" customFormat="1" ht="75" customHeight="1">
      <c r="B43" s="47"/>
      <c r="C43" s="48">
        <v>10</v>
      </c>
      <c r="D43" s="198">
        <f ca="1">'JUSTIFICATIVA DE USINA'!C12</f>
        <v>-4580.6990681144525</v>
      </c>
      <c r="E43" s="198"/>
      <c r="F43" s="202" t="str">
        <f>'JUSTIFICATIVA DE USINA'!D12</f>
        <v>Principal Impacto: Baixa produtividade LUN  ausênia de blend</v>
      </c>
      <c r="G43" s="202"/>
      <c r="H43" s="202"/>
      <c r="I43" s="202"/>
      <c r="J43" s="202"/>
      <c r="K43" s="202"/>
      <c r="M43" s="48">
        <v>10</v>
      </c>
      <c r="N43" s="198">
        <f ca="1">'JUSTIFICATIVA DE USINA'!G12</f>
        <v>1620.76</v>
      </c>
      <c r="O43" s="198"/>
      <c r="P43" s="202">
        <f>'JUSTIFICATIVA DE USINA'!H12</f>
        <v>0</v>
      </c>
      <c r="Q43" s="202"/>
      <c r="R43" s="202"/>
      <c r="S43" s="202"/>
      <c r="T43" s="202"/>
      <c r="U43" s="202"/>
      <c r="W43" s="48">
        <v>10</v>
      </c>
      <c r="X43" s="198">
        <f ca="1">'JUSTIFICATIVA DE USINA'!K12</f>
        <v>510</v>
      </c>
      <c r="Y43" s="198"/>
      <c r="Z43" s="202">
        <f>'JUSTIFICATIVA DE USINA'!L12</f>
        <v>0</v>
      </c>
      <c r="AA43" s="202"/>
      <c r="AB43" s="202"/>
      <c r="AC43" s="202"/>
      <c r="AD43" s="202"/>
      <c r="AE43" s="202"/>
      <c r="AG43" s="48">
        <v>10</v>
      </c>
      <c r="AH43" s="198">
        <f ca="1">'JUSTIFICATIVA DE USINA'!O12</f>
        <v>145.91666666666669</v>
      </c>
      <c r="AI43" s="198"/>
      <c r="AJ43" s="202">
        <f>'JUSTIFICATIVA DE USINA'!P12</f>
        <v>0</v>
      </c>
      <c r="AK43" s="202"/>
      <c r="AL43" s="202"/>
      <c r="AM43" s="202"/>
      <c r="AN43" s="202"/>
      <c r="AO43" s="202"/>
      <c r="AP43" s="49"/>
    </row>
    <row r="44" spans="2:42" s="46" customFormat="1" ht="75" customHeight="1">
      <c r="B44" s="47"/>
      <c r="C44" s="48">
        <v>11</v>
      </c>
      <c r="D44" s="198">
        <f ca="1">'JUSTIFICATIVA DE USINA'!C13</f>
        <v>-4684.9938823828816</v>
      </c>
      <c r="E44" s="198"/>
      <c r="F44" s="202" t="str">
        <f>'JUSTIFICATIVA DE USINA'!D13</f>
        <v>Principal Impacto: PEN2 restrição devido alto estoque pilha de pebble;</v>
      </c>
      <c r="G44" s="202"/>
      <c r="H44" s="202"/>
      <c r="I44" s="202"/>
      <c r="J44" s="202"/>
      <c r="K44" s="202"/>
      <c r="M44" s="48">
        <v>11</v>
      </c>
      <c r="N44" s="198">
        <f ca="1">'JUSTIFICATIVA DE USINA'!G13</f>
        <v>1055.7200000000003</v>
      </c>
      <c r="O44" s="198"/>
      <c r="P44" s="202">
        <f>'JUSTIFICATIVA DE USINA'!H13</f>
        <v>0</v>
      </c>
      <c r="Q44" s="202"/>
      <c r="R44" s="202"/>
      <c r="S44" s="202"/>
      <c r="T44" s="202"/>
      <c r="U44" s="202"/>
      <c r="W44" s="48">
        <v>11</v>
      </c>
      <c r="X44" s="198">
        <f ca="1">'JUSTIFICATIVA DE USINA'!K13</f>
        <v>0</v>
      </c>
      <c r="Y44" s="198"/>
      <c r="Z44" s="202">
        <f>'JUSTIFICATIVA DE USINA'!L13</f>
        <v>0</v>
      </c>
      <c r="AA44" s="202"/>
      <c r="AB44" s="202"/>
      <c r="AC44" s="202"/>
      <c r="AD44" s="202"/>
      <c r="AE44" s="202"/>
      <c r="AG44" s="48">
        <v>11</v>
      </c>
      <c r="AH44" s="198">
        <f ca="1">'JUSTIFICATIVA DE USINA'!O13</f>
        <v>136.91666666666669</v>
      </c>
      <c r="AI44" s="198"/>
      <c r="AJ44" s="202">
        <f>'JUSTIFICATIVA DE USINA'!P13</f>
        <v>0</v>
      </c>
      <c r="AK44" s="202"/>
      <c r="AL44" s="202"/>
      <c r="AM44" s="202"/>
      <c r="AN44" s="202"/>
      <c r="AO44" s="202"/>
      <c r="AP44" s="49"/>
    </row>
    <row r="45" spans="2:42" s="46" customFormat="1" ht="75" customHeight="1">
      <c r="B45" s="47"/>
      <c r="C45" s="48">
        <v>12</v>
      </c>
      <c r="D45" s="198">
        <f ca="1">'JUSTIFICATIVA DE USINA'!C14</f>
        <v>-3308.2112384665907</v>
      </c>
      <c r="E45" s="198"/>
      <c r="F45" s="202" t="str">
        <f>'JUSTIFICATIVA DE USINA'!D14</f>
        <v>Principal Impacto: PEN2 restrição devido alto estoque pilha de pebble;</v>
      </c>
      <c r="G45" s="202"/>
      <c r="H45" s="202"/>
      <c r="I45" s="202"/>
      <c r="J45" s="202"/>
      <c r="K45" s="202"/>
      <c r="M45" s="48">
        <v>12</v>
      </c>
      <c r="N45" s="198">
        <f ca="1">'JUSTIFICATIVA DE USINA'!G14</f>
        <v>2679</v>
      </c>
      <c r="O45" s="198"/>
      <c r="P45" s="202">
        <f>'JUSTIFICATIVA DE USINA'!H14</f>
        <v>0</v>
      </c>
      <c r="Q45" s="202"/>
      <c r="R45" s="202"/>
      <c r="S45" s="202"/>
      <c r="T45" s="202"/>
      <c r="U45" s="202"/>
      <c r="W45" s="48">
        <v>12</v>
      </c>
      <c r="X45" s="198">
        <f ca="1">'JUSTIFICATIVA DE USINA'!K14</f>
        <v>70</v>
      </c>
      <c r="Y45" s="198"/>
      <c r="Z45" s="202">
        <f>'JUSTIFICATIVA DE USINA'!L14</f>
        <v>0</v>
      </c>
      <c r="AA45" s="202"/>
      <c r="AB45" s="202"/>
      <c r="AC45" s="202"/>
      <c r="AD45" s="202"/>
      <c r="AE45" s="202"/>
      <c r="AG45" s="48">
        <v>12</v>
      </c>
      <c r="AH45" s="198">
        <f ca="1">'JUSTIFICATIVA DE USINA'!O14</f>
        <v>22.916666666666679</v>
      </c>
      <c r="AI45" s="198"/>
      <c r="AJ45" s="202">
        <f>'JUSTIFICATIVA DE USINA'!P14</f>
        <v>0</v>
      </c>
      <c r="AK45" s="202"/>
      <c r="AL45" s="202"/>
      <c r="AM45" s="202"/>
      <c r="AN45" s="202"/>
      <c r="AO45" s="202"/>
      <c r="AP45" s="49"/>
    </row>
    <row r="46" spans="2:42" s="46" customFormat="1" ht="75" customHeight="1">
      <c r="B46" s="47"/>
      <c r="C46" s="48">
        <v>13</v>
      </c>
      <c r="D46" s="198">
        <f ca="1">'JUSTIFICATIVA DE USINA'!C15</f>
        <v>-175.95473018486609</v>
      </c>
      <c r="E46" s="198"/>
      <c r="F46" s="202" t="str">
        <f>'JUSTIFICATIVA DE USINA'!D15</f>
        <v>Principal Impacto: PEN2 restrição devido alto estoque pilha de pebble;</v>
      </c>
      <c r="G46" s="202"/>
      <c r="H46" s="202"/>
      <c r="I46" s="202"/>
      <c r="J46" s="202"/>
      <c r="K46" s="202"/>
      <c r="M46" s="48">
        <v>13</v>
      </c>
      <c r="N46" s="198">
        <f ca="1">'JUSTIFICATIVA DE USINA'!G15</f>
        <v>3508</v>
      </c>
      <c r="O46" s="198"/>
      <c r="P46" s="202">
        <f>'JUSTIFICATIVA DE USINA'!H15</f>
        <v>0</v>
      </c>
      <c r="Q46" s="202"/>
      <c r="R46" s="202"/>
      <c r="S46" s="202"/>
      <c r="T46" s="202"/>
      <c r="U46" s="202"/>
      <c r="W46" s="48">
        <v>13</v>
      </c>
      <c r="X46" s="198">
        <f ca="1">'JUSTIFICATIVA DE USINA'!K15</f>
        <v>0</v>
      </c>
      <c r="Y46" s="198"/>
      <c r="Z46" s="202">
        <f>'JUSTIFICATIVA DE USINA'!L15</f>
        <v>0</v>
      </c>
      <c r="AA46" s="202"/>
      <c r="AB46" s="202"/>
      <c r="AC46" s="202"/>
      <c r="AD46" s="202"/>
      <c r="AE46" s="202"/>
      <c r="AG46" s="48">
        <v>13</v>
      </c>
      <c r="AH46" s="198">
        <f ca="1">'JUSTIFICATIVA DE USINA'!O15</f>
        <v>-42.083333333333321</v>
      </c>
      <c r="AI46" s="198"/>
      <c r="AJ46" s="202">
        <f>'JUSTIFICATIVA DE USINA'!P15</f>
        <v>0</v>
      </c>
      <c r="AK46" s="202"/>
      <c r="AL46" s="202"/>
      <c r="AM46" s="202"/>
      <c r="AN46" s="202"/>
      <c r="AO46" s="202"/>
      <c r="AP46" s="49"/>
    </row>
    <row r="47" spans="2:42" s="46" customFormat="1" ht="75" customHeight="1">
      <c r="B47" s="47"/>
      <c r="C47" s="48">
        <v>14</v>
      </c>
      <c r="D47" s="198">
        <f ca="1">'JUSTIFICATIVA DE USINA'!C16</f>
        <v>-822.33713345755677</v>
      </c>
      <c r="E47" s="198"/>
      <c r="F47" s="202" t="str">
        <f>'JUSTIFICATIVA DE USINA'!D16</f>
        <v>Principal Impacto: Estratégia direcionamento prioriozando EIXO N4 para US-2</v>
      </c>
      <c r="G47" s="202"/>
      <c r="H47" s="202"/>
      <c r="I47" s="202"/>
      <c r="J47" s="202"/>
      <c r="K47" s="202"/>
      <c r="M47" s="48">
        <v>14</v>
      </c>
      <c r="N47" s="198">
        <f ca="1">'JUSTIFICATIVA DE USINA'!G16</f>
        <v>228.15999999999985</v>
      </c>
      <c r="O47" s="198"/>
      <c r="P47" s="202">
        <f>'JUSTIFICATIVA DE USINA'!H15</f>
        <v>0</v>
      </c>
      <c r="Q47" s="202"/>
      <c r="R47" s="202"/>
      <c r="S47" s="202"/>
      <c r="T47" s="202"/>
      <c r="U47" s="202"/>
      <c r="W47" s="48">
        <v>14</v>
      </c>
      <c r="X47" s="198">
        <f ca="1">'JUSTIFICATIVA DE USINA'!K16</f>
        <v>560</v>
      </c>
      <c r="Y47" s="198"/>
      <c r="Z47" s="202">
        <f>'JUSTIFICATIVA DE USINA'!L16</f>
        <v>0</v>
      </c>
      <c r="AA47" s="202"/>
      <c r="AB47" s="202"/>
      <c r="AC47" s="202"/>
      <c r="AD47" s="202"/>
      <c r="AE47" s="202"/>
      <c r="AG47" s="48">
        <v>14</v>
      </c>
      <c r="AH47" s="198">
        <f ca="1">'JUSTIFICATIVA DE USINA'!O16</f>
        <v>64.916666666666686</v>
      </c>
      <c r="AI47" s="198"/>
      <c r="AJ47" s="202">
        <f>'JUSTIFICATIVA DE USINA'!P16</f>
        <v>0</v>
      </c>
      <c r="AK47" s="202"/>
      <c r="AL47" s="202"/>
      <c r="AM47" s="202"/>
      <c r="AN47" s="202"/>
      <c r="AO47" s="202"/>
      <c r="AP47" s="49"/>
    </row>
    <row r="48" spans="2:42" s="46" customFormat="1" ht="75" customHeight="1">
      <c r="B48" s="47"/>
      <c r="C48" s="48">
        <v>15</v>
      </c>
      <c r="D48" s="198">
        <f ca="1">'JUSTIFICATIVA DE USINA'!C17</f>
        <v>-130.90242129014132</v>
      </c>
      <c r="E48" s="198"/>
      <c r="F48" s="202" t="str">
        <f>'JUSTIFICATIVA DE USINA'!D17</f>
        <v>Principal Impacto: Estratégia direcionamento prioriozando EIXO N4 para US-2</v>
      </c>
      <c r="G48" s="202"/>
      <c r="H48" s="202"/>
      <c r="I48" s="202"/>
      <c r="J48" s="202"/>
      <c r="K48" s="202"/>
      <c r="M48" s="48">
        <v>15</v>
      </c>
      <c r="N48" s="198">
        <f ca="1">'JUSTIFICATIVA DE USINA'!G17</f>
        <v>1215.4400000000005</v>
      </c>
      <c r="O48" s="198"/>
      <c r="P48" s="202">
        <f>'JUSTIFICATIVA DE USINA'!H16</f>
        <v>0</v>
      </c>
      <c r="Q48" s="202"/>
      <c r="R48" s="202"/>
      <c r="S48" s="202"/>
      <c r="T48" s="202"/>
      <c r="U48" s="202"/>
      <c r="W48" s="48">
        <v>15</v>
      </c>
      <c r="X48" s="198">
        <f ca="1">'JUSTIFICATIVA DE USINA'!K17</f>
        <v>580</v>
      </c>
      <c r="Y48" s="198"/>
      <c r="Z48" s="202">
        <f>'JUSTIFICATIVA DE USINA'!L17</f>
        <v>0</v>
      </c>
      <c r="AA48" s="202"/>
      <c r="AB48" s="202"/>
      <c r="AC48" s="202"/>
      <c r="AD48" s="202"/>
      <c r="AE48" s="202"/>
      <c r="AG48" s="48">
        <v>15</v>
      </c>
      <c r="AH48" s="198">
        <f ca="1">'JUSTIFICATIVA DE USINA'!O17</f>
        <v>127.91666666666669</v>
      </c>
      <c r="AI48" s="198"/>
      <c r="AJ48" s="202">
        <f>'JUSTIFICATIVA DE USINA'!P18</f>
        <v>0</v>
      </c>
      <c r="AK48" s="202"/>
      <c r="AL48" s="202"/>
      <c r="AM48" s="202"/>
      <c r="AN48" s="202"/>
      <c r="AO48" s="202"/>
      <c r="AP48" s="49"/>
    </row>
    <row r="49" spans="2:42" s="46" customFormat="1" ht="75" customHeight="1">
      <c r="B49" s="47"/>
      <c r="C49" s="48">
        <v>16</v>
      </c>
      <c r="D49" s="198">
        <f ca="1">'JUSTIFICATIVA DE USINA'!C18</f>
        <v>-1774.1521687614586</v>
      </c>
      <c r="E49" s="198"/>
      <c r="F49" s="202" t="str">
        <f>'JUSTIFICATIVA DE USINA'!D18</f>
        <v>Principal Impacto: Estratégia direcionamento prioriozando EIXO N4 para US-2</v>
      </c>
      <c r="G49" s="202"/>
      <c r="H49" s="202"/>
      <c r="I49" s="202"/>
      <c r="J49" s="202"/>
      <c r="K49" s="202"/>
      <c r="M49" s="48">
        <v>16</v>
      </c>
      <c r="N49" s="198">
        <f ca="1">'JUSTIFICATIVA DE USINA'!G18</f>
        <v>672.19999999999982</v>
      </c>
      <c r="O49" s="198"/>
      <c r="P49" s="202">
        <f>'JUSTIFICATIVA DE USINA'!H18</f>
        <v>0</v>
      </c>
      <c r="Q49" s="202"/>
      <c r="R49" s="202"/>
      <c r="S49" s="202"/>
      <c r="T49" s="202"/>
      <c r="U49" s="202"/>
      <c r="W49" s="48">
        <v>16</v>
      </c>
      <c r="X49" s="198">
        <f ca="1">'JUSTIFICATIVA DE USINA'!K18</f>
        <v>510</v>
      </c>
      <c r="Y49" s="198"/>
      <c r="Z49" s="202">
        <f>'JUSTIFICATIVA DE USINA'!L18</f>
        <v>0</v>
      </c>
      <c r="AA49" s="202"/>
      <c r="AB49" s="202"/>
      <c r="AC49" s="202"/>
      <c r="AD49" s="202"/>
      <c r="AE49" s="202"/>
      <c r="AG49" s="48">
        <v>16</v>
      </c>
      <c r="AH49" s="198">
        <f ca="1">'JUSTIFICATIVA DE USINA'!O18</f>
        <v>48.916666666666679</v>
      </c>
      <c r="AI49" s="198"/>
      <c r="AJ49" s="202">
        <f>'JUSTIFICATIVA DE USINA'!P18</f>
        <v>0</v>
      </c>
      <c r="AK49" s="202"/>
      <c r="AL49" s="202"/>
      <c r="AM49" s="202"/>
      <c r="AN49" s="202"/>
      <c r="AO49" s="202"/>
      <c r="AP49" s="49"/>
    </row>
    <row r="50" spans="2:42" s="46" customFormat="1" ht="75" customHeight="1">
      <c r="B50" s="47"/>
      <c r="C50" s="48">
        <v>17</v>
      </c>
      <c r="D50" s="198">
        <f ca="1">'JUSTIFICATIVA DE USINA'!C19</f>
        <v>-4309.8500074180483</v>
      </c>
      <c r="E50" s="198"/>
      <c r="F50" s="202" t="str">
        <f>'JUSTIFICATIVA DE USINA'!D19</f>
        <v>Principal Impacto: Estratégia direcionamento prioriozando EIXO N4 para US-2 (dado à baixa produtividade do PEN 2 pela elevão no nível da pilha de Pebble);</v>
      </c>
      <c r="G50" s="202"/>
      <c r="H50" s="202"/>
      <c r="I50" s="202"/>
      <c r="J50" s="202"/>
      <c r="K50" s="202"/>
      <c r="M50" s="48">
        <v>17</v>
      </c>
      <c r="N50" s="198">
        <f ca="1">'JUSTIFICATIVA DE USINA'!G19</f>
        <v>1124.2800000000007</v>
      </c>
      <c r="O50" s="198"/>
      <c r="P50" s="202">
        <f>'JUSTIFICATIVA DE USINA'!H19</f>
        <v>0</v>
      </c>
      <c r="Q50" s="202"/>
      <c r="R50" s="202"/>
      <c r="S50" s="202"/>
      <c r="T50" s="202"/>
      <c r="U50" s="202"/>
      <c r="W50" s="48">
        <v>17</v>
      </c>
      <c r="X50" s="198">
        <f ca="1">'JUSTIFICATIVA DE USINA'!K19</f>
        <v>0</v>
      </c>
      <c r="Y50" s="198"/>
      <c r="Z50" s="202">
        <f>'JUSTIFICATIVA DE USINA'!L19</f>
        <v>0</v>
      </c>
      <c r="AA50" s="202"/>
      <c r="AB50" s="202"/>
      <c r="AC50" s="202"/>
      <c r="AD50" s="202"/>
      <c r="AE50" s="202"/>
      <c r="AG50" s="48">
        <v>17</v>
      </c>
      <c r="AH50" s="198">
        <f ca="1">'JUSTIFICATIVA DE USINA'!O19</f>
        <v>4.9166666666666785</v>
      </c>
      <c r="AI50" s="198"/>
      <c r="AJ50" s="202">
        <f>'JUSTIFICATIVA DE USINA'!P19</f>
        <v>0</v>
      </c>
      <c r="AK50" s="202"/>
      <c r="AL50" s="202"/>
      <c r="AM50" s="202"/>
      <c r="AN50" s="202"/>
      <c r="AO50" s="202"/>
      <c r="AP50" s="49"/>
    </row>
    <row r="51" spans="2:42" s="46" customFormat="1" ht="75" customHeight="1">
      <c r="B51" s="47"/>
      <c r="C51" s="48">
        <v>18</v>
      </c>
      <c r="D51" s="198">
        <f ca="1">'JUSTIFICATIVA DE USINA'!C20</f>
        <v>-693.31664800832004</v>
      </c>
      <c r="E51" s="198"/>
      <c r="F51" s="202" t="str">
        <f>'JUSTIFICATIVA DE USINA'!D20</f>
        <v>Principal Impacto: Estratégia direcionamento prioriozando EIXO N4 para US-2 (dado à baixa produtividade do PEN 2 pela elevão no nível da pilha de Pebble);</v>
      </c>
      <c r="G51" s="202"/>
      <c r="H51" s="202"/>
      <c r="I51" s="202"/>
      <c r="J51" s="202"/>
      <c r="K51" s="202"/>
      <c r="M51" s="48">
        <v>18</v>
      </c>
      <c r="N51" s="198">
        <f ca="1">'JUSTIFICATIVA DE USINA'!G20</f>
        <v>1457.2399999999998</v>
      </c>
      <c r="O51" s="198"/>
      <c r="P51" s="202">
        <f>'JUSTIFICATIVA DE USINA'!H20</f>
        <v>0</v>
      </c>
      <c r="Q51" s="202"/>
      <c r="R51" s="202"/>
      <c r="S51" s="202"/>
      <c r="T51" s="202"/>
      <c r="U51" s="202"/>
      <c r="W51" s="48">
        <v>18</v>
      </c>
      <c r="X51" s="198">
        <f ca="1">'JUSTIFICATIVA DE USINA'!K20</f>
        <v>0</v>
      </c>
      <c r="Y51" s="198"/>
      <c r="Z51" s="202">
        <f>'JUSTIFICATIVA DE USINA'!L20</f>
        <v>0</v>
      </c>
      <c r="AA51" s="202"/>
      <c r="AB51" s="202"/>
      <c r="AC51" s="202"/>
      <c r="AD51" s="202"/>
      <c r="AE51" s="202"/>
      <c r="AG51" s="48">
        <v>18</v>
      </c>
      <c r="AH51" s="198">
        <f ca="1">'JUSTIFICATIVA DE USINA'!O20</f>
        <v>113.91666666666669</v>
      </c>
      <c r="AI51" s="198"/>
      <c r="AJ51" s="202">
        <f>'JUSTIFICATIVA DE USINA'!P20</f>
        <v>0</v>
      </c>
      <c r="AK51" s="202"/>
      <c r="AL51" s="202"/>
      <c r="AM51" s="202"/>
      <c r="AN51" s="202"/>
      <c r="AO51" s="202"/>
      <c r="AP51" s="49"/>
    </row>
    <row r="52" spans="2:42" s="46" customFormat="1" ht="75" customHeight="1">
      <c r="B52" s="47"/>
      <c r="C52" s="48">
        <v>19</v>
      </c>
      <c r="D52" s="198">
        <f ca="1">'JUSTIFICATIVA DE USINA'!C21</f>
        <v>-2889.7875048190326</v>
      </c>
      <c r="E52" s="198"/>
      <c r="F52" s="202" t="str">
        <f>'JUSTIFICATIVA DE USINA'!D21</f>
        <v>Principal Impacto: Estratégia direcionamento prioriozando EIXO N4 para US-2 (dado à baixa produtividade do PEN 2 pela elevão no nível da pilha de Pebble);</v>
      </c>
      <c r="G52" s="202"/>
      <c r="H52" s="202"/>
      <c r="I52" s="202"/>
      <c r="J52" s="202"/>
      <c r="K52" s="202"/>
      <c r="M52" s="48">
        <v>19</v>
      </c>
      <c r="N52" s="198">
        <f ca="1">'JUSTIFICATIVA DE USINA'!G21</f>
        <v>299.76000000000022</v>
      </c>
      <c r="O52" s="198"/>
      <c r="P52" s="202">
        <f>'JUSTIFICATIVA DE USINA'!H21</f>
        <v>0</v>
      </c>
      <c r="Q52" s="202"/>
      <c r="R52" s="202"/>
      <c r="S52" s="202"/>
      <c r="T52" s="202"/>
      <c r="U52" s="202"/>
      <c r="W52" s="48">
        <v>19</v>
      </c>
      <c r="X52" s="198">
        <f ca="1">'JUSTIFICATIVA DE USINA'!K21</f>
        <v>0</v>
      </c>
      <c r="Y52" s="198"/>
      <c r="Z52" s="202">
        <f>'JUSTIFICATIVA DE USINA'!L21</f>
        <v>0</v>
      </c>
      <c r="AA52" s="202"/>
      <c r="AB52" s="202"/>
      <c r="AC52" s="202"/>
      <c r="AD52" s="202"/>
      <c r="AE52" s="202"/>
      <c r="AG52" s="48">
        <v>19</v>
      </c>
      <c r="AH52" s="198">
        <f ca="1">'JUSTIFICATIVA DE USINA'!O21</f>
        <v>-42.083333333333321</v>
      </c>
      <c r="AI52" s="198"/>
      <c r="AJ52" s="202" t="str">
        <f>'JUSTIFICATIVA DE USINA'!P21</f>
        <v>Impacto Principal: Estratégia direcionamento ativos para US-1  (dado à baixa produtividade do PEN 2 pela elevão no nível da pilha de Pebble);</v>
      </c>
      <c r="AK52" s="202"/>
      <c r="AL52" s="202"/>
      <c r="AM52" s="202"/>
      <c r="AN52" s="202"/>
      <c r="AO52" s="202"/>
      <c r="AP52" s="49"/>
    </row>
    <row r="53" spans="2:42" s="46" customFormat="1" ht="75" customHeight="1">
      <c r="B53" s="47"/>
      <c r="C53" s="48">
        <v>20</v>
      </c>
      <c r="D53" s="198">
        <f ca="1">'JUSTIFICATIVA DE USINA'!C22</f>
        <v>-5736.5966844498962</v>
      </c>
      <c r="E53" s="198"/>
      <c r="F53" s="202" t="str">
        <f>'JUSTIFICATIVA DE USINA'!D22</f>
        <v>Principal Impacto: Estratégia direcionamento prioriozando EIXO N4 para US-2 (dado à baixa produtividade do PEN 2 pela elevão no nível da pilha de Pebble);</v>
      </c>
      <c r="G53" s="202"/>
      <c r="H53" s="202"/>
      <c r="I53" s="202"/>
      <c r="J53" s="202"/>
      <c r="K53" s="202"/>
      <c r="M53" s="48">
        <v>20</v>
      </c>
      <c r="N53" s="198">
        <f ca="1">'JUSTIFICATIVA DE USINA'!G22</f>
        <v>-472.11999999999898</v>
      </c>
      <c r="O53" s="198"/>
      <c r="P53" s="202" t="str">
        <f>'JUSTIFICATIVA DE USINA'!H22</f>
        <v>Meta D+1 dia cumpriu;</v>
      </c>
      <c r="Q53" s="202"/>
      <c r="R53" s="202"/>
      <c r="S53" s="202"/>
      <c r="T53" s="202"/>
      <c r="U53" s="202"/>
      <c r="W53" s="48">
        <v>20</v>
      </c>
      <c r="X53" s="198">
        <f ca="1">'JUSTIFICATIVA DE USINA'!K22</f>
        <v>0</v>
      </c>
      <c r="Y53" s="198"/>
      <c r="Z53" s="202">
        <f>'JUSTIFICATIVA DE USINA'!L22</f>
        <v>0</v>
      </c>
      <c r="AA53" s="202"/>
      <c r="AB53" s="202"/>
      <c r="AC53" s="202"/>
      <c r="AD53" s="202"/>
      <c r="AE53" s="202"/>
      <c r="AG53" s="48">
        <v>20</v>
      </c>
      <c r="AH53" s="198">
        <f ca="1">'JUSTIFICATIVA DE USINA'!O22</f>
        <v>22.916666666666679</v>
      </c>
      <c r="AI53" s="198"/>
      <c r="AJ53" s="202">
        <f>'JUSTIFICATIVA DE USINA'!P22</f>
        <v>0</v>
      </c>
      <c r="AK53" s="202"/>
      <c r="AL53" s="202"/>
      <c r="AM53" s="202"/>
      <c r="AN53" s="202"/>
      <c r="AO53" s="202"/>
      <c r="AP53" s="49"/>
    </row>
    <row r="54" spans="2:42" s="46" customFormat="1" ht="75" customHeight="1">
      <c r="B54" s="47"/>
      <c r="C54" s="48">
        <v>21</v>
      </c>
      <c r="D54" s="198">
        <f ca="1">'JUSTIFICATIVA DE USINA'!C23</f>
        <v>-3718.5570271945144</v>
      </c>
      <c r="E54" s="198"/>
      <c r="F54" s="202" t="str">
        <f>'JUSTIFICATIVA DE USINA'!D23</f>
        <v>Principal Impacto: Estratégia direcionamento prioriozando EIXO N4 para US-2 (dado à baixa produtividade do PEN 2 pela elevão no nível da pilha de Pebble);</v>
      </c>
      <c r="G54" s="202"/>
      <c r="H54" s="202"/>
      <c r="I54" s="202"/>
      <c r="J54" s="202"/>
      <c r="K54" s="202"/>
      <c r="M54" s="48">
        <v>21</v>
      </c>
      <c r="N54" s="198">
        <f ca="1">'JUSTIFICATIVA DE USINA'!G23</f>
        <v>-2492.3999999999996</v>
      </c>
      <c r="O54" s="198"/>
      <c r="P54" s="202" t="str">
        <f>'JUSTIFICATIVA DE USINA'!H23</f>
        <v>Meta D+1 dia cumpriu;</v>
      </c>
      <c r="Q54" s="202"/>
      <c r="R54" s="202"/>
      <c r="S54" s="202"/>
      <c r="T54" s="202"/>
      <c r="U54" s="202"/>
      <c r="W54" s="48">
        <v>21</v>
      </c>
      <c r="X54" s="198">
        <f ca="1">'JUSTIFICATIVA DE USINA'!K23</f>
        <v>810</v>
      </c>
      <c r="Y54" s="198"/>
      <c r="Z54" s="202">
        <f>'JUSTIFICATIVA DE USINA'!L23</f>
        <v>0</v>
      </c>
      <c r="AA54" s="202"/>
      <c r="AB54" s="202"/>
      <c r="AC54" s="202"/>
      <c r="AD54" s="202"/>
      <c r="AE54" s="202"/>
      <c r="AG54" s="48">
        <v>21</v>
      </c>
      <c r="AH54" s="198">
        <f ca="1">'JUSTIFICATIVA DE USINA'!O23</f>
        <v>-41.083333333333321</v>
      </c>
      <c r="AI54" s="198"/>
      <c r="AJ54" s="202" t="str">
        <f>'JUSTIFICATIVA DE USINA'!P23</f>
        <v>Impacto Principal: Estratégia direcionamento ativos para US-1  (dado à baixa produtividade do PEN 2 pela elevão no nível da pilha de Pebble);</v>
      </c>
      <c r="AK54" s="202"/>
      <c r="AL54" s="202"/>
      <c r="AM54" s="202"/>
      <c r="AN54" s="202"/>
      <c r="AO54" s="202"/>
      <c r="AP54" s="49"/>
    </row>
    <row r="55" spans="2:42" s="46" customFormat="1" ht="75" customHeight="1">
      <c r="B55" s="47"/>
      <c r="C55" s="48">
        <v>22</v>
      </c>
      <c r="D55" s="198">
        <f ca="1">'JUSTIFICATIVA DE USINA'!C24</f>
        <v>-2109.5955555023684</v>
      </c>
      <c r="E55" s="198"/>
      <c r="F55" s="202" t="str">
        <f>'JUSTIFICATIVA DE USINA'!D24</f>
        <v>Principal Impacto: Estratégia direcionamento prioriozando EIXO N4 para US-2 (dado à baixa produtividade do PEN 2 pela elevão no nível da pilha de Pebble);</v>
      </c>
      <c r="G55" s="202"/>
      <c r="H55" s="202"/>
      <c r="I55" s="202"/>
      <c r="J55" s="202"/>
      <c r="K55" s="202"/>
      <c r="M55" s="48">
        <v>22</v>
      </c>
      <c r="N55" s="198">
        <f ca="1">'JUSTIFICATIVA DE USINA'!G24</f>
        <v>-1354.6399999999994</v>
      </c>
      <c r="O55" s="198"/>
      <c r="P55" s="202" t="str">
        <f>'JUSTIFICATIVA DE USINA'!H24</f>
        <v>Meta D+1 dia cumpriu;</v>
      </c>
      <c r="Q55" s="202"/>
      <c r="R55" s="202"/>
      <c r="S55" s="202"/>
      <c r="T55" s="202"/>
      <c r="U55" s="202"/>
      <c r="W55" s="48">
        <v>22</v>
      </c>
      <c r="X55" s="198">
        <f ca="1">'JUSTIFICATIVA DE USINA'!K24</f>
        <v>1250</v>
      </c>
      <c r="Y55" s="198"/>
      <c r="Z55" s="202">
        <f>'JUSTIFICATIVA DE USINA'!L24</f>
        <v>0</v>
      </c>
      <c r="AA55" s="202"/>
      <c r="AB55" s="202"/>
      <c r="AC55" s="202"/>
      <c r="AD55" s="202"/>
      <c r="AE55" s="202"/>
      <c r="AG55" s="48">
        <v>22</v>
      </c>
      <c r="AH55" s="198">
        <f ca="1">'JUSTIFICATIVA DE USINA'!O24</f>
        <v>-23.083333333333321</v>
      </c>
      <c r="AI55" s="198"/>
      <c r="AJ55" s="202" t="str">
        <f>'JUSTIFICATIVA DE USINA'!P24</f>
        <v>Impacto Principal: Estratégia direcionamento ativos para US-1  (dado à baixa produtividade do PEN 2 pela elevão no nível da pilha de Pebble);</v>
      </c>
      <c r="AK55" s="202"/>
      <c r="AL55" s="202"/>
      <c r="AM55" s="202"/>
      <c r="AN55" s="202"/>
      <c r="AO55" s="202"/>
      <c r="AP55" s="49"/>
    </row>
    <row r="56" spans="2:42" s="46" customFormat="1" ht="75" customHeight="1">
      <c r="B56" s="47"/>
      <c r="C56" s="48">
        <v>23</v>
      </c>
      <c r="D56" s="198">
        <f ca="1">'JUSTIFICATIVA DE USINA'!C25</f>
        <v>-1101.9449197271297</v>
      </c>
      <c r="E56" s="198"/>
      <c r="F56" s="202" t="str">
        <f>'JUSTIFICATIVA DE USINA'!D25</f>
        <v>Principal Impacto: Estratégia direcionamento prioriozando EIXO N4 para US-2 (dado à baixa produtividade do PEN 2 pela elevão no nível da pilha de Pebble);</v>
      </c>
      <c r="G56" s="202"/>
      <c r="H56" s="202"/>
      <c r="I56" s="202"/>
      <c r="J56" s="202"/>
      <c r="K56" s="202"/>
      <c r="M56" s="48">
        <v>23</v>
      </c>
      <c r="N56" s="198">
        <f ca="1">'JUSTIFICATIVA DE USINA'!G25</f>
        <v>-2638.3999999999996</v>
      </c>
      <c r="O56" s="198"/>
      <c r="P56" s="202" t="str">
        <f>'JUSTIFICATIVA DE USINA'!H25</f>
        <v>Meta D+1 dia cumpriu;</v>
      </c>
      <c r="Q56" s="202"/>
      <c r="R56" s="202"/>
      <c r="S56" s="202"/>
      <c r="T56" s="202"/>
      <c r="U56" s="202"/>
      <c r="W56" s="48">
        <v>23</v>
      </c>
      <c r="X56" s="198">
        <f ca="1">'JUSTIFICATIVA DE USINA'!K25</f>
        <v>390</v>
      </c>
      <c r="Y56" s="198"/>
      <c r="Z56" s="202">
        <f>'JUSTIFICATIVA DE USINA'!L25</f>
        <v>0</v>
      </c>
      <c r="AA56" s="202"/>
      <c r="AB56" s="202"/>
      <c r="AC56" s="202"/>
      <c r="AD56" s="202"/>
      <c r="AE56" s="202"/>
      <c r="AG56" s="48">
        <v>23</v>
      </c>
      <c r="AH56" s="198">
        <f ca="1">'JUSTIFICATIVA DE USINA'!O25</f>
        <v>-42.083333333333321</v>
      </c>
      <c r="AI56" s="198"/>
      <c r="AJ56" s="202" t="str">
        <f>'JUSTIFICATIVA DE USINA'!P25</f>
        <v>Impacto Principal: Estratégia direcionamento ativos para US-1  (dado à baixa produtividade do PEN 2 pela elevão no nível da pilha de Pebble);</v>
      </c>
      <c r="AK56" s="202"/>
      <c r="AL56" s="202"/>
      <c r="AM56" s="202"/>
      <c r="AN56" s="202"/>
      <c r="AO56" s="202"/>
      <c r="AP56" s="49"/>
    </row>
    <row r="57" spans="2:42" s="46" customFormat="1" ht="75" customHeight="1">
      <c r="B57" s="47"/>
      <c r="C57" s="48">
        <v>24</v>
      </c>
      <c r="D57" s="198">
        <f ca="1">'JUSTIFICATIVA DE USINA'!C26</f>
        <v>1977.40950841839</v>
      </c>
      <c r="E57" s="198"/>
      <c r="F57" s="202">
        <f>'JUSTIFICATIVA DE USINA'!D26</f>
        <v>0</v>
      </c>
      <c r="G57" s="202"/>
      <c r="H57" s="202"/>
      <c r="I57" s="202"/>
      <c r="J57" s="202"/>
      <c r="K57" s="202"/>
      <c r="M57" s="48">
        <v>24</v>
      </c>
      <c r="N57" s="198">
        <f ca="1">'JUSTIFICATIVA DE USINA'!G26</f>
        <v>-3596.9999999999991</v>
      </c>
      <c r="O57" s="198"/>
      <c r="P57" s="202" t="str">
        <f>'JUSTIFICATIVA DE USINA'!H26</f>
        <v>Meta D+1 dia cumpriu;</v>
      </c>
      <c r="Q57" s="202"/>
      <c r="R57" s="202"/>
      <c r="S57" s="202"/>
      <c r="T57" s="202"/>
      <c r="U57" s="202"/>
      <c r="W57" s="48">
        <v>24</v>
      </c>
      <c r="X57" s="198">
        <f ca="1">'JUSTIFICATIVA DE USINA'!K26</f>
        <v>0</v>
      </c>
      <c r="Y57" s="198"/>
      <c r="Z57" s="202">
        <f>'JUSTIFICATIVA DE USINA'!L26</f>
        <v>0</v>
      </c>
      <c r="AA57" s="202"/>
      <c r="AB57" s="202"/>
      <c r="AC57" s="202"/>
      <c r="AD57" s="202"/>
      <c r="AE57" s="202"/>
      <c r="AG57" s="48">
        <v>24</v>
      </c>
      <c r="AH57" s="198">
        <f ca="1">'JUSTIFICATIVA DE USINA'!O26</f>
        <v>-42.083333333333321</v>
      </c>
      <c r="AI57" s="198"/>
      <c r="AJ57" s="202" t="str">
        <f>'JUSTIFICATIVA DE USINA'!P26</f>
        <v>Impacto Principal: Estratégia direcionamento ativos para US-1  (dado à baixa produtividade do PEN 2 pela elevão no nível da pilha de Pebble);</v>
      </c>
      <c r="AK57" s="202"/>
      <c r="AL57" s="202"/>
      <c r="AM57" s="202"/>
      <c r="AN57" s="202"/>
      <c r="AO57" s="202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7" t="s">
        <v>1</v>
      </c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9"/>
      <c r="AP93" s="24"/>
    </row>
    <row r="94" spans="2:42" ht="24" customHeight="1">
      <c r="B94" s="23"/>
      <c r="AA94" s="220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2"/>
      <c r="AP94" s="24"/>
    </row>
    <row r="95" spans="2:42" ht="24" customHeight="1">
      <c r="B95" s="23"/>
      <c r="AA95" s="211" t="str">
        <f>'JUSTIFICATIVA DE USINA'!Z3</f>
        <v xml:space="preserve">- Abaixo do programa:
Impactos:
- Estratégia direcionamento prioriozando EIXO N4 para US-2 (dado à baixa produtividade do PEN 2 pela elevão no nível da pilha de Pebble);
Ponto de atenção:*
- Nível alto na pilha de Pebble (PGG).
- Restrição de Linhas úmidos por vazamentos de PEAD's.
</v>
      </c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3"/>
      <c r="AP95" s="24"/>
    </row>
    <row r="96" spans="2:42" ht="35.25" customHeight="1">
      <c r="B96" s="23"/>
      <c r="AA96" s="211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3"/>
      <c r="AP96" s="24"/>
    </row>
    <row r="97" spans="2:42" ht="35.25" customHeight="1">
      <c r="B97" s="23"/>
      <c r="AA97" s="211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3"/>
      <c r="AP97" s="24"/>
    </row>
    <row r="98" spans="2:42" ht="35.25" customHeight="1">
      <c r="B98" s="23"/>
      <c r="AA98" s="211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3"/>
      <c r="AP98" s="24"/>
    </row>
    <row r="99" spans="2:42" ht="35.25" customHeight="1">
      <c r="B99" s="23"/>
      <c r="AA99" s="211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3"/>
      <c r="AP99" s="24"/>
    </row>
    <row r="100" spans="2:42" ht="35.25" customHeight="1">
      <c r="B100" s="23"/>
      <c r="AA100" s="211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3"/>
      <c r="AP100" s="24"/>
    </row>
    <row r="101" spans="2:42" ht="35.25" customHeight="1">
      <c r="B101" s="23"/>
      <c r="AA101" s="211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3"/>
      <c r="AP101" s="24"/>
    </row>
    <row r="102" spans="2:42" ht="35.25" customHeight="1">
      <c r="B102" s="23"/>
      <c r="AA102" s="211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3"/>
      <c r="AP102" s="24"/>
    </row>
    <row r="103" spans="2:42" ht="35.25" customHeight="1">
      <c r="B103" s="23"/>
      <c r="AA103" s="211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3"/>
      <c r="AP103" s="24"/>
    </row>
    <row r="104" spans="2:42" ht="51" customHeight="1">
      <c r="B104" s="23"/>
      <c r="AA104" s="211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3"/>
      <c r="AP104" s="24"/>
    </row>
    <row r="105" spans="2:42" ht="51" customHeight="1">
      <c r="B105" s="23"/>
      <c r="AA105" s="211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3"/>
      <c r="AP105" s="24"/>
    </row>
    <row r="106" spans="2:42" ht="51" customHeight="1">
      <c r="B106" s="23"/>
      <c r="AA106" s="211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3"/>
      <c r="AP106" s="24"/>
    </row>
    <row r="107" spans="2:42" ht="51" customHeight="1">
      <c r="B107" s="23"/>
      <c r="AA107" s="211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3"/>
      <c r="AP107" s="24"/>
    </row>
    <row r="108" spans="2:42" ht="51" customHeight="1" thickBot="1">
      <c r="B108" s="23"/>
      <c r="AA108" s="214"/>
      <c r="AB108" s="215"/>
      <c r="AC108" s="215"/>
      <c r="AD108" s="215"/>
      <c r="AE108" s="215"/>
      <c r="AF108" s="215"/>
      <c r="AG108" s="215"/>
      <c r="AH108" s="215"/>
      <c r="AI108" s="215"/>
      <c r="AJ108" s="215"/>
      <c r="AK108" s="215"/>
      <c r="AL108" s="215"/>
      <c r="AM108" s="215"/>
      <c r="AN108" s="215"/>
      <c r="AO108" s="216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17" t="s">
        <v>2</v>
      </c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9"/>
      <c r="AP111" s="24"/>
    </row>
    <row r="112" spans="2:42" ht="24" customHeight="1">
      <c r="B112" s="23"/>
      <c r="AA112" s="220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2"/>
      <c r="AP112" s="24"/>
    </row>
    <row r="113" spans="2:42" ht="24" customHeight="1">
      <c r="B113" s="23"/>
      <c r="AA113" s="211" t="str">
        <f>'JUSTIFICATIVA DE USINA'!AL3</f>
        <v xml:space="preserve">-  Cumpriu o programa.
</v>
      </c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3"/>
      <c r="AP113" s="24"/>
    </row>
    <row r="114" spans="2:42" ht="24" customHeight="1">
      <c r="B114" s="23"/>
      <c r="AA114" s="211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3"/>
      <c r="AP114" s="24"/>
    </row>
    <row r="115" spans="2:42" ht="24" customHeight="1">
      <c r="B115" s="23"/>
      <c r="AA115" s="211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3"/>
      <c r="AP115" s="24"/>
    </row>
    <row r="116" spans="2:42" ht="24" customHeight="1">
      <c r="B116" s="23"/>
      <c r="AA116" s="211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3"/>
      <c r="AP116" s="24"/>
    </row>
    <row r="117" spans="2:42" ht="24" customHeight="1">
      <c r="B117" s="23"/>
      <c r="AA117" s="211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3"/>
      <c r="AP117" s="24"/>
    </row>
    <row r="118" spans="2:42" ht="24" customHeight="1">
      <c r="B118" s="23"/>
      <c r="AA118" s="211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3"/>
      <c r="AP118" s="24"/>
    </row>
    <row r="119" spans="2:42" ht="24" customHeight="1">
      <c r="B119" s="23"/>
      <c r="AA119" s="211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3"/>
      <c r="AP119" s="24"/>
    </row>
    <row r="120" spans="2:42" ht="24" customHeight="1">
      <c r="B120" s="23"/>
      <c r="AA120" s="211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3"/>
      <c r="AP120" s="24"/>
    </row>
    <row r="121" spans="2:42" ht="24" customHeight="1">
      <c r="B121" s="23"/>
      <c r="AA121" s="211"/>
      <c r="AB121" s="212"/>
      <c r="AC121" s="212"/>
      <c r="AD121" s="212"/>
      <c r="AE121" s="212"/>
      <c r="AF121" s="212"/>
      <c r="AG121" s="212"/>
      <c r="AH121" s="212"/>
      <c r="AI121" s="212"/>
      <c r="AJ121" s="212"/>
      <c r="AK121" s="212"/>
      <c r="AL121" s="212"/>
      <c r="AM121" s="212"/>
      <c r="AN121" s="212"/>
      <c r="AO121" s="213"/>
      <c r="AP121" s="24"/>
    </row>
    <row r="122" spans="2:42" ht="24" customHeight="1">
      <c r="B122" s="23"/>
      <c r="AA122" s="211"/>
      <c r="AB122" s="212"/>
      <c r="AC122" s="212"/>
      <c r="AD122" s="212"/>
      <c r="AE122" s="212"/>
      <c r="AF122" s="212"/>
      <c r="AG122" s="212"/>
      <c r="AH122" s="212"/>
      <c r="AI122" s="212"/>
      <c r="AJ122" s="212"/>
      <c r="AK122" s="212"/>
      <c r="AL122" s="212"/>
      <c r="AM122" s="212"/>
      <c r="AN122" s="212"/>
      <c r="AO122" s="213"/>
      <c r="AP122" s="24"/>
    </row>
    <row r="123" spans="2:42" ht="24" customHeight="1">
      <c r="B123" s="23"/>
      <c r="AA123" s="211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3"/>
      <c r="AP123" s="24"/>
    </row>
    <row r="124" spans="2:42" ht="24" customHeight="1">
      <c r="B124" s="23"/>
      <c r="AA124" s="211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3"/>
      <c r="AP124" s="24"/>
    </row>
    <row r="125" spans="2:42" ht="24" customHeight="1">
      <c r="B125" s="23"/>
      <c r="AA125" s="211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3"/>
      <c r="AP125" s="24"/>
    </row>
    <row r="126" spans="2:42" ht="24" customHeight="1" thickBot="1">
      <c r="B126" s="23"/>
      <c r="AA126" s="214"/>
      <c r="AB126" s="215"/>
      <c r="AC126" s="215"/>
      <c r="AD126" s="215"/>
      <c r="AE126" s="215"/>
      <c r="AF126" s="215"/>
      <c r="AG126" s="215"/>
      <c r="AH126" s="215"/>
      <c r="AI126" s="215"/>
      <c r="AJ126" s="215"/>
      <c r="AK126" s="215"/>
      <c r="AL126" s="215"/>
      <c r="AM126" s="215"/>
      <c r="AN126" s="215"/>
      <c r="AO126" s="216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7" t="s">
        <v>3</v>
      </c>
      <c r="AB129" s="218"/>
      <c r="AC129" s="218"/>
      <c r="AD129" s="218"/>
      <c r="AE129" s="218"/>
      <c r="AF129" s="218"/>
      <c r="AG129" s="218"/>
      <c r="AH129" s="218"/>
      <c r="AI129" s="218"/>
      <c r="AJ129" s="218"/>
      <c r="AK129" s="218"/>
      <c r="AL129" s="218"/>
      <c r="AM129" s="218"/>
      <c r="AN129" s="218"/>
      <c r="AO129" s="219"/>
      <c r="AP129" s="24"/>
    </row>
    <row r="130" spans="2:42" ht="19.899999999999999" customHeight="1">
      <c r="B130" s="23"/>
      <c r="AA130" s="220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2"/>
      <c r="AP130" s="24"/>
    </row>
    <row r="131" spans="2:42" ht="19.899999999999999" customHeight="1">
      <c r="B131" s="23"/>
      <c r="AA131" s="211" t="str">
        <f>'JUSTIFICATIVA DE USINA'!AX3</f>
        <v>-Sem  programação 
- Operando por oportunidade.</v>
      </c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3"/>
      <c r="AP131" s="24"/>
    </row>
    <row r="132" spans="2:42" ht="19.899999999999999" customHeight="1">
      <c r="B132" s="23"/>
      <c r="AA132" s="211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3"/>
      <c r="AP132" s="24"/>
    </row>
    <row r="133" spans="2:42" ht="19.899999999999999" customHeight="1">
      <c r="B133" s="23"/>
      <c r="AA133" s="211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3"/>
      <c r="AP133" s="24"/>
    </row>
    <row r="134" spans="2:42" ht="19.899999999999999" customHeight="1">
      <c r="B134" s="23"/>
      <c r="AA134" s="211"/>
      <c r="AB134" s="212"/>
      <c r="AC134" s="212"/>
      <c r="AD134" s="212"/>
      <c r="AE134" s="212"/>
      <c r="AF134" s="212"/>
      <c r="AG134" s="212"/>
      <c r="AH134" s="212"/>
      <c r="AI134" s="212"/>
      <c r="AJ134" s="212"/>
      <c r="AK134" s="212"/>
      <c r="AL134" s="212"/>
      <c r="AM134" s="212"/>
      <c r="AN134" s="212"/>
      <c r="AO134" s="213"/>
      <c r="AP134" s="24"/>
    </row>
    <row r="135" spans="2:42" ht="19.899999999999999" customHeight="1">
      <c r="B135" s="23"/>
      <c r="AA135" s="211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3"/>
      <c r="AP135" s="24"/>
    </row>
    <row r="136" spans="2:42" ht="19.899999999999999" customHeight="1">
      <c r="B136" s="23"/>
      <c r="AA136" s="211"/>
      <c r="AB136" s="212"/>
      <c r="AC136" s="212"/>
      <c r="AD136" s="212"/>
      <c r="AE136" s="212"/>
      <c r="AF136" s="212"/>
      <c r="AG136" s="212"/>
      <c r="AH136" s="212"/>
      <c r="AI136" s="212"/>
      <c r="AJ136" s="212"/>
      <c r="AK136" s="212"/>
      <c r="AL136" s="212"/>
      <c r="AM136" s="212"/>
      <c r="AN136" s="212"/>
      <c r="AO136" s="213"/>
      <c r="AP136" s="24"/>
    </row>
    <row r="137" spans="2:42" ht="19.899999999999999" customHeight="1">
      <c r="B137" s="23"/>
      <c r="AA137" s="211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3"/>
      <c r="AP137" s="24"/>
    </row>
    <row r="138" spans="2:42" ht="19.899999999999999" customHeight="1">
      <c r="B138" s="23"/>
      <c r="AA138" s="211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3"/>
      <c r="AP138" s="24"/>
    </row>
    <row r="139" spans="2:42" ht="19.899999999999999" customHeight="1">
      <c r="B139" s="23"/>
      <c r="AA139" s="211"/>
      <c r="AB139" s="212"/>
      <c r="AC139" s="212"/>
      <c r="AD139" s="212"/>
      <c r="AE139" s="212"/>
      <c r="AF139" s="212"/>
      <c r="AG139" s="212"/>
      <c r="AH139" s="212"/>
      <c r="AI139" s="212"/>
      <c r="AJ139" s="212"/>
      <c r="AK139" s="212"/>
      <c r="AL139" s="212"/>
      <c r="AM139" s="212"/>
      <c r="AN139" s="212"/>
      <c r="AO139" s="213"/>
      <c r="AP139" s="24"/>
    </row>
    <row r="140" spans="2:42" ht="19.899999999999999" customHeight="1">
      <c r="B140" s="23"/>
      <c r="AA140" s="211"/>
      <c r="AB140" s="212"/>
      <c r="AC140" s="212"/>
      <c r="AD140" s="212"/>
      <c r="AE140" s="212"/>
      <c r="AF140" s="212"/>
      <c r="AG140" s="212"/>
      <c r="AH140" s="212"/>
      <c r="AI140" s="212"/>
      <c r="AJ140" s="212"/>
      <c r="AK140" s="212"/>
      <c r="AL140" s="212"/>
      <c r="AM140" s="212"/>
      <c r="AN140" s="212"/>
      <c r="AO140" s="213"/>
      <c r="AP140" s="24"/>
    </row>
    <row r="141" spans="2:42" ht="19.899999999999999" customHeight="1">
      <c r="B141" s="23"/>
      <c r="AA141" s="211"/>
      <c r="AB141" s="212"/>
      <c r="AC141" s="212"/>
      <c r="AD141" s="212"/>
      <c r="AE141" s="212"/>
      <c r="AF141" s="212"/>
      <c r="AG141" s="212"/>
      <c r="AH141" s="212"/>
      <c r="AI141" s="212"/>
      <c r="AJ141" s="212"/>
      <c r="AK141" s="212"/>
      <c r="AL141" s="212"/>
      <c r="AM141" s="212"/>
      <c r="AN141" s="212"/>
      <c r="AO141" s="213"/>
      <c r="AP141" s="24"/>
    </row>
    <row r="142" spans="2:42" ht="19.899999999999999" customHeight="1">
      <c r="B142" s="23"/>
      <c r="AA142" s="211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3"/>
      <c r="AP142" s="24"/>
    </row>
    <row r="143" spans="2:42" ht="19.899999999999999" customHeight="1">
      <c r="B143" s="23"/>
      <c r="AA143" s="211"/>
      <c r="AB143" s="212"/>
      <c r="AC143" s="212"/>
      <c r="AD143" s="212"/>
      <c r="AE143" s="212"/>
      <c r="AF143" s="212"/>
      <c r="AG143" s="212"/>
      <c r="AH143" s="212"/>
      <c r="AI143" s="212"/>
      <c r="AJ143" s="212"/>
      <c r="AK143" s="212"/>
      <c r="AL143" s="212"/>
      <c r="AM143" s="212"/>
      <c r="AN143" s="212"/>
      <c r="AO143" s="213"/>
      <c r="AP143" s="24"/>
    </row>
    <row r="144" spans="2:42" ht="19.899999999999999" customHeight="1" thickBot="1">
      <c r="B144" s="23"/>
      <c r="AA144" s="214"/>
      <c r="AB144" s="215"/>
      <c r="AC144" s="215"/>
      <c r="AD144" s="215"/>
      <c r="AE144" s="215"/>
      <c r="AF144" s="215"/>
      <c r="AG144" s="215"/>
      <c r="AH144" s="215"/>
      <c r="AI144" s="215"/>
      <c r="AJ144" s="215"/>
      <c r="AK144" s="215"/>
      <c r="AL144" s="215"/>
      <c r="AM144" s="215"/>
      <c r="AN144" s="215"/>
      <c r="AO144" s="216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17" t="s">
        <v>4</v>
      </c>
      <c r="AB147" s="218"/>
      <c r="AC147" s="218"/>
      <c r="AD147" s="218"/>
      <c r="AE147" s="218"/>
      <c r="AF147" s="218"/>
      <c r="AG147" s="218"/>
      <c r="AH147" s="218"/>
      <c r="AI147" s="218"/>
      <c r="AJ147" s="218"/>
      <c r="AK147" s="218"/>
      <c r="AL147" s="218"/>
      <c r="AM147" s="218"/>
      <c r="AN147" s="218"/>
      <c r="AO147" s="219"/>
      <c r="AP147" s="24"/>
    </row>
    <row r="148" spans="2:42" ht="19.899999999999999" customHeight="1">
      <c r="B148" s="23"/>
      <c r="AA148" s="220"/>
      <c r="AB148" s="221"/>
      <c r="AC148" s="221"/>
      <c r="AD148" s="221"/>
      <c r="AE148" s="221"/>
      <c r="AF148" s="221"/>
      <c r="AG148" s="221"/>
      <c r="AH148" s="221"/>
      <c r="AI148" s="221"/>
      <c r="AJ148" s="221"/>
      <c r="AK148" s="221"/>
      <c r="AL148" s="221"/>
      <c r="AM148" s="221"/>
      <c r="AN148" s="221"/>
      <c r="AO148" s="222"/>
      <c r="AP148" s="24"/>
    </row>
    <row r="149" spans="2:42" ht="19.899999999999999" customHeight="1">
      <c r="B149" s="23"/>
      <c r="AA149" s="211" t="str">
        <f>'JUSTIFICATIVA DE USINA'!BJ3</f>
        <v>- Estratégia direcionamento ativos para US-1  (dado à baixa produtividade do PEN 2 pela elevão no nível da pilha de Pebble).</v>
      </c>
      <c r="AB149" s="212"/>
      <c r="AC149" s="212"/>
      <c r="AD149" s="212"/>
      <c r="AE149" s="212"/>
      <c r="AF149" s="212"/>
      <c r="AG149" s="212"/>
      <c r="AH149" s="212"/>
      <c r="AI149" s="212"/>
      <c r="AJ149" s="212"/>
      <c r="AK149" s="212"/>
      <c r="AL149" s="212"/>
      <c r="AM149" s="212"/>
      <c r="AN149" s="212"/>
      <c r="AO149" s="213"/>
      <c r="AP149" s="24"/>
    </row>
    <row r="150" spans="2:42" ht="19.899999999999999" customHeight="1">
      <c r="B150" s="23"/>
      <c r="AA150" s="211"/>
      <c r="AB150" s="212"/>
      <c r="AC150" s="212"/>
      <c r="AD150" s="212"/>
      <c r="AE150" s="212"/>
      <c r="AF150" s="212"/>
      <c r="AG150" s="212"/>
      <c r="AH150" s="212"/>
      <c r="AI150" s="212"/>
      <c r="AJ150" s="212"/>
      <c r="AK150" s="212"/>
      <c r="AL150" s="212"/>
      <c r="AM150" s="212"/>
      <c r="AN150" s="212"/>
      <c r="AO150" s="213"/>
      <c r="AP150" s="24"/>
    </row>
    <row r="151" spans="2:42" ht="19.899999999999999" customHeight="1">
      <c r="B151" s="23"/>
      <c r="AA151" s="211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3"/>
      <c r="AP151" s="24"/>
    </row>
    <row r="152" spans="2:42" ht="19.899999999999999" customHeight="1">
      <c r="B152" s="23"/>
      <c r="AA152" s="211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3"/>
      <c r="AP152" s="24"/>
    </row>
    <row r="153" spans="2:42" ht="19.899999999999999" customHeight="1">
      <c r="B153" s="23"/>
      <c r="AA153" s="211"/>
      <c r="AB153" s="212"/>
      <c r="AC153" s="212"/>
      <c r="AD153" s="212"/>
      <c r="AE153" s="212"/>
      <c r="AF153" s="212"/>
      <c r="AG153" s="212"/>
      <c r="AH153" s="212"/>
      <c r="AI153" s="212"/>
      <c r="AJ153" s="212"/>
      <c r="AK153" s="212"/>
      <c r="AL153" s="212"/>
      <c r="AM153" s="212"/>
      <c r="AN153" s="212"/>
      <c r="AO153" s="213"/>
      <c r="AP153" s="24"/>
    </row>
    <row r="154" spans="2:42" ht="19.899999999999999" customHeight="1">
      <c r="B154" s="23"/>
      <c r="AA154" s="211"/>
      <c r="AB154" s="212"/>
      <c r="AC154" s="212"/>
      <c r="AD154" s="212"/>
      <c r="AE154" s="212"/>
      <c r="AF154" s="212"/>
      <c r="AG154" s="212"/>
      <c r="AH154" s="212"/>
      <c r="AI154" s="212"/>
      <c r="AJ154" s="212"/>
      <c r="AK154" s="212"/>
      <c r="AL154" s="212"/>
      <c r="AM154" s="212"/>
      <c r="AN154" s="212"/>
      <c r="AO154" s="213"/>
      <c r="AP154" s="24"/>
    </row>
    <row r="155" spans="2:42" ht="19.899999999999999" customHeight="1">
      <c r="B155" s="23"/>
      <c r="AA155" s="211"/>
      <c r="AB155" s="212"/>
      <c r="AC155" s="212"/>
      <c r="AD155" s="212"/>
      <c r="AE155" s="212"/>
      <c r="AF155" s="212"/>
      <c r="AG155" s="212"/>
      <c r="AH155" s="212"/>
      <c r="AI155" s="212"/>
      <c r="AJ155" s="212"/>
      <c r="AK155" s="212"/>
      <c r="AL155" s="212"/>
      <c r="AM155" s="212"/>
      <c r="AN155" s="212"/>
      <c r="AO155" s="213"/>
      <c r="AP155" s="24"/>
    </row>
    <row r="156" spans="2:42" ht="19.899999999999999" customHeight="1">
      <c r="B156" s="23"/>
      <c r="AA156" s="211"/>
      <c r="AB156" s="212"/>
      <c r="AC156" s="212"/>
      <c r="AD156" s="212"/>
      <c r="AE156" s="212"/>
      <c r="AF156" s="212"/>
      <c r="AG156" s="212"/>
      <c r="AH156" s="212"/>
      <c r="AI156" s="212"/>
      <c r="AJ156" s="212"/>
      <c r="AK156" s="212"/>
      <c r="AL156" s="212"/>
      <c r="AM156" s="212"/>
      <c r="AN156" s="212"/>
      <c r="AO156" s="213"/>
      <c r="AP156" s="24"/>
    </row>
    <row r="157" spans="2:42" ht="19.899999999999999" customHeight="1">
      <c r="B157" s="23"/>
      <c r="AA157" s="211"/>
      <c r="AB157" s="212"/>
      <c r="AC157" s="212"/>
      <c r="AD157" s="212"/>
      <c r="AE157" s="212"/>
      <c r="AF157" s="212"/>
      <c r="AG157" s="212"/>
      <c r="AH157" s="212"/>
      <c r="AI157" s="212"/>
      <c r="AJ157" s="212"/>
      <c r="AK157" s="212"/>
      <c r="AL157" s="212"/>
      <c r="AM157" s="212"/>
      <c r="AN157" s="212"/>
      <c r="AO157" s="213"/>
      <c r="AP157" s="24"/>
    </row>
    <row r="158" spans="2:42" ht="19.899999999999999" customHeight="1">
      <c r="B158" s="23"/>
      <c r="AA158" s="211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3"/>
      <c r="AP158" s="24"/>
    </row>
    <row r="159" spans="2:42" ht="19.899999999999999" customHeight="1">
      <c r="B159" s="23"/>
      <c r="AA159" s="211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3"/>
      <c r="AP159" s="24"/>
    </row>
    <row r="160" spans="2:42" ht="19.899999999999999" customHeight="1">
      <c r="B160" s="23"/>
      <c r="AA160" s="211"/>
      <c r="AB160" s="212"/>
      <c r="AC160" s="212"/>
      <c r="AD160" s="212"/>
      <c r="AE160" s="212"/>
      <c r="AF160" s="212"/>
      <c r="AG160" s="212"/>
      <c r="AH160" s="212"/>
      <c r="AI160" s="212"/>
      <c r="AJ160" s="212"/>
      <c r="AK160" s="212"/>
      <c r="AL160" s="212"/>
      <c r="AM160" s="212"/>
      <c r="AN160" s="212"/>
      <c r="AO160" s="213"/>
      <c r="AP160" s="24"/>
    </row>
    <row r="161" spans="2:42" ht="19.899999999999999" customHeight="1">
      <c r="B161" s="23"/>
      <c r="AA161" s="211"/>
      <c r="AB161" s="212"/>
      <c r="AC161" s="212"/>
      <c r="AD161" s="212"/>
      <c r="AE161" s="212"/>
      <c r="AF161" s="212"/>
      <c r="AG161" s="212"/>
      <c r="AH161" s="212"/>
      <c r="AI161" s="212"/>
      <c r="AJ161" s="212"/>
      <c r="AK161" s="212"/>
      <c r="AL161" s="212"/>
      <c r="AM161" s="212"/>
      <c r="AN161" s="212"/>
      <c r="AO161" s="213"/>
      <c r="AP161" s="24"/>
    </row>
    <row r="162" spans="2:42" ht="19.899999999999999" customHeight="1" thickBot="1">
      <c r="B162" s="23"/>
      <c r="AA162" s="214"/>
      <c r="AB162" s="215"/>
      <c r="AC162" s="215"/>
      <c r="AD162" s="215"/>
      <c r="AE162" s="215"/>
      <c r="AF162" s="215"/>
      <c r="AG162" s="215"/>
      <c r="AH162" s="215"/>
      <c r="AI162" s="215"/>
      <c r="AJ162" s="215"/>
      <c r="AK162" s="215"/>
      <c r="AL162" s="215"/>
      <c r="AM162" s="215"/>
      <c r="AN162" s="215"/>
      <c r="AO162" s="216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acoesCOI_USINA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40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5" t="s">
        <v>41</v>
      </c>
      <c r="AI3" s="205"/>
      <c r="AJ3" s="205"/>
      <c r="AK3" s="206">
        <f>'ACOMPANHAMENTO USINA'!$AK$3</f>
        <v>0</v>
      </c>
      <c r="AL3" s="206"/>
      <c r="AM3" s="206"/>
      <c r="AN3" s="199" t="str">
        <f ca="1">'ACOMPANHAMENTO USINA'!$AN$3</f>
        <v>23:59:59</v>
      </c>
      <c r="AO3" s="199"/>
      <c r="AP3" s="200"/>
      <c r="DA3" s="56"/>
      <c r="DB3" s="57"/>
      <c r="DC3" s="57"/>
      <c r="DD3" s="57"/>
      <c r="DE3" s="57"/>
      <c r="DF3" s="58" t="s">
        <v>43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8" t="s">
        <v>41</v>
      </c>
      <c r="EH3" s="228"/>
      <c r="EI3" s="228"/>
      <c r="EJ3" s="225">
        <f ca="1">NOW()</f>
        <v>45488.506756828705</v>
      </c>
      <c r="EK3" s="225"/>
      <c r="EL3" s="225"/>
      <c r="EM3" s="226">
        <f ca="1">NOW()</f>
        <v>45488.506756828705</v>
      </c>
      <c r="EN3" s="226"/>
      <c r="EO3" s="227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17" t="s">
        <v>1</v>
      </c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9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20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2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29" t="s">
        <v>46</v>
      </c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1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2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1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2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1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2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1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2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1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2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1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2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1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2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1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2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1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2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1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2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1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2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1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2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3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5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17" t="s">
        <v>2</v>
      </c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9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20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2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11" t="str">
        <f>'JUSTIFICATIVA DE USINA'!$AL$3</f>
        <v xml:space="preserve">-  Cumpriu o programa.
</v>
      </c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3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11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3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11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3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11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3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11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3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11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3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11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3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11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3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11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3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11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3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11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3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11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3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11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3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14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215"/>
      <c r="AN56" s="215"/>
      <c r="AO56" s="216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17" t="s">
        <v>3</v>
      </c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9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20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2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11" t="str">
        <f>'JUSTIFICATIVA DE USINA'!$AX$3</f>
        <v>-Sem  programação 
- Operando por oportunidade.</v>
      </c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3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11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3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11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3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11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3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11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3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11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3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11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3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11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3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11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3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11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3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11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3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11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3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11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3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14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6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17" t="s">
        <v>4</v>
      </c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9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20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2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11" t="str">
        <f>'JUSTIFICATIVA DE USINA'!$BJ$3</f>
        <v>- Estratégia direcionamento ativos para US-1  (dado à baixa produtividade do PEN 2 pela elevão no nível da pilha de Pebble).</v>
      </c>
      <c r="AB79" s="212"/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3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11"/>
      <c r="AB80" s="212"/>
      <c r="AC80" s="212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3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11"/>
      <c r="AB81" s="212"/>
      <c r="AC81" s="212"/>
      <c r="AD81" s="212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3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11"/>
      <c r="AB82" s="212"/>
      <c r="AC82" s="212"/>
      <c r="AD82" s="212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3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11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3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11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3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11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3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11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3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11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3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11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3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11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3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11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3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11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3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14"/>
      <c r="AB92" s="215"/>
      <c r="AC92" s="215"/>
      <c r="AD92" s="215"/>
      <c r="AE92" s="215"/>
      <c r="AF92" s="215"/>
      <c r="AG92" s="215"/>
      <c r="AH92" s="215"/>
      <c r="AI92" s="215"/>
      <c r="AJ92" s="215"/>
      <c r="AK92" s="215"/>
      <c r="AL92" s="215"/>
      <c r="AM92" s="215"/>
      <c r="AN92" s="215"/>
      <c r="AO92" s="216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17" t="s">
        <v>15</v>
      </c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9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20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2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4">
        <f>'JUSTIFICATIVA DE USINA'!$BT$3</f>
        <v>0</v>
      </c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3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11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3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11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3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11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3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11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3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11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3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11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3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11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3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11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3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11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3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11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3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11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3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11"/>
      <c r="AB108" s="212"/>
      <c r="AC108" s="212"/>
      <c r="AD108" s="212"/>
      <c r="AE108" s="212"/>
      <c r="AF108" s="212"/>
      <c r="AG108" s="212"/>
      <c r="AH108" s="212"/>
      <c r="AI108" s="212"/>
      <c r="AJ108" s="212"/>
      <c r="AK108" s="212"/>
      <c r="AL108" s="212"/>
      <c r="AM108" s="212"/>
      <c r="AN108" s="212"/>
      <c r="AO108" s="213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14"/>
      <c r="AB109" s="215"/>
      <c r="AC109" s="215"/>
      <c r="AD109" s="215"/>
      <c r="AE109" s="215"/>
      <c r="AF109" s="215"/>
      <c r="AG109" s="215"/>
      <c r="AH109" s="215"/>
      <c r="AI109" s="215"/>
      <c r="AJ109" s="215"/>
      <c r="AK109" s="215"/>
      <c r="AL109" s="215"/>
      <c r="AM109" s="215"/>
      <c r="AN109" s="215"/>
      <c r="AO109" s="216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47</v>
      </c>
      <c r="E2" s="4" t="s">
        <v>48</v>
      </c>
      <c r="F2" s="4" t="s">
        <v>49</v>
      </c>
      <c r="G2" s="8" t="s">
        <v>48</v>
      </c>
      <c r="H2" s="8" t="s">
        <v>47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8135</v>
      </c>
      <c r="G3" s="1">
        <f ca="1">F3-E3</f>
        <v>-1464.8250000000007</v>
      </c>
      <c r="H3" s="1">
        <f ca="1">F3-D3</f>
        <v>-286.83555767088728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7241</v>
      </c>
      <c r="G4" s="1">
        <f t="shared" ref="G4:G26" ca="1" si="0">F4-E4</f>
        <v>841.69899999999961</v>
      </c>
      <c r="H4" s="1">
        <f t="shared" ref="H4:H25" ca="1" si="1">F4-D4</f>
        <v>2019.6884745324996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8722</v>
      </c>
      <c r="G5" s="1">
        <f t="shared" ca="1" si="0"/>
        <v>1101.3959999999997</v>
      </c>
      <c r="H5" s="1">
        <f t="shared" ca="1" si="1"/>
        <v>2279.3854626626171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8853</v>
      </c>
      <c r="G6" s="1">
        <f t="shared" ca="1" si="0"/>
        <v>-1147.2000000000007</v>
      </c>
      <c r="H6" s="1">
        <f t="shared" ca="1" si="1"/>
        <v>30.789832493408539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8104</v>
      </c>
      <c r="G7" s="1">
        <f t="shared" ca="1" si="0"/>
        <v>968.13100000000031</v>
      </c>
      <c r="H7" s="1">
        <f t="shared" ca="1" si="1"/>
        <v>2146.1200032553115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9275</v>
      </c>
      <c r="G8" s="1">
        <f t="shared" ca="1" si="0"/>
        <v>1979.2830000000004</v>
      </c>
      <c r="H8" s="1">
        <f t="shared" ca="1" si="1"/>
        <v>3157.2721863722963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7262.7999999999993</v>
      </c>
      <c r="G9" s="1">
        <f t="shared" ca="1" si="0"/>
        <v>-164.73300000000108</v>
      </c>
      <c r="H9" s="1">
        <f t="shared" ca="1" si="1"/>
        <v>1013.2562551849915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6540.1</v>
      </c>
      <c r="G10" s="1">
        <f t="shared" ca="1" si="0"/>
        <v>-1658.0550000000003</v>
      </c>
      <c r="H10" s="1">
        <f t="shared" ca="1" si="1"/>
        <v>-480.06576612254048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5112.7000000000007</v>
      </c>
      <c r="G11" s="1">
        <f t="shared" ca="1" si="0"/>
        <v>-5145.58</v>
      </c>
      <c r="H11" s="1">
        <f t="shared" ca="1" si="1"/>
        <v>-3967.5922828141702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5204.5</v>
      </c>
      <c r="G12" s="1">
        <f t="shared" ca="1" si="0"/>
        <v>-4915.6000000000004</v>
      </c>
      <c r="H12" s="1">
        <f t="shared" ca="1" si="1"/>
        <v>-3737.6149068595569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4969.3999999999996</v>
      </c>
      <c r="G13" s="1">
        <f t="shared" ca="1" si="0"/>
        <v>-4629.8209999999999</v>
      </c>
      <c r="H13" s="1">
        <f t="shared" ca="1" si="1"/>
        <v>-3451.8315035683536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6608.4</v>
      </c>
      <c r="G14" s="1">
        <f t="shared" ca="1" si="0"/>
        <v>-2543.0840000000007</v>
      </c>
      <c r="H14" s="1">
        <f t="shared" ca="1" si="1"/>
        <v>-1365.0952767558547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7267.7000000000007</v>
      </c>
      <c r="G15" s="1">
        <f t="shared" ca="1" si="0"/>
        <v>-2535.3130000000001</v>
      </c>
      <c r="H15" s="1">
        <f t="shared" ca="1" si="1"/>
        <v>-1357.324256410704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5802.9</v>
      </c>
      <c r="G16" s="1">
        <f t="shared" ca="1" si="0"/>
        <v>-4119.2060000000001</v>
      </c>
      <c r="H16" s="1">
        <f t="shared" ca="1" si="1"/>
        <v>-2941.2172980633895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5969.9</v>
      </c>
      <c r="G17" s="1">
        <f t="shared" ca="1" si="0"/>
        <v>-5197.2000000000007</v>
      </c>
      <c r="H17" s="1">
        <f t="shared" ca="1" si="1"/>
        <v>-4019.2105567670205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5382.5</v>
      </c>
      <c r="G18" s="1">
        <f t="shared" ca="1" si="0"/>
        <v>-2442.1419999999998</v>
      </c>
      <c r="H18" s="1">
        <f t="shared" ca="1" si="1"/>
        <v>-1264.1526871588885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6175</v>
      </c>
      <c r="G19" s="1">
        <f t="shared" ca="1" si="0"/>
        <v>-3221.0319999999992</v>
      </c>
      <c r="H19" s="1">
        <f t="shared" ca="1" si="1"/>
        <v>-2043.0428048285357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7937.6</v>
      </c>
      <c r="G20" s="1">
        <f t="shared" ca="1" si="0"/>
        <v>135.45900000000074</v>
      </c>
      <c r="H20" s="1">
        <f t="shared" ca="1" si="1"/>
        <v>1313.4483281604971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6990</v>
      </c>
      <c r="G21" s="1">
        <f t="shared" ca="1" si="0"/>
        <v>-1448.9459999999999</v>
      </c>
      <c r="H21" s="1">
        <f t="shared" ca="1" si="1"/>
        <v>-270.95683274509065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4761</v>
      </c>
      <c r="G22" s="1">
        <f t="shared" ca="1" si="0"/>
        <v>-5953.76</v>
      </c>
      <c r="H22" s="1">
        <f t="shared" ca="1" si="1"/>
        <v>-4775.7684174227034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6680</v>
      </c>
      <c r="G23" s="1">
        <f t="shared" ca="1" si="0"/>
        <v>-4046.8999999999996</v>
      </c>
      <c r="H23" s="1">
        <f t="shared" ca="1" si="1"/>
        <v>-2868.9061295454921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8301</v>
      </c>
      <c r="G24" s="1">
        <f t="shared" ca="1" si="0"/>
        <v>-252.4330000000009</v>
      </c>
      <c r="H24" s="1">
        <f t="shared" ca="1" si="1"/>
        <v>925.55603813404468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8722</v>
      </c>
      <c r="G25" s="1">
        <f t="shared" ca="1" si="0"/>
        <v>2209.6279999999997</v>
      </c>
      <c r="H25" s="1">
        <f t="shared" ca="1" si="1"/>
        <v>3387.6170972144491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8503</v>
      </c>
      <c r="G26" s="1">
        <f t="shared" ca="1" si="0"/>
        <v>2170.7299999999996</v>
      </c>
      <c r="H26" s="1">
        <f ca="1">D26-F26</f>
        <v>-3348.7196032230513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6" t="s">
        <v>50</v>
      </c>
      <c r="X4" s="237"/>
      <c r="Y4" s="238"/>
    </row>
    <row r="5" spans="3:27" ht="29.25" customHeight="1">
      <c r="N5" s="241" t="s">
        <v>51</v>
      </c>
      <c r="O5" s="242"/>
      <c r="P5" s="242"/>
      <c r="Q5" s="242"/>
      <c r="R5" s="242"/>
      <c r="S5" s="242"/>
      <c r="T5" s="242"/>
      <c r="U5" s="243"/>
      <c r="W5" s="122" t="s">
        <v>52</v>
      </c>
      <c r="X5" s="122" t="s">
        <v>53</v>
      </c>
      <c r="Y5" s="122" t="s">
        <v>54</v>
      </c>
    </row>
    <row r="6" spans="3:27" ht="54.75" customHeight="1">
      <c r="C6" s="104" t="s">
        <v>55</v>
      </c>
      <c r="D6" s="105" t="s">
        <v>56</v>
      </c>
      <c r="E6" s="114">
        <v>0</v>
      </c>
      <c r="F6" s="114" t="str">
        <f>LEFT(E6,4)</f>
        <v>0</v>
      </c>
      <c r="G6" s="107" t="s">
        <v>57</v>
      </c>
      <c r="H6" s="105" t="s">
        <v>58</v>
      </c>
      <c r="I6" s="114">
        <v>0</v>
      </c>
      <c r="J6" s="114" t="str">
        <f>LEFT(I6,4)</f>
        <v>0</v>
      </c>
      <c r="K6" s="107" t="s">
        <v>57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39" t="s">
        <v>59</v>
      </c>
      <c r="Q6" s="240"/>
      <c r="R6" s="240"/>
      <c r="S6" s="240"/>
      <c r="T6" s="240"/>
      <c r="U6" s="240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60</v>
      </c>
      <c r="D7" s="105" t="s">
        <v>56</v>
      </c>
      <c r="E7" s="114">
        <v>0</v>
      </c>
      <c r="F7" s="114" t="str">
        <f t="shared" ref="F7:F12" si="0">LEFT(E7,4)</f>
        <v>0</v>
      </c>
      <c r="G7" s="107" t="s">
        <v>57</v>
      </c>
      <c r="H7" s="105" t="s">
        <v>58</v>
      </c>
      <c r="I7" s="114">
        <v>1.9470000000000001</v>
      </c>
      <c r="J7" s="114" t="str">
        <f t="shared" ref="J7:J12" si="1">LEFT(I7,4)</f>
        <v>1,94</v>
      </c>
      <c r="K7" s="107" t="s">
        <v>57</v>
      </c>
      <c r="L7" s="124">
        <v>0</v>
      </c>
      <c r="M7" s="114" t="str">
        <f t="shared" ref="M7:M9" si="2"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39" t="s">
        <v>61</v>
      </c>
      <c r="Q7" s="240"/>
      <c r="R7" s="240"/>
      <c r="S7" s="240"/>
      <c r="T7" s="240"/>
      <c r="U7" s="240"/>
      <c r="V7" s="123"/>
    </row>
    <row r="8" spans="3:27" ht="29.25" customHeight="1">
      <c r="C8" s="104" t="s">
        <v>62</v>
      </c>
      <c r="D8" s="105" t="s">
        <v>56</v>
      </c>
      <c r="E8" s="114">
        <v>0</v>
      </c>
      <c r="F8" s="114" t="str">
        <f t="shared" si="0"/>
        <v>0</v>
      </c>
      <c r="G8" s="107" t="s">
        <v>57</v>
      </c>
      <c r="H8" s="105" t="s">
        <v>58</v>
      </c>
      <c r="I8" s="114">
        <v>0</v>
      </c>
      <c r="J8" s="114" t="str">
        <f t="shared" si="1"/>
        <v>0</v>
      </c>
      <c r="K8" s="107" t="s">
        <v>57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39" t="s">
        <v>63</v>
      </c>
      <c r="Q8" s="240"/>
      <c r="R8" s="240"/>
      <c r="S8" s="240"/>
      <c r="T8" s="240"/>
      <c r="U8" s="240"/>
      <c r="V8" s="123"/>
    </row>
    <row r="9" spans="3:27" ht="39.75" customHeight="1">
      <c r="C9" s="104" t="s">
        <v>64</v>
      </c>
      <c r="D9" s="105" t="s">
        <v>65</v>
      </c>
      <c r="E9" s="114">
        <v>0</v>
      </c>
      <c r="F9" s="114" t="str">
        <f t="shared" si="0"/>
        <v>0</v>
      </c>
      <c r="G9" s="107" t="s">
        <v>57</v>
      </c>
      <c r="H9" s="105" t="s">
        <v>58</v>
      </c>
      <c r="I9" s="114">
        <v>0</v>
      </c>
      <c r="J9" s="114" t="str">
        <f t="shared" si="1"/>
        <v>0</v>
      </c>
      <c r="K9" s="107" t="s">
        <v>57</v>
      </c>
      <c r="L9" s="124">
        <v>0</v>
      </c>
      <c r="M9" s="114" t="str">
        <f t="shared" si="2"/>
        <v>0</v>
      </c>
      <c r="N9" s="118" t="str">
        <f>_xlfn.CONCAT(C9,D9,M9,G9,H9,J9,K9)</f>
        <v>BSM6 -&gt; Prog:0Kt / Real: 0Kt</v>
      </c>
      <c r="O9" s="116">
        <f>I9-L9</f>
        <v>0</v>
      </c>
      <c r="P9" s="239" t="s">
        <v>61</v>
      </c>
      <c r="Q9" s="240"/>
      <c r="R9" s="240"/>
      <c r="S9" s="240"/>
      <c r="T9" s="240"/>
      <c r="U9" s="240"/>
      <c r="V9" s="123"/>
    </row>
    <row r="10" spans="3:27" ht="42.75" customHeight="1">
      <c r="C10" s="104" t="s">
        <v>66</v>
      </c>
      <c r="D10" s="105" t="s">
        <v>56</v>
      </c>
      <c r="E10" s="114">
        <v>0</v>
      </c>
      <c r="F10" s="114" t="str">
        <f t="shared" si="0"/>
        <v>0</v>
      </c>
      <c r="G10" s="107" t="s">
        <v>57</v>
      </c>
      <c r="H10" s="105" t="s">
        <v>58</v>
      </c>
      <c r="I10" s="114">
        <v>0</v>
      </c>
      <c r="J10" s="114" t="str">
        <f t="shared" si="1"/>
        <v>0</v>
      </c>
      <c r="K10" s="107" t="s">
        <v>57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39" t="s">
        <v>67</v>
      </c>
      <c r="Q10" s="240"/>
      <c r="R10" s="240"/>
      <c r="S10" s="240"/>
      <c r="T10" s="240"/>
      <c r="U10" s="240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1" t="s">
        <v>68</v>
      </c>
      <c r="O11" s="242"/>
      <c r="P11" s="242"/>
      <c r="Q11" s="242"/>
      <c r="R11" s="242"/>
      <c r="S11" s="242"/>
      <c r="T11" s="242"/>
      <c r="U11" s="243"/>
      <c r="V11" s="123"/>
    </row>
    <row r="12" spans="3:27" ht="29.25" customHeight="1">
      <c r="C12" s="104" t="s">
        <v>69</v>
      </c>
      <c r="D12" s="105" t="s">
        <v>56</v>
      </c>
      <c r="E12" s="114">
        <v>76.724040000000002</v>
      </c>
      <c r="F12" s="114" t="str">
        <f t="shared" si="0"/>
        <v>76,7</v>
      </c>
      <c r="G12" s="107" t="s">
        <v>70</v>
      </c>
      <c r="H12" s="105" t="s">
        <v>71</v>
      </c>
      <c r="I12" s="114">
        <v>53.984999999999999</v>
      </c>
      <c r="J12" s="114" t="str">
        <f t="shared" si="1"/>
        <v>53,9</v>
      </c>
      <c r="K12" s="107" t="s">
        <v>57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39" t="s">
        <v>72</v>
      </c>
      <c r="Q12" s="240"/>
      <c r="R12" s="240"/>
      <c r="S12" s="240"/>
      <c r="T12" s="240"/>
      <c r="U12" s="240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73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J8" sqref="J8"/>
    </sheetView>
  </sheetViews>
  <sheetFormatPr defaultRowHeight="43.5" customHeight="1"/>
  <cols>
    <col min="1" max="1" width="48.85546875" bestFit="1" customWidth="1"/>
    <col min="2" max="2" width="22.5703125" customWidth="1"/>
    <col min="8" max="8" width="76.28515625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8"/>
      <c r="B1" s="178"/>
      <c r="C1" s="178"/>
      <c r="D1" s="178"/>
      <c r="E1" s="178"/>
      <c r="F1" s="178"/>
      <c r="G1" s="178"/>
      <c r="H1" s="178"/>
    </row>
    <row r="2" spans="1:29" ht="30" customHeight="1" thickBot="1">
      <c r="A2" s="179"/>
      <c r="B2" s="179"/>
      <c r="C2" s="179"/>
      <c r="D2" s="179"/>
      <c r="E2" s="179"/>
      <c r="F2" s="179"/>
      <c r="G2" s="179"/>
      <c r="H2" s="179"/>
    </row>
    <row r="3" spans="1:29" s="170" customFormat="1" ht="18.600000000000001" customHeight="1" thickTop="1">
      <c r="A3" s="181">
        <f ca="1">NOW()</f>
        <v>45488.506756828705</v>
      </c>
      <c r="B3" s="182">
        <f ca="1" xml:space="preserve"> NOW()</f>
        <v>45488.506756828705</v>
      </c>
      <c r="C3" s="169"/>
      <c r="D3" s="169"/>
      <c r="E3" s="169"/>
      <c r="F3" s="169"/>
      <c r="G3" s="169"/>
      <c r="H3" s="180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74</v>
      </c>
      <c r="Q6" s="127"/>
      <c r="R6" s="127"/>
      <c r="S6" s="128" t="s">
        <v>75</v>
      </c>
      <c r="T6" s="128" t="s">
        <v>76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77</v>
      </c>
      <c r="Q7" s="130" t="s">
        <v>78</v>
      </c>
      <c r="R7" s="131" t="s">
        <v>79</v>
      </c>
      <c r="S7" s="132" t="s">
        <v>80</v>
      </c>
      <c r="T7" s="133" t="s">
        <v>81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47</v>
      </c>
      <c r="Q8" s="163">
        <v>322744.44000000024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82</v>
      </c>
      <c r="Q9" s="135"/>
      <c r="R9" s="136">
        <f>Q33</f>
        <v>316204.19999999995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83</v>
      </c>
      <c r="P10" s="139" t="str">
        <f>IF(OR(S10=ABS(U36),T10=ABS(U36)),V36,IF(S23=0,T23,V36))</f>
        <v>BRIT 1</v>
      </c>
      <c r="Q10" s="140">
        <f>R9-T10+S10</f>
        <v>278959.91999999993</v>
      </c>
      <c r="R10" s="135"/>
      <c r="S10" s="136">
        <f>ABS(S36)</f>
        <v>0</v>
      </c>
      <c r="T10" s="136">
        <f>ABS(T36)</f>
        <v>37244.28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84</v>
      </c>
      <c r="P11" s="139" t="str">
        <f t="shared" ref="P11:P17" si="0">IF(OR(S11=ABS(U37),T11=ABS(U37)),V37,IF(S24=0,T24,V37))</f>
        <v>BSM 6</v>
      </c>
      <c r="Q11" s="140">
        <f>IF(AND(T11&lt;&gt;0,S11=0),Q10+S11-T11,Q10+S10)</f>
        <v>256813.67999999993</v>
      </c>
      <c r="R11" s="135"/>
      <c r="S11" s="136">
        <f t="shared" ref="S11:T17" si="1">ABS(S37)</f>
        <v>0</v>
      </c>
      <c r="T11" s="136">
        <f t="shared" si="1"/>
        <v>22146.239999999998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85</v>
      </c>
      <c r="P12" s="139" t="str">
        <f t="shared" si="0"/>
        <v/>
      </c>
      <c r="Q12" s="140">
        <f t="shared" ref="Q12:Q13" si="2">IF(AND(T12&lt;&gt;0,S12=0),Q11+S12-T12,Q11+S11)</f>
        <v>256813.67999999993</v>
      </c>
      <c r="R12" s="135"/>
      <c r="S12" s="136">
        <f t="shared" si="1"/>
        <v>0</v>
      </c>
      <c r="T12" s="136">
        <f t="shared" si="1"/>
        <v>0</v>
      </c>
      <c r="W12" s="126"/>
      <c r="X12" s="139" t="s">
        <v>86</v>
      </c>
      <c r="Y12" s="140">
        <f>IF(AND(AB12&lt;&gt;0,AA12=0),Q12+AA12-AB12,Q12+S12)</f>
        <v>256813.67999999993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87</v>
      </c>
      <c r="P13" s="139" t="str">
        <f t="shared" si="0"/>
        <v>REP 02</v>
      </c>
      <c r="Q13" s="140">
        <f t="shared" si="2"/>
        <v>256813.67999999993</v>
      </c>
      <c r="R13" s="135"/>
      <c r="S13" s="136">
        <f t="shared" si="1"/>
        <v>4810</v>
      </c>
      <c r="T13" s="136">
        <f t="shared" si="1"/>
        <v>0</v>
      </c>
      <c r="W13" s="126"/>
      <c r="X13" s="139" t="s">
        <v>88</v>
      </c>
      <c r="Y13" s="140">
        <f>IF(AND(AB13&lt;&gt;0,AA13=0),Y12+AA13-AB13,Y12+AA12)</f>
        <v>256813.67999999993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89</v>
      </c>
      <c r="P14" s="139" t="str">
        <f t="shared" si="0"/>
        <v>BSM 2</v>
      </c>
      <c r="Q14" s="140">
        <f>IF(AND(T14&lt;&gt;0,S14=0),Q13+S14-T14,Q13+S13)</f>
        <v>261623.67999999993</v>
      </c>
      <c r="R14" s="135"/>
      <c r="S14" s="136">
        <f t="shared" si="1"/>
        <v>6161.1200000000026</v>
      </c>
      <c r="T14" s="136">
        <f t="shared" si="1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90</v>
      </c>
      <c r="P15" s="139" t="str">
        <f t="shared" si="0"/>
        <v>BSM 7</v>
      </c>
      <c r="Q15" s="140">
        <f>IF(AND(T15&lt;&gt;0,S15=0),Q14+S15-T15,Q14+S14)</f>
        <v>267784.79999999993</v>
      </c>
      <c r="R15" s="135"/>
      <c r="S15" s="136">
        <f t="shared" si="1"/>
        <v>7390.5599999999977</v>
      </c>
      <c r="T15" s="136">
        <f t="shared" si="1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4" t="s">
        <v>51</v>
      </c>
      <c r="B16" s="245"/>
      <c r="C16" s="245"/>
      <c r="D16" s="245"/>
      <c r="E16" s="245"/>
      <c r="F16" s="245"/>
      <c r="G16" s="245"/>
      <c r="H16" s="246"/>
      <c r="O16" s="5" t="s">
        <v>91</v>
      </c>
      <c r="P16" s="139" t="str">
        <f t="shared" si="0"/>
        <v>REP 06</v>
      </c>
      <c r="Q16" s="140">
        <f>IF(AND(T16&lt;&gt;0,S16=0),Q15+S16-T16,Q15+S15)</f>
        <v>275175.35999999993</v>
      </c>
      <c r="R16" s="135"/>
      <c r="S16" s="136">
        <f t="shared" si="1"/>
        <v>7465</v>
      </c>
      <c r="T16" s="136">
        <f t="shared" si="1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83</v>
      </c>
      <c r="B17" s="176">
        <f>SUMIFS($S$23:$S$30,$P$23:$P$30,A17)</f>
        <v>-37244.28</v>
      </c>
      <c r="C17" s="247" t="s">
        <v>92</v>
      </c>
      <c r="D17" s="248"/>
      <c r="E17" s="248"/>
      <c r="F17" s="248"/>
      <c r="G17" s="248"/>
      <c r="H17" s="248"/>
      <c r="O17" s="5" t="s">
        <v>93</v>
      </c>
      <c r="P17" s="139" t="str">
        <f t="shared" si="0"/>
        <v>BSM 5</v>
      </c>
      <c r="Q17" s="140">
        <f>IF(AND(T17&lt;&gt;0,S17=0),Q16+S17-T17,Q16+S16)</f>
        <v>282640.35999999993</v>
      </c>
      <c r="R17" s="135"/>
      <c r="S17" s="136">
        <f t="shared" si="1"/>
        <v>13397.640000000007</v>
      </c>
      <c r="T17" s="136">
        <f t="shared" si="1"/>
        <v>0</v>
      </c>
      <c r="W17" s="126"/>
      <c r="X17" s="126"/>
      <c r="Y17" s="126"/>
      <c r="Z17" s="126"/>
      <c r="AA17" s="126"/>
      <c r="AB17" s="126"/>
      <c r="AC17" s="126"/>
    </row>
    <row r="18" spans="1:29" ht="69.75" customHeight="1">
      <c r="A18" s="164" t="s">
        <v>94</v>
      </c>
      <c r="B18" s="176">
        <f>SUMIFS($S$23:$S$30,$P$23:$P$30,A18)</f>
        <v>6161.1200000000026</v>
      </c>
      <c r="C18" s="247"/>
      <c r="D18" s="248"/>
      <c r="E18" s="248"/>
      <c r="F18" s="248"/>
      <c r="G18" s="248"/>
      <c r="H18" s="248"/>
      <c r="O18" s="5"/>
      <c r="P18" s="134" t="s">
        <v>95</v>
      </c>
      <c r="Q18" s="135">
        <f>IF(S33&lt;0,R9-ABS(S33),R9)</f>
        <v>296037.99999999994</v>
      </c>
      <c r="R18" s="136"/>
      <c r="S18" s="136" t="str">
        <f>IF(S33&lt;0,"",S33)</f>
        <v/>
      </c>
      <c r="T18" s="137">
        <f>IF(S33&gt;0,"",ABS(S33))</f>
        <v>20166.19999999999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96</v>
      </c>
      <c r="B19" s="176">
        <f>SUMIFS($S$23:$S$30,$P$23:$P$30,A19)</f>
        <v>0</v>
      </c>
      <c r="C19" s="247"/>
      <c r="D19" s="248"/>
      <c r="E19" s="248"/>
      <c r="F19" s="248"/>
      <c r="G19" s="248"/>
      <c r="H19" s="248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97</v>
      </c>
      <c r="B20" s="176">
        <f>SUMIFS($S$23:$S$30,$P$23:$P$30,A20)</f>
        <v>-22146.239999999998</v>
      </c>
      <c r="C20" s="247" t="s">
        <v>98</v>
      </c>
      <c r="D20" s="248"/>
      <c r="E20" s="248"/>
      <c r="F20" s="248"/>
      <c r="G20" s="248"/>
      <c r="H20" s="248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99</v>
      </c>
      <c r="B21" s="176">
        <f>SUMIFS($S$23:$S$30,$P$23:$P$30,A21)</f>
        <v>7390.5599999999977</v>
      </c>
      <c r="C21" s="247"/>
      <c r="D21" s="248"/>
      <c r="E21" s="248"/>
      <c r="F21" s="248"/>
      <c r="G21" s="248"/>
      <c r="H21" s="248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4"/>
      <c r="B22" s="245"/>
      <c r="C22" s="245"/>
      <c r="D22" s="245"/>
      <c r="E22" s="245"/>
      <c r="F22" s="245"/>
      <c r="G22" s="245"/>
      <c r="H22" s="246"/>
      <c r="P22" s="143" t="s">
        <v>100</v>
      </c>
      <c r="Q22" s="128" t="s">
        <v>101</v>
      </c>
      <c r="R22" s="128" t="s">
        <v>102</v>
      </c>
      <c r="S22" s="128" t="s">
        <v>103</v>
      </c>
      <c r="T22" s="128" t="s">
        <v>104</v>
      </c>
      <c r="U22" s="125"/>
      <c r="V22" s="144" t="s">
        <v>105</v>
      </c>
      <c r="W22" s="128" t="s">
        <v>106</v>
      </c>
      <c r="X22" s="128" t="s">
        <v>47</v>
      </c>
      <c r="Y22" s="128" t="s">
        <v>107</v>
      </c>
      <c r="Z22" s="126"/>
      <c r="AA22" s="126"/>
      <c r="AB22" s="126"/>
      <c r="AC22" s="126"/>
    </row>
    <row r="23" spans="1:29" ht="61.5" customHeight="1">
      <c r="A23" s="164" t="s">
        <v>108</v>
      </c>
      <c r="B23" s="176">
        <f>SUMIFS($S$23:$S$30,$P$23:$P$30,A23)</f>
        <v>13397.640000000007</v>
      </c>
      <c r="C23" s="247"/>
      <c r="D23" s="248"/>
      <c r="E23" s="248"/>
      <c r="F23" s="248"/>
      <c r="G23" s="248"/>
      <c r="H23" s="248"/>
      <c r="P23" s="126" t="s">
        <v>97</v>
      </c>
      <c r="Q23" s="157" cm="1">
        <f t="array" ref="Q23">_xlfn.XLOOKUP(P23,TB_Entradas[[#All],[CIRCUITO ENTRADAS]],TB_Entradas[[#All],[D+1]])</f>
        <v>23070.239999999998</v>
      </c>
      <c r="R23" s="157" cm="1">
        <f t="array" ref="R23">_xlfn.XLOOKUP(P23,TB_Entradas[[#All],[CIRCUITO ENTRADAS]],TB_Entradas[[#All],[EXEC]])</f>
        <v>924</v>
      </c>
      <c r="S23" s="146">
        <f t="shared" ref="S23:S30" si="3">R23-Q23</f>
        <v>-22146.239999999998</v>
      </c>
      <c r="T23" s="147" t="str">
        <f t="shared" ref="T23:T27" si="4">IF(AND(Q23=0,R23=0),"",P23)</f>
        <v>BSM 6</v>
      </c>
      <c r="U23" s="158" t="s">
        <v>109</v>
      </c>
      <c r="V23" s="148" t="str">
        <f>TEXT(S33,"0.0")&amp;" kt"</f>
        <v>-20.166 kt</v>
      </c>
      <c r="W23" s="159"/>
      <c r="X23" s="159"/>
      <c r="Y23" s="159">
        <f t="shared" ref="Y23:Y30" si="5">X23-Q23</f>
        <v>-23070.239999999998</v>
      </c>
      <c r="Z23" s="126"/>
      <c r="AA23" s="126"/>
      <c r="AB23" s="126"/>
      <c r="AC23" s="126"/>
    </row>
    <row r="24" spans="1:29" ht="30" customHeight="1">
      <c r="A24" s="244" t="s">
        <v>110</v>
      </c>
      <c r="B24" s="245"/>
      <c r="C24" s="245"/>
      <c r="D24" s="245"/>
      <c r="E24" s="245"/>
      <c r="F24" s="245"/>
      <c r="G24" s="245"/>
      <c r="H24" s="246"/>
      <c r="P24" s="126" t="s">
        <v>83</v>
      </c>
      <c r="Q24" s="157" cm="1">
        <f t="array" ref="Q24">_xlfn.XLOOKUP(P24,TB_Entradas[[#All],[CIRCUITO ENTRADAS]],TB_Entradas[[#All],[D+1]])</f>
        <v>129434.28</v>
      </c>
      <c r="R24" s="157" cm="1">
        <f t="array" ref="R24">_xlfn.XLOOKUP(P24,TB_Entradas[[#All],[CIRCUITO ENTRADAS]],TB_Entradas[[#All],[EXEC]])</f>
        <v>92190</v>
      </c>
      <c r="S24" s="146">
        <f t="shared" si="3"/>
        <v>-37244.28</v>
      </c>
      <c r="T24" s="147" t="str">
        <f t="shared" si="4"/>
        <v>BRIT 1</v>
      </c>
      <c r="U24" s="158" t="s">
        <v>109</v>
      </c>
      <c r="V24" s="125"/>
      <c r="W24" s="159"/>
      <c r="X24" s="159"/>
      <c r="Y24" s="159">
        <f t="shared" si="5"/>
        <v>-129434.28</v>
      </c>
      <c r="Z24" s="126"/>
      <c r="AA24" s="126"/>
      <c r="AB24" s="126"/>
      <c r="AC24" s="126"/>
    </row>
    <row r="25" spans="1:29" ht="50.1" customHeight="1">
      <c r="A25" s="164" t="s">
        <v>111</v>
      </c>
      <c r="B25" s="176">
        <f>SUMIFS($S$23:$S$30,$P$23:$P$30,A25)</f>
        <v>4810</v>
      </c>
      <c r="C25" s="247"/>
      <c r="D25" s="248"/>
      <c r="E25" s="248"/>
      <c r="F25" s="248"/>
      <c r="G25" s="248"/>
      <c r="H25" s="248"/>
      <c r="P25" s="126" t="s">
        <v>96</v>
      </c>
      <c r="Q25" s="157" cm="1">
        <f t="array" ref="Q25">_xlfn.XLOOKUP(P25,TB_Entradas[[#All],[CIRCUITO ENTRADAS]],TB_Entradas[[#All],[D+1]])</f>
        <v>0</v>
      </c>
      <c r="R25" s="157" cm="1">
        <f t="array" ref="R25">_xlfn.XLOOKUP(P25,TB_Entradas[[#All],[CIRCUITO ENTRADAS]],TB_Entradas[[#All],[EXEC]])</f>
        <v>0</v>
      </c>
      <c r="S25" s="146">
        <f t="shared" si="3"/>
        <v>0</v>
      </c>
      <c r="T25" s="147" t="str">
        <f t="shared" si="4"/>
        <v/>
      </c>
      <c r="U25" s="158"/>
      <c r="V25" s="125"/>
      <c r="W25" s="159"/>
      <c r="X25" s="159"/>
      <c r="Y25" s="159">
        <f t="shared" si="5"/>
        <v>0</v>
      </c>
      <c r="Z25" s="126"/>
      <c r="AA25" s="126"/>
      <c r="AB25" s="126"/>
      <c r="AC25" s="126"/>
    </row>
    <row r="26" spans="1:29" ht="50.1" customHeight="1">
      <c r="A26" s="164" t="s">
        <v>112</v>
      </c>
      <c r="B26" s="176">
        <f>SUMIFS($S$23:$S$30,$P$23:$P$30,A26)</f>
        <v>7465</v>
      </c>
      <c r="C26" s="247"/>
      <c r="D26" s="248"/>
      <c r="E26" s="248"/>
      <c r="F26" s="248"/>
      <c r="G26" s="248"/>
      <c r="H26" s="248"/>
      <c r="P26" s="126" t="s">
        <v>108</v>
      </c>
      <c r="Q26" s="157" cm="1">
        <f t="array" ref="Q26">_xlfn.XLOOKUP(P26,TB_Entradas[[#All],[CIRCUITO ENTRADAS]],TB_Entradas[[#All],[D+1]])</f>
        <v>56217.359999999993</v>
      </c>
      <c r="R26" s="157" cm="1">
        <f t="array" ref="R26">_xlfn.XLOOKUP(P26,TB_Entradas[[#All],[CIRCUITO ENTRADAS]],TB_Entradas[[#All],[EXEC]])</f>
        <v>69615</v>
      </c>
      <c r="S26" s="146">
        <f t="shared" si="3"/>
        <v>13397.640000000007</v>
      </c>
      <c r="T26" s="147" t="str">
        <f t="shared" si="4"/>
        <v>BSM 5</v>
      </c>
      <c r="U26" s="158" t="s">
        <v>109</v>
      </c>
      <c r="V26" s="125"/>
      <c r="W26" s="159"/>
      <c r="X26" s="159"/>
      <c r="Y26" s="159">
        <f t="shared" si="5"/>
        <v>-56217.359999999993</v>
      </c>
      <c r="Z26" s="126"/>
      <c r="AA26" s="126"/>
      <c r="AB26" s="126"/>
      <c r="AC26" s="126"/>
    </row>
    <row r="27" spans="1:29" ht="43.5" customHeight="1">
      <c r="P27" s="126" t="s">
        <v>99</v>
      </c>
      <c r="Q27" s="157" cm="1">
        <f t="array" ref="Q27">_xlfn.XLOOKUP(P27,TB_Entradas[[#All],[CIRCUITO ENTRADAS]],TB_Entradas[[#All],[D+1]])</f>
        <v>65467.44</v>
      </c>
      <c r="R27" s="157" cm="1">
        <f t="array" ref="R27">_xlfn.XLOOKUP(P27,TB_Entradas[[#All],[CIRCUITO ENTRADAS]],TB_Entradas[[#All],[EXEC]])</f>
        <v>72858</v>
      </c>
      <c r="S27" s="146">
        <f t="shared" si="3"/>
        <v>7390.5599999999977</v>
      </c>
      <c r="T27" s="147" t="str">
        <f t="shared" si="4"/>
        <v>BSM 7</v>
      </c>
      <c r="U27" s="158" t="s">
        <v>109</v>
      </c>
      <c r="V27" s="125"/>
      <c r="W27" s="159"/>
      <c r="X27" s="159"/>
      <c r="Y27" s="159">
        <f t="shared" si="5"/>
        <v>-65467.44</v>
      </c>
      <c r="Z27" s="126"/>
      <c r="AA27" s="126"/>
      <c r="AB27" s="126"/>
      <c r="AC27" s="126"/>
    </row>
    <row r="28" spans="1:29" ht="43.5" customHeight="1">
      <c r="A28" s="177"/>
      <c r="B28" s="177"/>
      <c r="C28" s="177"/>
      <c r="D28" s="177"/>
      <c r="E28" s="177"/>
      <c r="F28" s="177"/>
      <c r="G28" s="177"/>
      <c r="H28" s="177"/>
      <c r="P28" s="126" t="s">
        <v>111</v>
      </c>
      <c r="Q28" s="157" cm="1">
        <f t="array" ref="Q28">_xlfn.XLOOKUP(P28,TB_Entradas[[#All],[CIRCUITO ENTRADAS]],TB_Entradas[[#All],[D+1]])</f>
        <v>0</v>
      </c>
      <c r="R28" s="157" cm="1">
        <f t="array" ref="R28">_xlfn.XLOOKUP(P28,TB_Entradas[[#All],[CIRCUITO ENTRADAS]],TB_Entradas[[#All],[EXEC]])</f>
        <v>4810</v>
      </c>
      <c r="S28" s="146">
        <f t="shared" si="3"/>
        <v>4810</v>
      </c>
      <c r="T28" s="147" t="str">
        <f>IF(AND(Q28=0,R28=0),"",P28)</f>
        <v>REP 02</v>
      </c>
      <c r="U28" s="158" t="s">
        <v>113</v>
      </c>
      <c r="V28" s="125"/>
      <c r="W28" s="159"/>
      <c r="X28" s="159"/>
      <c r="Y28" s="159">
        <f t="shared" si="5"/>
        <v>0</v>
      </c>
      <c r="Z28" s="126"/>
      <c r="AA28" s="126"/>
      <c r="AB28" s="126"/>
      <c r="AC28" s="126"/>
    </row>
    <row r="29" spans="1:29" ht="43.5" customHeight="1">
      <c r="P29" s="126" t="s">
        <v>112</v>
      </c>
      <c r="Q29" s="157" cm="1">
        <f t="array" ref="Q29">_xlfn.XLOOKUP(P29,TB_Entradas[[#All],[CIRCUITO ENTRADAS]],TB_Entradas[[#All],[D+1]])</f>
        <v>0</v>
      </c>
      <c r="R29" s="157" cm="1">
        <f t="array" ref="R29">_xlfn.XLOOKUP(P29,TB_Entradas[[#All],[CIRCUITO ENTRADAS]],TB_Entradas[[#All],[EXEC]])</f>
        <v>7465</v>
      </c>
      <c r="S29" s="146">
        <f t="shared" si="3"/>
        <v>7465</v>
      </c>
      <c r="T29" s="147" t="str">
        <f t="shared" ref="T29:T30" si="6">IF(AND(Q29=0,R29=0),"",P29)</f>
        <v>REP 06</v>
      </c>
      <c r="U29" s="158" t="s">
        <v>113</v>
      </c>
      <c r="V29" s="125"/>
      <c r="W29" s="159"/>
      <c r="X29" s="159"/>
      <c r="Y29" s="159">
        <f t="shared" si="5"/>
        <v>0</v>
      </c>
      <c r="Z29" s="126"/>
      <c r="AA29" s="126"/>
      <c r="AB29" s="126"/>
      <c r="AC29" s="126"/>
    </row>
    <row r="30" spans="1:29" ht="43.5" customHeight="1">
      <c r="P30" s="126" t="s">
        <v>94</v>
      </c>
      <c r="Q30" s="157" cm="1">
        <f t="array" ref="Q30">_xlfn.XLOOKUP(P30,TB_Entradas[[#All],[CIRCUITO ENTRADAS]],TB_Entradas[[#All],[D+1]])</f>
        <v>42014.879999999997</v>
      </c>
      <c r="R30" s="157" cm="1">
        <f t="array" ref="R30">_xlfn.XLOOKUP(P30,TB_Entradas[[#All],[CIRCUITO ENTRADAS]],TB_Entradas[[#All],[EXEC]])</f>
        <v>48176</v>
      </c>
      <c r="S30" s="146">
        <f t="shared" si="3"/>
        <v>6161.1200000000026</v>
      </c>
      <c r="T30" s="147" t="str">
        <f t="shared" si="6"/>
        <v>BSM 2</v>
      </c>
      <c r="U30" s="158"/>
      <c r="V30" s="125"/>
      <c r="W30" s="159"/>
      <c r="X30" s="159"/>
      <c r="Y30" s="159">
        <f t="shared" si="5"/>
        <v>-42014.879999999997</v>
      </c>
      <c r="Z30" s="126"/>
      <c r="AA30" s="126"/>
      <c r="AB30" s="126"/>
      <c r="AC30" s="126"/>
    </row>
    <row r="31" spans="1:29" ht="43.5" customHeight="1">
      <c r="F31" s="183" t="s">
        <v>114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115</v>
      </c>
      <c r="Q33" s="131">
        <f>SUM(Q22:Q32)</f>
        <v>316204.19999999995</v>
      </c>
      <c r="R33" s="131">
        <f>SUM(R22:R32)</f>
        <v>296038</v>
      </c>
      <c r="S33" s="131">
        <f>SUM(S23:S32)</f>
        <v>-20166.19999999999</v>
      </c>
      <c r="T33" s="150" t="s">
        <v>116</v>
      </c>
      <c r="U33" s="125">
        <f>SUMIF(U23:U32,"n5",Q23:Q32)</f>
        <v>0</v>
      </c>
      <c r="V33" s="151">
        <f>Q33-U33</f>
        <v>316204.19999999995</v>
      </c>
      <c r="W33" s="131">
        <f>SUM(W22:W32)</f>
        <v>0</v>
      </c>
      <c r="X33" s="131">
        <f>SUM(X22:X32)</f>
        <v>0</v>
      </c>
      <c r="Y33" s="131">
        <f>SUM(Y22:Y32)</f>
        <v>-316204.19999999995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80</v>
      </c>
      <c r="Q35" s="155" t="s">
        <v>81</v>
      </c>
      <c r="R35" s="125"/>
      <c r="S35" s="154" t="s">
        <v>80</v>
      </c>
      <c r="T35" s="155" t="s">
        <v>81</v>
      </c>
      <c r="U35" s="128" t="s">
        <v>117</v>
      </c>
      <c r="V35" s="128" t="s">
        <v>117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-37244.28</v>
      </c>
      <c r="Q36" s="160">
        <f>SMALL($S$23:$S$32,1)</f>
        <v>-37244.28</v>
      </c>
      <c r="R36" s="125"/>
      <c r="S36" s="156">
        <f>IF(P36&gt;0,P36,0)</f>
        <v>0</v>
      </c>
      <c r="T36" s="156">
        <f>IF(Q36&lt;0,Q36,0)</f>
        <v>-37244.28</v>
      </c>
      <c r="U36" s="156">
        <f>+S36+T36</f>
        <v>-37244.28</v>
      </c>
      <c r="V36" s="156" t="str">
        <f t="shared" ref="V36:V43" si="7">VLOOKUP(U36,$S$23:$T$30,2,FALSE)</f>
        <v>BRIT 1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-22146.239999999998</v>
      </c>
      <c r="Q37" s="160">
        <f>SMALL($S$23:$S$32,2)</f>
        <v>-22146.239999999998</v>
      </c>
      <c r="R37" s="125"/>
      <c r="S37" s="156">
        <f t="shared" ref="S37:S43" si="8">IF(P37&gt;0,P37,0)</f>
        <v>0</v>
      </c>
      <c r="T37" s="156">
        <f t="shared" ref="T37:T43" si="9">IF(Q37&lt;0,Q37,0)</f>
        <v>-22146.239999999998</v>
      </c>
      <c r="U37" s="156">
        <f t="shared" ref="U37:U43" si="10">+S37+T37</f>
        <v>-22146.239999999998</v>
      </c>
      <c r="V37" s="156" t="str">
        <f t="shared" si="7"/>
        <v>BSM 6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0</v>
      </c>
      <c r="Q38" s="160">
        <f>SMALL($S$23:$S$32,3)</f>
        <v>0</v>
      </c>
      <c r="R38" s="125"/>
      <c r="S38" s="156">
        <f t="shared" si="8"/>
        <v>0</v>
      </c>
      <c r="T38" s="156">
        <f t="shared" si="9"/>
        <v>0</v>
      </c>
      <c r="U38" s="156">
        <f t="shared" si="10"/>
        <v>0</v>
      </c>
      <c r="V38" s="156" t="str">
        <f t="shared" si="7"/>
        <v/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4810</v>
      </c>
      <c r="Q39" s="160">
        <f>SMALL($S$23:$S$32,4)</f>
        <v>4810</v>
      </c>
      <c r="R39" s="125"/>
      <c r="S39" s="156">
        <f t="shared" si="8"/>
        <v>4810</v>
      </c>
      <c r="T39" s="156">
        <f t="shared" si="9"/>
        <v>0</v>
      </c>
      <c r="U39" s="156">
        <f t="shared" si="10"/>
        <v>4810</v>
      </c>
      <c r="V39" s="156" t="str">
        <f t="shared" si="7"/>
        <v>REP 02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6161.1200000000026</v>
      </c>
      <c r="Q40" s="160">
        <f>SMALL($S$23:$S$32,5)</f>
        <v>6161.1200000000026</v>
      </c>
      <c r="R40" s="125"/>
      <c r="S40" s="156">
        <f t="shared" si="8"/>
        <v>6161.1200000000026</v>
      </c>
      <c r="T40" s="156">
        <f t="shared" si="9"/>
        <v>0</v>
      </c>
      <c r="U40" s="156">
        <f t="shared" si="10"/>
        <v>6161.1200000000026</v>
      </c>
      <c r="V40" s="156" t="str">
        <f t="shared" si="7"/>
        <v>BSM 2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7390.5599999999977</v>
      </c>
      <c r="Q41" s="160">
        <f>SMALL($S$23:$S$32,6)</f>
        <v>7390.5599999999977</v>
      </c>
      <c r="R41" s="125"/>
      <c r="S41" s="156">
        <f t="shared" si="8"/>
        <v>7390.5599999999977</v>
      </c>
      <c r="T41" s="156">
        <f t="shared" si="9"/>
        <v>0</v>
      </c>
      <c r="U41" s="156">
        <f t="shared" si="10"/>
        <v>7390.5599999999977</v>
      </c>
      <c r="V41" s="156" t="str">
        <f t="shared" si="7"/>
        <v>BSM 7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7465</v>
      </c>
      <c r="Q42" s="160">
        <f>SMALL($S$23:$S$32,7)</f>
        <v>7465</v>
      </c>
      <c r="R42" s="125"/>
      <c r="S42" s="156">
        <f t="shared" si="8"/>
        <v>7465</v>
      </c>
      <c r="T42" s="156">
        <f t="shared" si="9"/>
        <v>0</v>
      </c>
      <c r="U42" s="156">
        <f t="shared" si="10"/>
        <v>7465</v>
      </c>
      <c r="V42" s="156" t="str">
        <f t="shared" si="7"/>
        <v>REP 06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13397.640000000007</v>
      </c>
      <c r="Q43" s="160">
        <f>SMALL($S$23:$S$32,8)</f>
        <v>13397.640000000007</v>
      </c>
      <c r="R43" s="125"/>
      <c r="S43" s="156">
        <f t="shared" si="8"/>
        <v>13397.640000000007</v>
      </c>
      <c r="T43" s="156">
        <f t="shared" si="9"/>
        <v>0</v>
      </c>
      <c r="U43" s="156">
        <f t="shared" si="10"/>
        <v>13397.640000000007</v>
      </c>
      <c r="V43" s="156" t="str">
        <f t="shared" si="7"/>
        <v>BSM 5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24:H24"/>
    <mergeCell ref="C25:H25"/>
    <mergeCell ref="C26:H26"/>
    <mergeCell ref="C21:H21"/>
    <mergeCell ref="A22:H22"/>
    <mergeCell ref="C23:H23"/>
    <mergeCell ref="A16:H16"/>
    <mergeCell ref="C17:H17"/>
    <mergeCell ref="C18:H18"/>
    <mergeCell ref="C19:H19"/>
    <mergeCell ref="C20:H20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opLeftCell="R1" zoomScale="90" zoomScaleNormal="90" workbookViewId="0">
      <selection activeCell="AI3" sqref="AI3:AI26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425781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425781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3" width="12.28515625" bestFit="1" customWidth="1"/>
    <col min="84" max="84" width="10.85546875" bestFit="1" customWidth="1"/>
    <col min="85" max="85" width="11.710937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118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129</v>
      </c>
      <c r="BM1" s="93" t="s">
        <v>6</v>
      </c>
      <c r="BN1" s="93" t="s">
        <v>130</v>
      </c>
      <c r="BO1" s="93" t="s">
        <v>131</v>
      </c>
      <c r="BP1" s="93" t="s">
        <v>132</v>
      </c>
      <c r="BQ1" s="93" t="s">
        <v>133</v>
      </c>
      <c r="BR1" s="93" t="s">
        <v>134</v>
      </c>
      <c r="CD1" s="93" t="s">
        <v>135</v>
      </c>
      <c r="CE1" s="93" t="s">
        <v>47</v>
      </c>
      <c r="CF1" s="93" t="s">
        <v>136</v>
      </c>
      <c r="CG1" s="93" t="s">
        <v>137</v>
      </c>
    </row>
    <row r="2" spans="1:85" ht="18.75">
      <c r="A2" s="3" t="s">
        <v>138</v>
      </c>
      <c r="B2" s="4" t="s">
        <v>47</v>
      </c>
      <c r="C2" s="4" t="s">
        <v>49</v>
      </c>
      <c r="D2" s="8" t="s">
        <v>139</v>
      </c>
      <c r="E2" s="8" t="s">
        <v>140</v>
      </c>
      <c r="F2" s="8" t="s">
        <v>141</v>
      </c>
      <c r="G2" s="8" t="s">
        <v>142</v>
      </c>
      <c r="I2" s="3" t="s">
        <v>10</v>
      </c>
      <c r="J2" s="4" t="s">
        <v>47</v>
      </c>
      <c r="K2" s="4" t="s">
        <v>49</v>
      </c>
      <c r="L2" s="8" t="s">
        <v>139</v>
      </c>
      <c r="M2" s="8" t="s">
        <v>140</v>
      </c>
      <c r="N2" s="8" t="s">
        <v>141</v>
      </c>
      <c r="O2" s="8" t="s">
        <v>142</v>
      </c>
      <c r="Q2" s="3" t="s">
        <v>12</v>
      </c>
      <c r="R2" s="4" t="s">
        <v>47</v>
      </c>
      <c r="S2" s="4" t="s">
        <v>49</v>
      </c>
      <c r="T2" s="8" t="s">
        <v>139</v>
      </c>
      <c r="U2" s="8" t="s">
        <v>140</v>
      </c>
      <c r="V2" s="8" t="s">
        <v>141</v>
      </c>
      <c r="W2" s="8" t="s">
        <v>142</v>
      </c>
      <c r="Y2" s="3" t="s">
        <v>13</v>
      </c>
      <c r="Z2" s="4" t="s">
        <v>47</v>
      </c>
      <c r="AA2" s="4" t="s">
        <v>49</v>
      </c>
      <c r="AB2" s="8" t="s">
        <v>139</v>
      </c>
      <c r="AC2" s="8" t="s">
        <v>140</v>
      </c>
      <c r="AD2" s="8" t="s">
        <v>141</v>
      </c>
      <c r="AE2" s="8" t="s">
        <v>142</v>
      </c>
      <c r="AG2" s="3" t="s">
        <v>14</v>
      </c>
      <c r="AH2" s="4" t="s">
        <v>47</v>
      </c>
      <c r="AI2" s="4" t="s">
        <v>49</v>
      </c>
      <c r="AJ2" s="8" t="s">
        <v>139</v>
      </c>
      <c r="AK2" s="8" t="s">
        <v>140</v>
      </c>
      <c r="AL2" s="8" t="s">
        <v>141</v>
      </c>
      <c r="AM2" s="8" t="s">
        <v>142</v>
      </c>
      <c r="AP2" s="3" t="s">
        <v>15</v>
      </c>
      <c r="AQ2" s="4" t="s">
        <v>47</v>
      </c>
      <c r="AR2" s="4" t="s">
        <v>49</v>
      </c>
      <c r="AS2" s="8" t="s">
        <v>139</v>
      </c>
      <c r="AT2" s="8" t="s">
        <v>140</v>
      </c>
      <c r="AU2" s="8" t="s">
        <v>141</v>
      </c>
      <c r="AV2" s="8" t="s">
        <v>142</v>
      </c>
      <c r="BA2">
        <v>1</v>
      </c>
      <c r="BB2">
        <v>8087.4630843965615</v>
      </c>
      <c r="BC2">
        <v>8135</v>
      </c>
      <c r="BD2">
        <v>1637.28</v>
      </c>
      <c r="BE2">
        <v>0</v>
      </c>
      <c r="BF2">
        <v>0</v>
      </c>
      <c r="BG2">
        <v>1380</v>
      </c>
      <c r="BH2">
        <v>42.083333333333321</v>
      </c>
      <c r="BI2">
        <v>22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166000</v>
      </c>
      <c r="BO2" s="95">
        <f>'JUSTIFICATIVA DE USINA'!$AS$2</f>
        <v>67</v>
      </c>
      <c r="BP2" s="95">
        <f>'JUSTIFICATIVA DE USINA'!$BE$2</f>
        <v>15000</v>
      </c>
      <c r="BQ2" s="95">
        <f>'JUSTIFICATIVA DE USINA'!$BQ$2</f>
        <v>2000</v>
      </c>
      <c r="BR2">
        <f>'JUSTIFICATIVA DE USINA'!$CA$2</f>
        <v>0</v>
      </c>
      <c r="CD2" s="162" t="s">
        <v>83</v>
      </c>
      <c r="CE2" s="165">
        <v>129434.28</v>
      </c>
      <c r="CF2" s="165">
        <v>92190</v>
      </c>
      <c r="CG2" s="165">
        <f>TB_Entradas[[#This Row],[EXEC]]-TB_Entradas[[#This Row],[D+1]]</f>
        <v>-37244.28</v>
      </c>
    </row>
    <row r="3" spans="1:85" ht="18.75">
      <c r="A3" s="2">
        <v>1</v>
      </c>
      <c r="B3" s="1">
        <f>SUM(J3,R3,Z3,AH3)</f>
        <v>9766.8264177298952</v>
      </c>
      <c r="C3" s="1">
        <f t="shared" ref="C3:C26" ca="1" si="0">IF(K3="","",SUM(K3,S3,AA3,AI3))</f>
        <v>9537</v>
      </c>
      <c r="D3" s="1">
        <f t="shared" ref="D3:D26" ca="1" si="1">IF(C3="","",B3)</f>
        <v>9766.8264177298952</v>
      </c>
      <c r="E3" s="1" t="str">
        <f ca="1">IF(C3="",B3,"")</f>
        <v/>
      </c>
      <c r="F3" s="1"/>
      <c r="G3" s="1"/>
      <c r="H3" s="12">
        <f ca="1">IF(C3="","",C3-B3)</f>
        <v>-229.82641772989518</v>
      </c>
      <c r="I3" s="2">
        <v>1</v>
      </c>
      <c r="J3" s="1">
        <f>BB2</f>
        <v>8087.4630843965615</v>
      </c>
      <c r="K3" s="1">
        <f ca="1">IF(I3-1&lt;=$A$1,IF($BC2="","",$BC2),"")</f>
        <v>8135</v>
      </c>
      <c r="L3" s="1">
        <f t="shared" ref="L3:L26" ca="1" si="2">IF(K3="","",J3)</f>
        <v>8087.4630843965615</v>
      </c>
      <c r="M3" s="1" t="str">
        <f ca="1">IF(K3="",J3,"")</f>
        <v/>
      </c>
      <c r="N3" s="1"/>
      <c r="O3" s="1"/>
      <c r="P3" s="12">
        <f ca="1">IF(K3="","",K3-J3)</f>
        <v>47.536915603438501</v>
      </c>
      <c r="Q3" s="2">
        <v>1</v>
      </c>
      <c r="R3" s="1">
        <f>$BD2</f>
        <v>1637.28</v>
      </c>
      <c r="S3" s="1">
        <f ca="1">IF(Q3-1&lt;=$A$1,IF($BE2="","",$BE2),"")</f>
        <v>0</v>
      </c>
      <c r="T3" s="1">
        <f t="shared" ref="T3:T26" ca="1" si="3">IF(S3="","",R3)</f>
        <v>1637.28</v>
      </c>
      <c r="U3" s="1" t="str">
        <f ca="1">IF(S3="",R3,"")</f>
        <v/>
      </c>
      <c r="V3" s="1"/>
      <c r="W3" s="1"/>
      <c r="X3" s="12">
        <f ca="1">IF(S3="","",S3-R3)</f>
        <v>-1637.28</v>
      </c>
      <c r="Y3" s="2">
        <v>1</v>
      </c>
      <c r="Z3" s="1">
        <f>BF2</f>
        <v>0</v>
      </c>
      <c r="AA3" s="1">
        <f ca="1">IF(Y3-1&lt;=$A$1,IF($BG2="","",$BG2),"")</f>
        <v>1380</v>
      </c>
      <c r="AB3" s="1">
        <f t="shared" ref="AB3:AB26" ca="1" si="4">IF(AA3="","",Z3)</f>
        <v>0</v>
      </c>
      <c r="AC3" s="1" t="str">
        <f ca="1">IF(AA3="",Z3,"")</f>
        <v/>
      </c>
      <c r="AD3" s="1"/>
      <c r="AE3" s="1"/>
      <c r="AF3" s="12">
        <f ca="1">IF(AA3="","",AA3-Z3)</f>
        <v>1380</v>
      </c>
      <c r="AG3" s="2">
        <v>1</v>
      </c>
      <c r="AH3" s="1">
        <f>BH2</f>
        <v>42.083333333333321</v>
      </c>
      <c r="AI3" s="1">
        <f ca="1">IF(AG3-1&lt;=$A$1,IF($BI2="","",$BI2),"")</f>
        <v>22</v>
      </c>
      <c r="AJ3" s="1">
        <f t="shared" ref="AJ3:AJ26" ca="1" si="5">IF(AI3="","",AH3)</f>
        <v>42.083333333333321</v>
      </c>
      <c r="AK3" s="1" t="str">
        <f ca="1">IF(AI3="",AH3,"")</f>
        <v/>
      </c>
      <c r="AL3" s="1"/>
      <c r="AM3" s="1"/>
      <c r="AN3" s="12">
        <f ca="1">IF(AI3="","",AI3-AH3)</f>
        <v>-20.083333333333321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10516.615535894238</v>
      </c>
      <c r="BC3">
        <v>7241</v>
      </c>
      <c r="BD3">
        <v>726</v>
      </c>
      <c r="BE3">
        <v>2023</v>
      </c>
      <c r="BF3">
        <v>0</v>
      </c>
      <c r="BG3">
        <v>1110</v>
      </c>
      <c r="BH3">
        <v>42.083333333333321</v>
      </c>
      <c r="BI3">
        <v>102</v>
      </c>
      <c r="BJ3">
        <v>0</v>
      </c>
      <c r="BK3">
        <v>0</v>
      </c>
      <c r="BM3" t="s">
        <v>143</v>
      </c>
      <c r="BN3" s="96" t="str">
        <f>'JUSTIFICATIVA DE USINA'!$Z$3</f>
        <v xml:space="preserve">- Abaixo do programa:
Impactos:
- Estratégia direcionamento prioriozando EIXO N4 para US-2 (dado à baixa produtividade do PEN 2 pela elevão no nível da pilha de Pebble);
Ponto de atenção:*
- Nível alto na pilha de Pebble (PGG).
- Restrição de Linhas úmidos por vazamentos de PEAD's.
</v>
      </c>
      <c r="BO3" s="96" t="str">
        <f>'JUSTIFICATIVA DE USINA'!$AL$3</f>
        <v xml:space="preserve">-  Cumpriu o programa.
</v>
      </c>
      <c r="BP3" s="96" t="str">
        <f>'JUSTIFICATIVA DE USINA'!$AX$3</f>
        <v>-Sem  programação 
- Operando por oportunidade.</v>
      </c>
      <c r="BQ3" s="96" t="str">
        <f>'JUSTIFICATIVA DE USINA'!$BJ$3</f>
        <v>- Estratégia direcionamento ativos para US-1  (dado à baixa produtividade do PEN 2 pela elevão no nível da pilha de Pebble).</v>
      </c>
      <c r="BR3" s="96">
        <f>'JUSTIFICATIVA DE USINA'!$BT$3</f>
        <v>0</v>
      </c>
      <c r="CD3" s="162" t="s">
        <v>97</v>
      </c>
      <c r="CE3" s="165">
        <v>23070.239999999998</v>
      </c>
      <c r="CF3" s="165">
        <v>924</v>
      </c>
      <c r="CG3" s="165">
        <f>TB_Entradas[[#This Row],[EXEC]]-TB_Entradas[[#This Row],[D+1]]</f>
        <v>-22146.239999999998</v>
      </c>
    </row>
    <row r="4" spans="1:85" ht="18.75">
      <c r="A4" s="2">
        <v>2</v>
      </c>
      <c r="B4" s="1">
        <f>SUM(J4,R4,Z4,AH4)</f>
        <v>11284.698869227572</v>
      </c>
      <c r="C4" s="1">
        <f t="shared" ca="1" si="0"/>
        <v>10476</v>
      </c>
      <c r="D4" s="1">
        <f t="shared" ca="1" si="1"/>
        <v>11284.698869227572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-808.69886922757178</v>
      </c>
      <c r="I4" s="2">
        <v>2</v>
      </c>
      <c r="J4" s="1">
        <f t="shared" ref="J4:J26" si="8">BB3</f>
        <v>10516.615535894238</v>
      </c>
      <c r="K4" s="1">
        <f t="shared" ref="K4:K26" ca="1" si="9">IF(I4-1&lt;=$A$1,IF($BC3="","",$BC3),"")</f>
        <v>7241</v>
      </c>
      <c r="L4" s="1">
        <f t="shared" ca="1" si="2"/>
        <v>10516.615535894238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-3275.6155358942378</v>
      </c>
      <c r="Q4" s="2">
        <v>2</v>
      </c>
      <c r="R4" s="1">
        <f t="shared" ref="R4:R26" si="12">$BD3</f>
        <v>726</v>
      </c>
      <c r="S4" s="1">
        <f t="shared" ref="S4:S26" ca="1" si="13">IF(Q4-1&lt;=$A$1,IF($BE3="","",$BE3),"")</f>
        <v>2023</v>
      </c>
      <c r="T4" s="1">
        <f t="shared" ca="1" si="3"/>
        <v>726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1297</v>
      </c>
      <c r="Y4" s="2">
        <v>2</v>
      </c>
      <c r="Z4" s="1">
        <f t="shared" ref="Z4:Z26" si="16">BF3</f>
        <v>0</v>
      </c>
      <c r="AA4" s="1">
        <f t="shared" ref="AA4:AA26" ca="1" si="17">IF(Y4-1&lt;=$A$1,IF($BG3="","",$BG3),"")</f>
        <v>1110</v>
      </c>
      <c r="AB4" s="1">
        <f t="shared" ca="1" si="4"/>
        <v>0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1110</v>
      </c>
      <c r="AG4" s="2">
        <v>2</v>
      </c>
      <c r="AH4" s="1">
        <f t="shared" ref="AH4:AH26" si="20">BH3</f>
        <v>42.083333333333321</v>
      </c>
      <c r="AI4" s="1">
        <f t="shared" ref="AI4:AI26" ca="1" si="21">IF(AG4-1&lt;=$A$1,IF($BI3="","",$BI3),"")</f>
        <v>102</v>
      </c>
      <c r="AJ4" s="1">
        <f t="shared" ca="1" si="5"/>
        <v>42.083333333333321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59.916666666666679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9380.1379979913199</v>
      </c>
      <c r="BC4">
        <v>8722</v>
      </c>
      <c r="BD4">
        <v>963.24</v>
      </c>
      <c r="BE4">
        <v>2806</v>
      </c>
      <c r="BF4">
        <v>0</v>
      </c>
      <c r="BG4">
        <v>670</v>
      </c>
      <c r="BH4">
        <v>42.083333333333321</v>
      </c>
      <c r="BI4">
        <v>158</v>
      </c>
      <c r="BJ4">
        <v>0</v>
      </c>
      <c r="BK4">
        <v>0</v>
      </c>
      <c r="CD4" s="162" t="s">
        <v>96</v>
      </c>
      <c r="CE4" s="165">
        <v>0</v>
      </c>
      <c r="CF4" s="165">
        <v>0</v>
      </c>
      <c r="CG4" s="165">
        <f>TB_Entradas[[#This Row],[EXEC]]-TB_Entradas[[#This Row],[D+1]]</f>
        <v>0</v>
      </c>
    </row>
    <row r="5" spans="1:85" ht="18.75">
      <c r="A5" s="2">
        <v>3</v>
      </c>
      <c r="B5" s="1">
        <f t="shared" ref="B5:B26" si="28">SUM(J5,R5,Z5,AH5)</f>
        <v>10385.461331324654</v>
      </c>
      <c r="C5" s="1">
        <f t="shared" ca="1" si="0"/>
        <v>12356</v>
      </c>
      <c r="D5" s="1">
        <f t="shared" ca="1" si="1"/>
        <v>10385.461331324654</v>
      </c>
      <c r="E5" s="1" t="str">
        <f t="shared" ca="1" si="6"/>
        <v/>
      </c>
      <c r="F5" s="1"/>
      <c r="G5" s="1"/>
      <c r="H5" s="12">
        <f t="shared" ca="1" si="7"/>
        <v>1970.5386686753463</v>
      </c>
      <c r="I5" s="2">
        <v>3</v>
      </c>
      <c r="J5" s="1">
        <f t="shared" si="8"/>
        <v>9380.1379979913199</v>
      </c>
      <c r="K5" s="1">
        <f t="shared" ca="1" si="9"/>
        <v>8722</v>
      </c>
      <c r="L5" s="1">
        <f t="shared" ca="1" si="2"/>
        <v>9380.1379979913199</v>
      </c>
      <c r="M5" s="1" t="str">
        <f t="shared" ca="1" si="10"/>
        <v/>
      </c>
      <c r="N5" s="1"/>
      <c r="O5" s="1"/>
      <c r="P5" s="12">
        <f t="shared" ca="1" si="11"/>
        <v>-658.13799799131993</v>
      </c>
      <c r="Q5" s="2">
        <v>3</v>
      </c>
      <c r="R5" s="1">
        <f t="shared" si="12"/>
        <v>963.24</v>
      </c>
      <c r="S5" s="1">
        <f t="shared" ca="1" si="13"/>
        <v>2806</v>
      </c>
      <c r="T5" s="1">
        <f t="shared" ca="1" si="3"/>
        <v>963.24</v>
      </c>
      <c r="U5" s="1" t="str">
        <f t="shared" ca="1" si="14"/>
        <v/>
      </c>
      <c r="V5" s="1"/>
      <c r="W5" s="1"/>
      <c r="X5" s="12">
        <f t="shared" ca="1" si="15"/>
        <v>1842.76</v>
      </c>
      <c r="Y5" s="2">
        <v>3</v>
      </c>
      <c r="Z5" s="1">
        <f t="shared" si="16"/>
        <v>0</v>
      </c>
      <c r="AA5" s="1">
        <f t="shared" ca="1" si="17"/>
        <v>670</v>
      </c>
      <c r="AB5" s="1">
        <f t="shared" ca="1" si="4"/>
        <v>0</v>
      </c>
      <c r="AC5" s="1" t="str">
        <f t="shared" ca="1" si="18"/>
        <v/>
      </c>
      <c r="AD5" s="1"/>
      <c r="AE5" s="1"/>
      <c r="AF5" s="12">
        <f t="shared" ca="1" si="19"/>
        <v>670</v>
      </c>
      <c r="AG5" s="2">
        <v>3</v>
      </c>
      <c r="AH5" s="1">
        <f t="shared" si="20"/>
        <v>42.083333333333321</v>
      </c>
      <c r="AI5" s="1">
        <f t="shared" ca="1" si="21"/>
        <v>158</v>
      </c>
      <c r="AJ5" s="1">
        <f t="shared" ca="1" si="5"/>
        <v>42.083333333333321</v>
      </c>
      <c r="AK5" s="1" t="str">
        <f t="shared" ca="1" si="22"/>
        <v/>
      </c>
      <c r="AL5" s="1"/>
      <c r="AM5" s="1"/>
      <c r="AN5" s="12">
        <f t="shared" ca="1" si="23"/>
        <v>115.91666666666669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9267.7446790835274</v>
      </c>
      <c r="BC5">
        <v>8853</v>
      </c>
      <c r="BD5">
        <v>1348.08</v>
      </c>
      <c r="BE5">
        <v>2626</v>
      </c>
      <c r="BF5">
        <v>0</v>
      </c>
      <c r="BG5">
        <v>210</v>
      </c>
      <c r="BH5">
        <v>42.083333333333321</v>
      </c>
      <c r="BI5">
        <v>128</v>
      </c>
      <c r="BJ5">
        <v>0</v>
      </c>
      <c r="BK5">
        <v>0</v>
      </c>
      <c r="CD5" s="162" t="s">
        <v>111</v>
      </c>
      <c r="CE5" s="165">
        <v>0</v>
      </c>
      <c r="CF5" s="165">
        <v>4810</v>
      </c>
      <c r="CG5" s="165">
        <f>TB_Entradas[[#This Row],[EXEC]]-TB_Entradas[[#This Row],[D+1]]</f>
        <v>4810</v>
      </c>
    </row>
    <row r="6" spans="1:85" ht="15.75">
      <c r="A6" s="2">
        <v>4</v>
      </c>
      <c r="B6" s="1">
        <f t="shared" si="28"/>
        <v>10657.908012416861</v>
      </c>
      <c r="C6" s="1">
        <f t="shared" ca="1" si="0"/>
        <v>11817</v>
      </c>
      <c r="D6" s="1">
        <f t="shared" ca="1" si="1"/>
        <v>10657.908012416861</v>
      </c>
      <c r="E6" s="1" t="str">
        <f t="shared" ca="1" si="6"/>
        <v/>
      </c>
      <c r="F6" s="1"/>
      <c r="G6" s="1"/>
      <c r="H6" s="12">
        <f t="shared" ca="1" si="7"/>
        <v>1159.0919875831387</v>
      </c>
      <c r="I6" s="2">
        <v>4</v>
      </c>
      <c r="J6" s="1">
        <f t="shared" si="8"/>
        <v>9267.7446790835274</v>
      </c>
      <c r="K6" s="1">
        <f t="shared" ca="1" si="9"/>
        <v>8853</v>
      </c>
      <c r="L6" s="1">
        <f t="shared" ca="1" si="2"/>
        <v>9267.7446790835274</v>
      </c>
      <c r="M6" s="1" t="str">
        <f t="shared" ca="1" si="10"/>
        <v/>
      </c>
      <c r="N6" s="1"/>
      <c r="O6" s="1"/>
      <c r="P6" s="12">
        <f t="shared" ca="1" si="11"/>
        <v>-414.74467908352744</v>
      </c>
      <c r="Q6" s="2">
        <v>4</v>
      </c>
      <c r="R6" s="1">
        <f t="shared" si="12"/>
        <v>1348.08</v>
      </c>
      <c r="S6" s="1">
        <f t="shared" ca="1" si="13"/>
        <v>2626</v>
      </c>
      <c r="T6" s="1">
        <f t="shared" ca="1" si="3"/>
        <v>1348.08</v>
      </c>
      <c r="U6" s="1" t="str">
        <f t="shared" ca="1" si="14"/>
        <v/>
      </c>
      <c r="V6" s="1"/>
      <c r="W6" s="1"/>
      <c r="X6" s="12">
        <f t="shared" ca="1" si="15"/>
        <v>1277.92</v>
      </c>
      <c r="Y6" s="2">
        <v>4</v>
      </c>
      <c r="Z6" s="1">
        <f t="shared" si="16"/>
        <v>0</v>
      </c>
      <c r="AA6" s="1">
        <f t="shared" ca="1" si="17"/>
        <v>210</v>
      </c>
      <c r="AB6" s="1">
        <f t="shared" ca="1" si="4"/>
        <v>0</v>
      </c>
      <c r="AC6" s="1" t="str">
        <f t="shared" ca="1" si="18"/>
        <v/>
      </c>
      <c r="AD6" s="1"/>
      <c r="AE6" s="1"/>
      <c r="AF6" s="12">
        <f t="shared" ca="1" si="19"/>
        <v>210</v>
      </c>
      <c r="AG6" s="2">
        <v>4</v>
      </c>
      <c r="AH6" s="1">
        <f t="shared" si="20"/>
        <v>42.083333333333321</v>
      </c>
      <c r="AI6" s="1">
        <f t="shared" ca="1" si="21"/>
        <v>128</v>
      </c>
      <c r="AJ6" s="1">
        <f t="shared" ca="1" si="5"/>
        <v>42.083333333333321</v>
      </c>
      <c r="AK6" s="1" t="str">
        <f t="shared" ca="1" si="22"/>
        <v/>
      </c>
      <c r="AL6" s="1"/>
      <c r="AM6" s="1"/>
      <c r="AN6" s="12">
        <f t="shared" ca="1" si="23"/>
        <v>85.916666666666686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9304.5684127310851</v>
      </c>
      <c r="BC6">
        <v>8104</v>
      </c>
      <c r="BD6">
        <v>1452</v>
      </c>
      <c r="BE6">
        <v>2286</v>
      </c>
      <c r="BF6">
        <v>0</v>
      </c>
      <c r="BG6">
        <v>2340</v>
      </c>
      <c r="BH6">
        <v>42.083333333333321</v>
      </c>
      <c r="BI6">
        <v>155</v>
      </c>
      <c r="BJ6">
        <v>0</v>
      </c>
      <c r="BK6">
        <v>0</v>
      </c>
      <c r="CD6" s="162" t="s">
        <v>94</v>
      </c>
      <c r="CE6" s="166">
        <v>42014.879999999997</v>
      </c>
      <c r="CF6" s="166">
        <v>48176</v>
      </c>
      <c r="CG6" s="166">
        <f>TB_Entradas[[#This Row],[EXEC]]-TB_Entradas[[#This Row],[D+1]]</f>
        <v>6161.1200000000026</v>
      </c>
    </row>
    <row r="7" spans="1:85" ht="15.75">
      <c r="A7" s="2">
        <v>5</v>
      </c>
      <c r="B7" s="1">
        <f t="shared" si="28"/>
        <v>10798.651746064419</v>
      </c>
      <c r="C7" s="1">
        <f t="shared" ca="1" si="0"/>
        <v>12885</v>
      </c>
      <c r="D7" s="1">
        <f t="shared" ca="1" si="1"/>
        <v>10798.651746064419</v>
      </c>
      <c r="E7" s="1" t="str">
        <f t="shared" ca="1" si="6"/>
        <v/>
      </c>
      <c r="F7" s="1"/>
      <c r="G7" s="1"/>
      <c r="H7" s="12">
        <f t="shared" ca="1" si="7"/>
        <v>2086.3482539355809</v>
      </c>
      <c r="I7" s="2">
        <v>5</v>
      </c>
      <c r="J7" s="1">
        <f t="shared" si="8"/>
        <v>9304.5684127310851</v>
      </c>
      <c r="K7" s="1">
        <f t="shared" ca="1" si="9"/>
        <v>8104</v>
      </c>
      <c r="L7" s="1">
        <f t="shared" ca="1" si="2"/>
        <v>9304.5684127310851</v>
      </c>
      <c r="M7" s="1" t="str">
        <f t="shared" ca="1" si="10"/>
        <v/>
      </c>
      <c r="N7" s="1"/>
      <c r="O7" s="1"/>
      <c r="P7" s="12">
        <f t="shared" ca="1" si="11"/>
        <v>-1200.5684127310851</v>
      </c>
      <c r="Q7" s="2">
        <v>5</v>
      </c>
      <c r="R7" s="1">
        <f t="shared" si="12"/>
        <v>1452</v>
      </c>
      <c r="S7" s="1">
        <f t="shared" ca="1" si="13"/>
        <v>2286</v>
      </c>
      <c r="T7" s="1">
        <f t="shared" ca="1" si="3"/>
        <v>1452</v>
      </c>
      <c r="U7" s="1" t="str">
        <f t="shared" ca="1" si="14"/>
        <v/>
      </c>
      <c r="V7" s="1"/>
      <c r="W7" s="1"/>
      <c r="X7" s="12">
        <f t="shared" ca="1" si="15"/>
        <v>834</v>
      </c>
      <c r="Y7" s="2">
        <v>5</v>
      </c>
      <c r="Z7" s="1">
        <f t="shared" si="16"/>
        <v>0</v>
      </c>
      <c r="AA7" s="1">
        <f t="shared" ca="1" si="17"/>
        <v>2340</v>
      </c>
      <c r="AB7" s="1">
        <f t="shared" ca="1" si="4"/>
        <v>0</v>
      </c>
      <c r="AC7" s="1" t="str">
        <f t="shared" ca="1" si="18"/>
        <v/>
      </c>
      <c r="AD7" s="1"/>
      <c r="AE7" s="1"/>
      <c r="AF7" s="12">
        <f t="shared" ca="1" si="19"/>
        <v>2340</v>
      </c>
      <c r="AG7" s="2">
        <v>5</v>
      </c>
      <c r="AH7" s="1">
        <f t="shared" si="20"/>
        <v>42.083333333333321</v>
      </c>
      <c r="AI7" s="1">
        <f t="shared" ca="1" si="21"/>
        <v>155</v>
      </c>
      <c r="AJ7" s="1">
        <f t="shared" ca="1" si="5"/>
        <v>42.083333333333321</v>
      </c>
      <c r="AK7" s="1" t="str">
        <f t="shared" ca="1" si="22"/>
        <v/>
      </c>
      <c r="AL7" s="1"/>
      <c r="AM7" s="1"/>
      <c r="AN7" s="12">
        <f t="shared" ca="1" si="23"/>
        <v>112.91666666666669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10235.379328366189</v>
      </c>
      <c r="BC7">
        <v>9275</v>
      </c>
      <c r="BD7">
        <v>674.04</v>
      </c>
      <c r="BE7">
        <v>1921</v>
      </c>
      <c r="BF7">
        <v>0</v>
      </c>
      <c r="BG7">
        <v>1380</v>
      </c>
      <c r="BH7">
        <v>42.083333333333321</v>
      </c>
      <c r="BI7">
        <v>76</v>
      </c>
      <c r="BJ7">
        <v>0</v>
      </c>
      <c r="BK7">
        <v>0</v>
      </c>
      <c r="CD7" s="162" t="s">
        <v>99</v>
      </c>
      <c r="CE7" s="166">
        <v>65467.44</v>
      </c>
      <c r="CF7" s="166">
        <v>72858</v>
      </c>
      <c r="CG7" s="166">
        <f>TB_Entradas[[#This Row],[EXEC]]-TB_Entradas[[#This Row],[D+1]]</f>
        <v>7390.5599999999977</v>
      </c>
    </row>
    <row r="8" spans="1:85" ht="15.75">
      <c r="A8" s="2">
        <v>6</v>
      </c>
      <c r="B8" s="1">
        <f t="shared" si="28"/>
        <v>10951.502661699522</v>
      </c>
      <c r="C8" s="1">
        <f t="shared" ca="1" si="0"/>
        <v>12652</v>
      </c>
      <c r="D8" s="1">
        <f t="shared" ca="1" si="1"/>
        <v>10951.502661699522</v>
      </c>
      <c r="E8" s="1" t="str">
        <f t="shared" ca="1" si="6"/>
        <v/>
      </c>
      <c r="F8" s="1"/>
      <c r="G8" s="1"/>
      <c r="H8" s="12">
        <f t="shared" ca="1" si="7"/>
        <v>1700.4973383004781</v>
      </c>
      <c r="I8" s="2">
        <v>6</v>
      </c>
      <c r="J8" s="1">
        <f t="shared" si="8"/>
        <v>10235.379328366189</v>
      </c>
      <c r="K8" s="1">
        <f t="shared" ca="1" si="9"/>
        <v>9275</v>
      </c>
      <c r="L8" s="1">
        <f t="shared" ca="1" si="2"/>
        <v>10235.379328366189</v>
      </c>
      <c r="M8" s="1" t="str">
        <f t="shared" ca="1" si="10"/>
        <v/>
      </c>
      <c r="N8" s="1"/>
      <c r="O8" s="1"/>
      <c r="P8" s="12">
        <f t="shared" ca="1" si="11"/>
        <v>-960.37932836618893</v>
      </c>
      <c r="Q8" s="2">
        <v>6</v>
      </c>
      <c r="R8" s="1">
        <f t="shared" si="12"/>
        <v>674.04</v>
      </c>
      <c r="S8" s="1">
        <f t="shared" ca="1" si="13"/>
        <v>1921</v>
      </c>
      <c r="T8" s="1">
        <f t="shared" ca="1" si="3"/>
        <v>674.04</v>
      </c>
      <c r="U8" s="1" t="str">
        <f t="shared" ca="1" si="14"/>
        <v/>
      </c>
      <c r="V8" s="1"/>
      <c r="W8" s="1"/>
      <c r="X8" s="12">
        <f t="shared" ca="1" si="15"/>
        <v>1246.96</v>
      </c>
      <c r="Y8" s="2">
        <v>6</v>
      </c>
      <c r="Z8" s="1">
        <f t="shared" si="16"/>
        <v>0</v>
      </c>
      <c r="AA8" s="1">
        <f t="shared" ca="1" si="17"/>
        <v>1380</v>
      </c>
      <c r="AB8" s="1">
        <f t="shared" ca="1" si="4"/>
        <v>0</v>
      </c>
      <c r="AC8" s="1" t="str">
        <f t="shared" ca="1" si="18"/>
        <v/>
      </c>
      <c r="AD8" s="1"/>
      <c r="AE8" s="1"/>
      <c r="AF8" s="12">
        <f t="shared" ca="1" si="19"/>
        <v>1380</v>
      </c>
      <c r="AG8" s="2">
        <v>6</v>
      </c>
      <c r="AH8" s="1">
        <f t="shared" si="20"/>
        <v>42.083333333333321</v>
      </c>
      <c r="AI8" s="1">
        <f t="shared" ca="1" si="21"/>
        <v>76</v>
      </c>
      <c r="AJ8" s="1">
        <f t="shared" ca="1" si="5"/>
        <v>42.083333333333321</v>
      </c>
      <c r="AK8" s="1" t="str">
        <f t="shared" ca="1" si="22"/>
        <v/>
      </c>
      <c r="AL8" s="1"/>
      <c r="AM8" s="1"/>
      <c r="AN8" s="12">
        <f t="shared" ca="1" si="23"/>
        <v>33.916666666666679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10279.183385150232</v>
      </c>
      <c r="BC8">
        <v>7262.7999999999993</v>
      </c>
      <c r="BD8">
        <v>1815</v>
      </c>
      <c r="BE8">
        <v>1475</v>
      </c>
      <c r="BF8">
        <v>0</v>
      </c>
      <c r="BG8">
        <v>0</v>
      </c>
      <c r="BH8">
        <v>42.083333333333321</v>
      </c>
      <c r="BI8">
        <v>0</v>
      </c>
      <c r="BJ8">
        <v>0</v>
      </c>
      <c r="BK8">
        <v>0</v>
      </c>
      <c r="CD8" s="162" t="s">
        <v>112</v>
      </c>
      <c r="CE8" s="166">
        <v>0</v>
      </c>
      <c r="CF8" s="166">
        <v>7465</v>
      </c>
      <c r="CG8" s="166">
        <f>TB_Entradas[[#This Row],[EXEC]]-TB_Entradas[[#This Row],[D+1]]</f>
        <v>7465</v>
      </c>
    </row>
    <row r="9" spans="1:85" ht="15.75">
      <c r="A9" s="2">
        <v>7</v>
      </c>
      <c r="B9" s="1">
        <f t="shared" si="28"/>
        <v>12136.266718483566</v>
      </c>
      <c r="C9" s="1">
        <f t="shared" ca="1" si="0"/>
        <v>8737.7999999999993</v>
      </c>
      <c r="D9" s="1">
        <f t="shared" ca="1" si="1"/>
        <v>12136.266718483566</v>
      </c>
      <c r="E9" s="1" t="str">
        <f t="shared" ca="1" si="6"/>
        <v/>
      </c>
      <c r="F9" s="1"/>
      <c r="G9" s="1"/>
      <c r="H9" s="12">
        <f t="shared" ca="1" si="7"/>
        <v>-3398.4667184835671</v>
      </c>
      <c r="I9" s="2">
        <v>7</v>
      </c>
      <c r="J9" s="1">
        <f t="shared" si="8"/>
        <v>10279.183385150232</v>
      </c>
      <c r="K9" s="1">
        <f t="shared" ca="1" si="9"/>
        <v>7262.7999999999993</v>
      </c>
      <c r="L9" s="1">
        <f t="shared" ca="1" si="2"/>
        <v>10279.183385150232</v>
      </c>
      <c r="M9" s="1" t="str">
        <f t="shared" ca="1" si="10"/>
        <v/>
      </c>
      <c r="N9" s="1"/>
      <c r="O9" s="1"/>
      <c r="P9" s="12">
        <f t="shared" ca="1" si="11"/>
        <v>-3016.3833851502332</v>
      </c>
      <c r="Q9" s="2">
        <v>7</v>
      </c>
      <c r="R9" s="1">
        <f t="shared" si="12"/>
        <v>1815</v>
      </c>
      <c r="S9" s="1">
        <f t="shared" ca="1" si="13"/>
        <v>1475</v>
      </c>
      <c r="T9" s="1">
        <f t="shared" ca="1" si="3"/>
        <v>1815</v>
      </c>
      <c r="U9" s="1" t="str">
        <f t="shared" ca="1" si="14"/>
        <v/>
      </c>
      <c r="V9" s="1"/>
      <c r="W9" s="1"/>
      <c r="X9" s="12">
        <f t="shared" ca="1" si="15"/>
        <v>-340</v>
      </c>
      <c r="Y9" s="2">
        <v>7</v>
      </c>
      <c r="Z9" s="1">
        <f t="shared" si="16"/>
        <v>0</v>
      </c>
      <c r="AA9" s="1">
        <f t="shared" ca="1" si="17"/>
        <v>0</v>
      </c>
      <c r="AB9" s="1">
        <f t="shared" ca="1" si="4"/>
        <v>0</v>
      </c>
      <c r="AC9" s="1" t="str">
        <f t="shared" ca="1" si="18"/>
        <v/>
      </c>
      <c r="AD9" s="1"/>
      <c r="AE9" s="1"/>
      <c r="AF9" s="12">
        <f t="shared" ca="1" si="19"/>
        <v>0</v>
      </c>
      <c r="AG9" s="2">
        <v>7</v>
      </c>
      <c r="AH9" s="1">
        <f t="shared" si="20"/>
        <v>42.083333333333321</v>
      </c>
      <c r="AI9" s="1">
        <f t="shared" ca="1" si="21"/>
        <v>0</v>
      </c>
      <c r="AJ9" s="1">
        <f t="shared" ca="1" si="5"/>
        <v>42.083333333333321</v>
      </c>
      <c r="AK9" s="1" t="str">
        <f t="shared" ca="1" si="22"/>
        <v/>
      </c>
      <c r="AL9" s="1"/>
      <c r="AM9" s="1"/>
      <c r="AN9" s="12">
        <f t="shared" ca="1" si="23"/>
        <v>-42.083333333333321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8911.5458709158047</v>
      </c>
      <c r="BC9">
        <v>6540.1</v>
      </c>
      <c r="BD9">
        <v>1689.24</v>
      </c>
      <c r="BE9">
        <v>1912</v>
      </c>
      <c r="BF9">
        <v>0</v>
      </c>
      <c r="BG9">
        <v>960</v>
      </c>
      <c r="BH9">
        <v>42.083333333333321</v>
      </c>
      <c r="BI9">
        <v>21</v>
      </c>
      <c r="BJ9">
        <v>0</v>
      </c>
      <c r="BK9">
        <v>0</v>
      </c>
      <c r="CD9" s="162" t="s">
        <v>108</v>
      </c>
      <c r="CE9" s="166">
        <v>56217.359999999993</v>
      </c>
      <c r="CF9" s="166">
        <v>69615</v>
      </c>
      <c r="CG9" s="166">
        <f>TB_Entradas[[#This Row],[EXEC]]-TB_Entradas[[#This Row],[D+1]]</f>
        <v>13397.640000000007</v>
      </c>
    </row>
    <row r="10" spans="1:85" ht="15.75">
      <c r="A10" s="2">
        <v>8</v>
      </c>
      <c r="B10" s="1">
        <f t="shared" si="28"/>
        <v>10642.869204249138</v>
      </c>
      <c r="C10" s="1">
        <f t="shared" ca="1" si="0"/>
        <v>9433.1</v>
      </c>
      <c r="D10" s="1">
        <f t="shared" ca="1" si="1"/>
        <v>10642.869204249138</v>
      </c>
      <c r="E10" s="1" t="str">
        <f t="shared" ca="1" si="6"/>
        <v/>
      </c>
      <c r="F10" s="1"/>
      <c r="G10" s="1"/>
      <c r="H10" s="12">
        <f t="shared" ca="1" si="7"/>
        <v>-1209.7692042491381</v>
      </c>
      <c r="I10" s="2">
        <v>8</v>
      </c>
      <c r="J10" s="1">
        <f t="shared" si="8"/>
        <v>8911.5458709158047</v>
      </c>
      <c r="K10" s="1">
        <f t="shared" ca="1" si="9"/>
        <v>6540.1</v>
      </c>
      <c r="L10" s="1">
        <f t="shared" ca="1" si="2"/>
        <v>8911.5458709158047</v>
      </c>
      <c r="M10" s="1" t="str">
        <f t="shared" ca="1" si="10"/>
        <v/>
      </c>
      <c r="N10" s="1"/>
      <c r="O10" s="1"/>
      <c r="P10" s="12">
        <f t="shared" ca="1" si="11"/>
        <v>-2371.4458709158043</v>
      </c>
      <c r="Q10" s="2">
        <v>8</v>
      </c>
      <c r="R10" s="1">
        <f t="shared" si="12"/>
        <v>1689.24</v>
      </c>
      <c r="S10" s="1">
        <f t="shared" ca="1" si="13"/>
        <v>1912</v>
      </c>
      <c r="T10" s="1">
        <f t="shared" ca="1" si="3"/>
        <v>1689.24</v>
      </c>
      <c r="U10" s="1" t="str">
        <f t="shared" ca="1" si="14"/>
        <v/>
      </c>
      <c r="V10" s="1"/>
      <c r="W10" s="1"/>
      <c r="X10" s="12">
        <f t="shared" ca="1" si="15"/>
        <v>222.76</v>
      </c>
      <c r="Y10" s="2">
        <v>8</v>
      </c>
      <c r="Z10" s="1">
        <f t="shared" si="16"/>
        <v>0</v>
      </c>
      <c r="AA10" s="1">
        <f t="shared" ca="1" si="17"/>
        <v>960</v>
      </c>
      <c r="AB10" s="1">
        <f t="shared" ca="1" si="4"/>
        <v>0</v>
      </c>
      <c r="AC10" s="1" t="str">
        <f t="shared" ca="1" si="18"/>
        <v/>
      </c>
      <c r="AD10" s="1"/>
      <c r="AE10" s="1"/>
      <c r="AF10" s="12">
        <f t="shared" ca="1" si="19"/>
        <v>960</v>
      </c>
      <c r="AG10" s="2">
        <v>8</v>
      </c>
      <c r="AH10" s="1">
        <f t="shared" si="20"/>
        <v>42.083333333333321</v>
      </c>
      <c r="AI10" s="1">
        <f t="shared" ca="1" si="21"/>
        <v>21</v>
      </c>
      <c r="AJ10" s="1">
        <f t="shared" ca="1" si="5"/>
        <v>42.083333333333321</v>
      </c>
      <c r="AK10" s="1" t="str">
        <f t="shared" ca="1" si="22"/>
        <v/>
      </c>
      <c r="AL10" s="1"/>
      <c r="AM10" s="1"/>
      <c r="AN10" s="12">
        <f t="shared" ca="1" si="23"/>
        <v>-21.083333333333321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9860.7686533746873</v>
      </c>
      <c r="BC10">
        <v>5112.7000000000007</v>
      </c>
      <c r="BD10">
        <v>1926.48</v>
      </c>
      <c r="BE10">
        <v>4089</v>
      </c>
      <c r="BF10">
        <v>0</v>
      </c>
      <c r="BG10">
        <v>1570</v>
      </c>
      <c r="BH10">
        <v>42.083333333333321</v>
      </c>
      <c r="BI10">
        <v>135</v>
      </c>
      <c r="BJ10">
        <v>0</v>
      </c>
      <c r="BK10">
        <v>0</v>
      </c>
      <c r="CD10" s="167"/>
      <c r="CE10" s="168">
        <f>SUBTOTAL(109,CE2:CE9)</f>
        <v>316204.2</v>
      </c>
      <c r="CF10" s="168">
        <f>SUBTOTAL(109,CF2:CF9)</f>
        <v>296038</v>
      </c>
      <c r="CG10" s="168">
        <f>TB_Entradas[[#Totals],[EXEC]]-TB_Entradas[[#Totals],[D+1]]</f>
        <v>-20166.200000000012</v>
      </c>
    </row>
    <row r="11" spans="1:85">
      <c r="A11" s="2">
        <v>9</v>
      </c>
      <c r="B11" s="1">
        <f t="shared" si="28"/>
        <v>11829.331986708021</v>
      </c>
      <c r="C11" s="1">
        <f t="shared" ca="1" si="0"/>
        <v>10906.7</v>
      </c>
      <c r="D11" s="1">
        <f t="shared" ca="1" si="1"/>
        <v>11829.331986708021</v>
      </c>
      <c r="E11" s="1" t="str">
        <f t="shared" ca="1" si="6"/>
        <v/>
      </c>
      <c r="F11" s="1"/>
      <c r="G11" s="1"/>
      <c r="H11" s="12">
        <f t="shared" ca="1" si="7"/>
        <v>-922.63198670802012</v>
      </c>
      <c r="I11" s="2">
        <v>9</v>
      </c>
      <c r="J11" s="1">
        <f t="shared" si="8"/>
        <v>9860.7686533746873</v>
      </c>
      <c r="K11" s="1">
        <f t="shared" ca="1" si="9"/>
        <v>5112.7000000000007</v>
      </c>
      <c r="L11" s="1">
        <f t="shared" ca="1" si="2"/>
        <v>9860.7686533746873</v>
      </c>
      <c r="M11" s="1" t="str">
        <f t="shared" ca="1" si="10"/>
        <v/>
      </c>
      <c r="N11" s="1"/>
      <c r="O11" s="1"/>
      <c r="P11" s="12">
        <f t="shared" ca="1" si="11"/>
        <v>-4748.0686533746866</v>
      </c>
      <c r="Q11" s="2">
        <v>9</v>
      </c>
      <c r="R11" s="1">
        <f t="shared" si="12"/>
        <v>1926.48</v>
      </c>
      <c r="S11" s="1">
        <f t="shared" ca="1" si="13"/>
        <v>4089</v>
      </c>
      <c r="T11" s="1">
        <f t="shared" ca="1" si="3"/>
        <v>1926.48</v>
      </c>
      <c r="U11" s="1" t="str">
        <f t="shared" ca="1" si="14"/>
        <v/>
      </c>
      <c r="V11" s="1"/>
      <c r="W11" s="1"/>
      <c r="X11" s="12">
        <f t="shared" ca="1" si="15"/>
        <v>2162.52</v>
      </c>
      <c r="Y11" s="2">
        <v>9</v>
      </c>
      <c r="Z11" s="1">
        <f t="shared" si="16"/>
        <v>0</v>
      </c>
      <c r="AA11" s="1">
        <f t="shared" ca="1" si="17"/>
        <v>1570</v>
      </c>
      <c r="AB11" s="1">
        <f t="shared" ca="1" si="4"/>
        <v>0</v>
      </c>
      <c r="AC11" s="1" t="str">
        <f t="shared" ca="1" si="18"/>
        <v/>
      </c>
      <c r="AD11" s="1"/>
      <c r="AE11" s="1"/>
      <c r="AF11" s="12">
        <f t="shared" ca="1" si="19"/>
        <v>1570</v>
      </c>
      <c r="AG11" s="2">
        <v>9</v>
      </c>
      <c r="AH11" s="1">
        <f t="shared" si="20"/>
        <v>42.083333333333321</v>
      </c>
      <c r="AI11" s="1">
        <f t="shared" ca="1" si="21"/>
        <v>135</v>
      </c>
      <c r="AJ11" s="1">
        <f t="shared" ca="1" si="5"/>
        <v>42.083333333333321</v>
      </c>
      <c r="AK11" s="1" t="str">
        <f t="shared" ca="1" si="22"/>
        <v/>
      </c>
      <c r="AL11" s="1"/>
      <c r="AM11" s="1"/>
      <c r="AN11" s="12">
        <f t="shared" ca="1" si="23"/>
        <v>92.916666666666686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9785.1990681144525</v>
      </c>
      <c r="BC11">
        <v>5204.5</v>
      </c>
      <c r="BD11">
        <v>1689.24</v>
      </c>
      <c r="BE11">
        <v>3310</v>
      </c>
      <c r="BF11">
        <v>0</v>
      </c>
      <c r="BG11">
        <v>510</v>
      </c>
      <c r="BH11">
        <v>42.083333333333321</v>
      </c>
      <c r="BI11">
        <v>188</v>
      </c>
      <c r="BJ11">
        <v>0</v>
      </c>
      <c r="BK11">
        <v>0</v>
      </c>
    </row>
    <row r="12" spans="1:85">
      <c r="A12" s="2">
        <v>10</v>
      </c>
      <c r="B12" s="1">
        <f t="shared" si="28"/>
        <v>11516.522401447786</v>
      </c>
      <c r="C12" s="1">
        <f t="shared" ca="1" si="0"/>
        <v>9212.5</v>
      </c>
      <c r="D12" s="1">
        <f t="shared" ca="1" si="1"/>
        <v>11516.522401447786</v>
      </c>
      <c r="E12" s="1" t="str">
        <f t="shared" ca="1" si="6"/>
        <v/>
      </c>
      <c r="F12" s="1"/>
      <c r="G12" s="1"/>
      <c r="H12" s="12">
        <f t="shared" ca="1" si="7"/>
        <v>-2304.0224014477863</v>
      </c>
      <c r="I12" s="2">
        <v>10</v>
      </c>
      <c r="J12" s="1">
        <f t="shared" si="8"/>
        <v>9785.1990681144525</v>
      </c>
      <c r="K12" s="1">
        <f t="shared" ca="1" si="9"/>
        <v>5204.5</v>
      </c>
      <c r="L12" s="1">
        <f t="shared" ca="1" si="2"/>
        <v>9785.1990681144525</v>
      </c>
      <c r="M12" s="1" t="str">
        <f t="shared" ca="1" si="10"/>
        <v/>
      </c>
      <c r="N12" s="1"/>
      <c r="O12" s="1"/>
      <c r="P12" s="12">
        <f t="shared" ca="1" si="11"/>
        <v>-4580.6990681144525</v>
      </c>
      <c r="Q12" s="2">
        <v>10</v>
      </c>
      <c r="R12" s="1">
        <f t="shared" si="12"/>
        <v>1689.24</v>
      </c>
      <c r="S12" s="1">
        <f t="shared" ca="1" si="13"/>
        <v>3310</v>
      </c>
      <c r="T12" s="1">
        <f t="shared" ca="1" si="3"/>
        <v>1689.24</v>
      </c>
      <c r="U12" s="1" t="str">
        <f t="shared" ca="1" si="14"/>
        <v/>
      </c>
      <c r="V12" s="1"/>
      <c r="W12" s="1"/>
      <c r="X12" s="12">
        <f t="shared" ca="1" si="15"/>
        <v>1620.76</v>
      </c>
      <c r="Y12" s="2">
        <v>10</v>
      </c>
      <c r="Z12" s="1">
        <f t="shared" si="16"/>
        <v>0</v>
      </c>
      <c r="AA12" s="1">
        <f t="shared" ca="1" si="17"/>
        <v>510</v>
      </c>
      <c r="AB12" s="1">
        <f t="shared" ca="1" si="4"/>
        <v>0</v>
      </c>
      <c r="AC12" s="1" t="str">
        <f t="shared" ca="1" si="18"/>
        <v/>
      </c>
      <c r="AD12" s="1"/>
      <c r="AE12" s="1"/>
      <c r="AF12" s="12">
        <f t="shared" ca="1" si="19"/>
        <v>510</v>
      </c>
      <c r="AG12" s="2">
        <v>10</v>
      </c>
      <c r="AH12" s="1">
        <f t="shared" si="20"/>
        <v>42.083333333333321</v>
      </c>
      <c r="AI12" s="1">
        <f t="shared" ca="1" si="21"/>
        <v>188</v>
      </c>
      <c r="AJ12" s="1">
        <f t="shared" ca="1" si="5"/>
        <v>42.083333333333321</v>
      </c>
      <c r="AK12" s="1" t="str">
        <f t="shared" ca="1" si="22"/>
        <v/>
      </c>
      <c r="AL12" s="1"/>
      <c r="AM12" s="1"/>
      <c r="AN12" s="12">
        <f t="shared" ca="1" si="23"/>
        <v>145.91666666666669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9654.3938823828812</v>
      </c>
      <c r="BC12">
        <v>4969.3999999999996</v>
      </c>
      <c r="BD12">
        <v>2363.2799999999997</v>
      </c>
      <c r="BE12">
        <v>3419</v>
      </c>
      <c r="BF12">
        <v>0</v>
      </c>
      <c r="BG12">
        <v>0</v>
      </c>
      <c r="BH12">
        <v>42.083333333333321</v>
      </c>
      <c r="BI12">
        <v>179</v>
      </c>
      <c r="BJ12">
        <v>0</v>
      </c>
      <c r="BK12">
        <v>0</v>
      </c>
    </row>
    <row r="13" spans="1:85">
      <c r="A13" s="2">
        <v>11</v>
      </c>
      <c r="B13" s="1">
        <f t="shared" si="28"/>
        <v>12059.757215716216</v>
      </c>
      <c r="C13" s="1">
        <f ca="1">IF(K13="","",SUM(K13,S13,AA13,AI13))</f>
        <v>8567.4</v>
      </c>
      <c r="D13" s="1">
        <f ca="1">IF(C13="","",B13)</f>
        <v>12059.757215716216</v>
      </c>
      <c r="E13" s="1" t="str">
        <f t="shared" ca="1" si="6"/>
        <v/>
      </c>
      <c r="F13" s="1"/>
      <c r="G13" s="1"/>
      <c r="H13" s="12">
        <f t="shared" ca="1" si="7"/>
        <v>-3492.3572157162162</v>
      </c>
      <c r="I13" s="2">
        <v>11</v>
      </c>
      <c r="J13" s="1">
        <f t="shared" si="8"/>
        <v>9654.3938823828812</v>
      </c>
      <c r="K13" s="1">
        <f t="shared" ca="1" si="9"/>
        <v>4969.3999999999996</v>
      </c>
      <c r="L13" s="1">
        <f t="shared" ca="1" si="2"/>
        <v>9654.3938823828812</v>
      </c>
      <c r="M13" s="1" t="str">
        <f t="shared" ca="1" si="10"/>
        <v/>
      </c>
      <c r="N13" s="1"/>
      <c r="O13" s="1"/>
      <c r="P13" s="12">
        <f t="shared" ca="1" si="11"/>
        <v>-4684.9938823828816</v>
      </c>
      <c r="Q13" s="2">
        <v>11</v>
      </c>
      <c r="R13" s="1">
        <f t="shared" si="12"/>
        <v>2363.2799999999997</v>
      </c>
      <c r="S13" s="1">
        <f t="shared" ca="1" si="13"/>
        <v>3419</v>
      </c>
      <c r="T13" s="1">
        <f t="shared" ca="1" si="3"/>
        <v>2363.2799999999997</v>
      </c>
      <c r="U13" s="1" t="str">
        <f t="shared" ca="1" si="14"/>
        <v/>
      </c>
      <c r="V13" s="1"/>
      <c r="W13" s="1"/>
      <c r="X13" s="12">
        <f t="shared" ca="1" si="15"/>
        <v>1055.7200000000003</v>
      </c>
      <c r="Y13" s="2">
        <v>11</v>
      </c>
      <c r="Z13" s="1">
        <f t="shared" si="16"/>
        <v>0</v>
      </c>
      <c r="AA13" s="1">
        <f t="shared" ca="1" si="17"/>
        <v>0</v>
      </c>
      <c r="AB13" s="1">
        <f t="shared" ca="1" si="4"/>
        <v>0</v>
      </c>
      <c r="AC13" s="1" t="str">
        <f t="shared" ca="1" si="18"/>
        <v/>
      </c>
      <c r="AD13" s="1"/>
      <c r="AE13" s="1"/>
      <c r="AF13" s="12">
        <f t="shared" ca="1" si="19"/>
        <v>0</v>
      </c>
      <c r="AG13" s="2">
        <v>11</v>
      </c>
      <c r="AH13" s="1">
        <f t="shared" si="20"/>
        <v>42.083333333333321</v>
      </c>
      <c r="AI13" s="1">
        <f t="shared" ca="1" si="21"/>
        <v>179</v>
      </c>
      <c r="AJ13" s="1">
        <f t="shared" ca="1" si="5"/>
        <v>42.083333333333321</v>
      </c>
      <c r="AK13" s="1" t="str">
        <f t="shared" ca="1" si="22"/>
        <v/>
      </c>
      <c r="AL13" s="1"/>
      <c r="AM13" s="1"/>
      <c r="AN13" s="12">
        <f t="shared" ca="1" si="23"/>
        <v>136.91666666666669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9916.6112384665903</v>
      </c>
      <c r="BC13">
        <v>6608.4</v>
      </c>
      <c r="BD13">
        <v>1089</v>
      </c>
      <c r="BE13">
        <v>3768</v>
      </c>
      <c r="BF13">
        <v>0</v>
      </c>
      <c r="BG13">
        <v>70</v>
      </c>
      <c r="BH13">
        <v>42.083333333333321</v>
      </c>
      <c r="BI13">
        <v>65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11047.694571799924</v>
      </c>
      <c r="C14" s="1">
        <f t="shared" ca="1" si="0"/>
        <v>10511.4</v>
      </c>
      <c r="D14" s="1">
        <f t="shared" ca="1" si="1"/>
        <v>11047.694571799924</v>
      </c>
      <c r="E14" s="1" t="str">
        <f t="shared" ca="1" si="6"/>
        <v/>
      </c>
      <c r="F14" s="1"/>
      <c r="G14" s="1"/>
      <c r="H14" s="12">
        <f t="shared" ca="1" si="7"/>
        <v>-536.2945717999246</v>
      </c>
      <c r="I14" s="2">
        <v>12</v>
      </c>
      <c r="J14" s="1">
        <f t="shared" si="8"/>
        <v>9916.6112384665903</v>
      </c>
      <c r="K14" s="1">
        <f t="shared" ca="1" si="9"/>
        <v>6608.4</v>
      </c>
      <c r="L14" s="1">
        <f t="shared" ca="1" si="2"/>
        <v>9916.6112384665903</v>
      </c>
      <c r="M14" s="1" t="str">
        <f t="shared" ca="1" si="10"/>
        <v/>
      </c>
      <c r="N14" s="1"/>
      <c r="O14" s="1"/>
      <c r="P14" s="12">
        <f t="shared" ca="1" si="11"/>
        <v>-3308.2112384665907</v>
      </c>
      <c r="Q14" s="2">
        <v>12</v>
      </c>
      <c r="R14" s="1">
        <f t="shared" si="12"/>
        <v>1089</v>
      </c>
      <c r="S14" s="1">
        <f t="shared" ca="1" si="13"/>
        <v>3768</v>
      </c>
      <c r="T14" s="1">
        <f t="shared" ca="1" si="3"/>
        <v>1089</v>
      </c>
      <c r="U14" s="1" t="str">
        <f t="shared" ca="1" si="14"/>
        <v/>
      </c>
      <c r="V14" s="1"/>
      <c r="W14" s="1"/>
      <c r="X14" s="12">
        <f t="shared" ca="1" si="15"/>
        <v>2679</v>
      </c>
      <c r="Y14" s="2">
        <v>12</v>
      </c>
      <c r="Z14" s="1">
        <f t="shared" si="16"/>
        <v>0</v>
      </c>
      <c r="AA14" s="1">
        <f t="shared" ca="1" si="17"/>
        <v>70</v>
      </c>
      <c r="AB14" s="1">
        <f t="shared" ca="1" si="4"/>
        <v>0</v>
      </c>
      <c r="AC14" s="1" t="str">
        <f t="shared" ca="1" si="18"/>
        <v/>
      </c>
      <c r="AD14" s="1"/>
      <c r="AE14" s="1"/>
      <c r="AF14" s="12">
        <f t="shared" ca="1" si="19"/>
        <v>70</v>
      </c>
      <c r="AG14" s="2">
        <v>12</v>
      </c>
      <c r="AH14" s="1">
        <f t="shared" si="20"/>
        <v>42.083333333333321</v>
      </c>
      <c r="AI14" s="1">
        <f t="shared" ca="1" si="21"/>
        <v>65</v>
      </c>
      <c r="AJ14" s="1">
        <f t="shared" ca="1" si="5"/>
        <v>42.083333333333321</v>
      </c>
      <c r="AK14" s="1" t="str">
        <f t="shared" ca="1" si="22"/>
        <v/>
      </c>
      <c r="AL14" s="1"/>
      <c r="AM14" s="1"/>
      <c r="AN14" s="12">
        <f t="shared" ca="1" si="23"/>
        <v>22.916666666666679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7443.6547301848668</v>
      </c>
      <c r="BC14">
        <v>7267.7000000000007</v>
      </c>
      <c r="BD14">
        <v>1089</v>
      </c>
      <c r="BE14">
        <v>4597</v>
      </c>
      <c r="BF14">
        <v>0</v>
      </c>
      <c r="BG14">
        <v>0</v>
      </c>
      <c r="BH14">
        <v>42.083333333333321</v>
      </c>
      <c r="BI14">
        <v>0</v>
      </c>
      <c r="BJ14">
        <v>0</v>
      </c>
      <c r="BK14">
        <v>0</v>
      </c>
    </row>
    <row r="15" spans="1:85">
      <c r="A15" s="2">
        <v>13</v>
      </c>
      <c r="B15" s="1">
        <f t="shared" si="28"/>
        <v>8574.7380635181999</v>
      </c>
      <c r="C15" s="1">
        <f t="shared" ca="1" si="0"/>
        <v>11864.7</v>
      </c>
      <c r="D15" s="1">
        <f t="shared" ca="1" si="1"/>
        <v>8574.7380635181999</v>
      </c>
      <c r="E15" s="1" t="str">
        <f t="shared" ca="1" si="6"/>
        <v/>
      </c>
      <c r="F15" s="1"/>
      <c r="G15" s="1"/>
      <c r="H15" s="12">
        <f t="shared" ca="1" si="7"/>
        <v>3289.9619364818009</v>
      </c>
      <c r="I15" s="2">
        <v>13</v>
      </c>
      <c r="J15" s="1">
        <f t="shared" si="8"/>
        <v>7443.6547301848668</v>
      </c>
      <c r="K15" s="1">
        <f t="shared" ca="1" si="9"/>
        <v>7267.7000000000007</v>
      </c>
      <c r="L15" s="1">
        <f t="shared" ca="1" si="2"/>
        <v>7443.6547301848668</v>
      </c>
      <c r="M15" s="1" t="str">
        <f t="shared" ca="1" si="10"/>
        <v/>
      </c>
      <c r="N15" s="1"/>
      <c r="O15" s="1"/>
      <c r="P15" s="12">
        <f t="shared" ca="1" si="11"/>
        <v>-175.95473018486609</v>
      </c>
      <c r="Q15" s="2">
        <v>13</v>
      </c>
      <c r="R15" s="1">
        <f t="shared" si="12"/>
        <v>1089</v>
      </c>
      <c r="S15" s="1">
        <f t="shared" ca="1" si="13"/>
        <v>4597</v>
      </c>
      <c r="T15" s="1">
        <f t="shared" ca="1" si="3"/>
        <v>1089</v>
      </c>
      <c r="U15" s="1" t="str">
        <f t="shared" ca="1" si="14"/>
        <v/>
      </c>
      <c r="V15" s="1"/>
      <c r="W15" s="1"/>
      <c r="X15" s="12">
        <f t="shared" ca="1" si="15"/>
        <v>3508</v>
      </c>
      <c r="Y15" s="2">
        <v>13</v>
      </c>
      <c r="Z15" s="1">
        <f t="shared" si="16"/>
        <v>0</v>
      </c>
      <c r="AA15" s="1">
        <f t="shared" ca="1" si="17"/>
        <v>0</v>
      </c>
      <c r="AB15" s="1">
        <f t="shared" ca="1" si="4"/>
        <v>0</v>
      </c>
      <c r="AC15" s="1" t="str">
        <f t="shared" ca="1" si="18"/>
        <v/>
      </c>
      <c r="AD15" s="1"/>
      <c r="AE15" s="1"/>
      <c r="AF15" s="12">
        <f t="shared" ca="1" si="19"/>
        <v>0</v>
      </c>
      <c r="AG15" s="2">
        <v>13</v>
      </c>
      <c r="AH15" s="1">
        <f t="shared" si="20"/>
        <v>42.083333333333321</v>
      </c>
      <c r="AI15" s="1">
        <f t="shared" ca="1" si="21"/>
        <v>0</v>
      </c>
      <c r="AJ15" s="1">
        <f t="shared" ca="1" si="5"/>
        <v>42.083333333333321</v>
      </c>
      <c r="AK15" s="1" t="str">
        <f t="shared" ca="1" si="22"/>
        <v/>
      </c>
      <c r="AL15" s="1"/>
      <c r="AM15" s="1"/>
      <c r="AN15" s="12">
        <f t="shared" ca="1" si="23"/>
        <v>-42.083333333333321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6625.2371334575564</v>
      </c>
      <c r="BC15">
        <v>5802.9</v>
      </c>
      <c r="BD15">
        <v>2370.84</v>
      </c>
      <c r="BE15">
        <v>2599</v>
      </c>
      <c r="BF15">
        <v>0</v>
      </c>
      <c r="BG15">
        <v>560</v>
      </c>
      <c r="BH15">
        <v>42.083333333333321</v>
      </c>
      <c r="BI15">
        <v>107</v>
      </c>
      <c r="BJ15">
        <v>0</v>
      </c>
      <c r="BK15">
        <v>0</v>
      </c>
    </row>
    <row r="16" spans="1:85">
      <c r="A16" s="2">
        <v>14</v>
      </c>
      <c r="B16" s="1">
        <f t="shared" si="28"/>
        <v>9038.1604667908905</v>
      </c>
      <c r="C16" s="1">
        <f t="shared" ca="1" si="0"/>
        <v>9068.9</v>
      </c>
      <c r="D16" s="1">
        <f t="shared" ca="1" si="1"/>
        <v>9038.1604667908905</v>
      </c>
      <c r="E16" s="1" t="str">
        <f t="shared" ca="1" si="6"/>
        <v/>
      </c>
      <c r="F16" s="1"/>
      <c r="G16" s="1"/>
      <c r="H16" s="12">
        <f t="shared" ca="1" si="7"/>
        <v>30.73953320910914</v>
      </c>
      <c r="I16" s="2">
        <v>14</v>
      </c>
      <c r="J16" s="1">
        <f t="shared" si="8"/>
        <v>6625.2371334575564</v>
      </c>
      <c r="K16" s="1">
        <f t="shared" ca="1" si="9"/>
        <v>5802.9</v>
      </c>
      <c r="L16" s="1">
        <f t="shared" ca="1" si="2"/>
        <v>6625.2371334575564</v>
      </c>
      <c r="M16" s="1" t="str">
        <f t="shared" ca="1" si="10"/>
        <v/>
      </c>
      <c r="N16" s="1"/>
      <c r="O16" s="1"/>
      <c r="P16" s="12">
        <f t="shared" ca="1" si="11"/>
        <v>-822.33713345755677</v>
      </c>
      <c r="Q16" s="2">
        <v>14</v>
      </c>
      <c r="R16" s="1">
        <f t="shared" si="12"/>
        <v>2370.84</v>
      </c>
      <c r="S16" s="1">
        <f t="shared" ca="1" si="13"/>
        <v>2599</v>
      </c>
      <c r="T16" s="1">
        <f t="shared" ca="1" si="3"/>
        <v>2370.84</v>
      </c>
      <c r="U16" s="1" t="str">
        <f t="shared" ca="1" si="14"/>
        <v/>
      </c>
      <c r="V16" s="1"/>
      <c r="W16" s="1"/>
      <c r="X16" s="12">
        <f t="shared" ca="1" si="15"/>
        <v>228.15999999999985</v>
      </c>
      <c r="Y16" s="2">
        <v>14</v>
      </c>
      <c r="Z16" s="1">
        <f t="shared" si="16"/>
        <v>0</v>
      </c>
      <c r="AA16" s="1">
        <f t="shared" ca="1" si="17"/>
        <v>560</v>
      </c>
      <c r="AB16" s="1">
        <f t="shared" ca="1" si="4"/>
        <v>0</v>
      </c>
      <c r="AC16" s="1" t="str">
        <f t="shared" ca="1" si="18"/>
        <v/>
      </c>
      <c r="AD16" s="1"/>
      <c r="AE16" s="1"/>
      <c r="AF16" s="12">
        <f t="shared" ca="1" si="19"/>
        <v>560</v>
      </c>
      <c r="AG16" s="2">
        <v>14</v>
      </c>
      <c r="AH16" s="1">
        <f t="shared" si="20"/>
        <v>42.083333333333321</v>
      </c>
      <c r="AI16" s="1">
        <f t="shared" ca="1" si="21"/>
        <v>107</v>
      </c>
      <c r="AJ16" s="1">
        <f t="shared" ca="1" si="5"/>
        <v>42.083333333333321</v>
      </c>
      <c r="AK16" s="1" t="str">
        <f t="shared" ca="1" si="22"/>
        <v/>
      </c>
      <c r="AL16" s="1"/>
      <c r="AM16" s="1"/>
      <c r="AN16" s="12">
        <f t="shared" ca="1" si="23"/>
        <v>64.916666666666686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6100.802421290141</v>
      </c>
      <c r="BC16">
        <v>5969.9</v>
      </c>
      <c r="BD16">
        <v>2911.5599999999995</v>
      </c>
      <c r="BE16">
        <v>4127</v>
      </c>
      <c r="BF16">
        <v>0</v>
      </c>
      <c r="BG16">
        <v>580</v>
      </c>
      <c r="BH16">
        <v>42.083333333333321</v>
      </c>
      <c r="BI16">
        <v>170</v>
      </c>
      <c r="BJ16">
        <v>0</v>
      </c>
      <c r="BK16">
        <v>0</v>
      </c>
    </row>
    <row r="17" spans="1:63">
      <c r="A17" s="2">
        <v>15</v>
      </c>
      <c r="B17" s="1">
        <f t="shared" si="28"/>
        <v>9054.4457546234753</v>
      </c>
      <c r="C17" s="1">
        <f t="shared" ca="1" si="0"/>
        <v>10846.9</v>
      </c>
      <c r="D17" s="1">
        <f t="shared" ca="1" si="1"/>
        <v>9054.4457546234753</v>
      </c>
      <c r="E17" s="1" t="str">
        <f t="shared" ca="1" si="6"/>
        <v/>
      </c>
      <c r="F17" s="1"/>
      <c r="G17" s="1"/>
      <c r="H17" s="12">
        <f t="shared" ca="1" si="7"/>
        <v>1792.4542453765243</v>
      </c>
      <c r="I17" s="2">
        <v>15</v>
      </c>
      <c r="J17" s="1">
        <f t="shared" si="8"/>
        <v>6100.802421290141</v>
      </c>
      <c r="K17" s="1">
        <f t="shared" ca="1" si="9"/>
        <v>5969.9</v>
      </c>
      <c r="L17" s="1">
        <f t="shared" ca="1" si="2"/>
        <v>6100.802421290141</v>
      </c>
      <c r="M17" s="1" t="str">
        <f t="shared" ca="1" si="10"/>
        <v/>
      </c>
      <c r="N17" s="1"/>
      <c r="O17" s="1"/>
      <c r="P17" s="12">
        <f t="shared" ca="1" si="11"/>
        <v>-130.90242129014132</v>
      </c>
      <c r="Q17" s="2">
        <v>15</v>
      </c>
      <c r="R17" s="1">
        <f t="shared" si="12"/>
        <v>2911.5599999999995</v>
      </c>
      <c r="S17" s="1">
        <f t="shared" ca="1" si="13"/>
        <v>4127</v>
      </c>
      <c r="T17" s="1">
        <f t="shared" ca="1" si="3"/>
        <v>2911.5599999999995</v>
      </c>
      <c r="U17" s="1" t="str">
        <f t="shared" ca="1" si="14"/>
        <v/>
      </c>
      <c r="V17" s="1"/>
      <c r="W17" s="1"/>
      <c r="X17" s="12">
        <f t="shared" ca="1" si="15"/>
        <v>1215.4400000000005</v>
      </c>
      <c r="Y17" s="2">
        <v>15</v>
      </c>
      <c r="Z17" s="1">
        <f t="shared" si="16"/>
        <v>0</v>
      </c>
      <c r="AA17" s="1">
        <f t="shared" ca="1" si="17"/>
        <v>580</v>
      </c>
      <c r="AB17" s="1">
        <f t="shared" ca="1" si="4"/>
        <v>0</v>
      </c>
      <c r="AC17" s="1" t="str">
        <f t="shared" ca="1" si="18"/>
        <v/>
      </c>
      <c r="AD17" s="1"/>
      <c r="AE17" s="1"/>
      <c r="AF17" s="12">
        <f t="shared" ca="1" si="19"/>
        <v>580</v>
      </c>
      <c r="AG17" s="2">
        <v>15</v>
      </c>
      <c r="AH17" s="1">
        <f t="shared" si="20"/>
        <v>42.083333333333321</v>
      </c>
      <c r="AI17" s="1">
        <f t="shared" ca="1" si="21"/>
        <v>170</v>
      </c>
      <c r="AJ17" s="1">
        <f t="shared" ca="1" si="5"/>
        <v>42.083333333333321</v>
      </c>
      <c r="AK17" s="1" t="str">
        <f t="shared" ca="1" si="22"/>
        <v/>
      </c>
      <c r="AL17" s="1"/>
      <c r="AM17" s="1"/>
      <c r="AN17" s="12">
        <f t="shared" ca="1" si="23"/>
        <v>127.91666666666669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7156.6521687614586</v>
      </c>
      <c r="BC17">
        <v>5382.5</v>
      </c>
      <c r="BD17">
        <v>2059.8000000000002</v>
      </c>
      <c r="BE17">
        <v>2732</v>
      </c>
      <c r="BF17">
        <v>0</v>
      </c>
      <c r="BG17">
        <v>510</v>
      </c>
      <c r="BH17">
        <v>42.083333333333321</v>
      </c>
      <c r="BI17">
        <v>91</v>
      </c>
      <c r="BJ17">
        <v>0</v>
      </c>
      <c r="BK17">
        <v>0</v>
      </c>
    </row>
    <row r="18" spans="1:63">
      <c r="A18" s="2">
        <v>16</v>
      </c>
      <c r="B18" s="1">
        <f t="shared" si="28"/>
        <v>9258.5355020947918</v>
      </c>
      <c r="C18" s="1">
        <f t="shared" ca="1" si="0"/>
        <v>8715.5</v>
      </c>
      <c r="D18" s="1">
        <f t="shared" ca="1" si="1"/>
        <v>9258.5355020947918</v>
      </c>
      <c r="E18" s="1" t="str">
        <f t="shared" ca="1" si="6"/>
        <v/>
      </c>
      <c r="F18" s="1"/>
      <c r="G18" s="1"/>
      <c r="H18" s="12">
        <f t="shared" ca="1" si="7"/>
        <v>-543.03550209479181</v>
      </c>
      <c r="I18" s="2">
        <v>16</v>
      </c>
      <c r="J18" s="1">
        <f t="shared" si="8"/>
        <v>7156.6521687614586</v>
      </c>
      <c r="K18" s="1">
        <f t="shared" ca="1" si="9"/>
        <v>5382.5</v>
      </c>
      <c r="L18" s="1">
        <f t="shared" ca="1" si="2"/>
        <v>7156.6521687614586</v>
      </c>
      <c r="M18" s="1" t="str">
        <f t="shared" ca="1" si="10"/>
        <v/>
      </c>
      <c r="N18" s="1"/>
      <c r="O18" s="1"/>
      <c r="P18" s="12">
        <f t="shared" ca="1" si="11"/>
        <v>-1774.1521687614586</v>
      </c>
      <c r="Q18" s="2">
        <v>16</v>
      </c>
      <c r="R18" s="1">
        <f t="shared" si="12"/>
        <v>2059.8000000000002</v>
      </c>
      <c r="S18" s="1">
        <f t="shared" ca="1" si="13"/>
        <v>2732</v>
      </c>
      <c r="T18" s="1">
        <f t="shared" ca="1" si="3"/>
        <v>2059.8000000000002</v>
      </c>
      <c r="U18" s="1" t="str">
        <f t="shared" ca="1" si="14"/>
        <v/>
      </c>
      <c r="V18" s="1"/>
      <c r="W18" s="1"/>
      <c r="X18" s="12">
        <f t="shared" ca="1" si="15"/>
        <v>672.19999999999982</v>
      </c>
      <c r="Y18" s="2">
        <v>16</v>
      </c>
      <c r="Z18" s="1">
        <f t="shared" si="16"/>
        <v>0</v>
      </c>
      <c r="AA18" s="1">
        <f t="shared" ca="1" si="17"/>
        <v>510</v>
      </c>
      <c r="AB18" s="1">
        <f t="shared" ca="1" si="4"/>
        <v>0</v>
      </c>
      <c r="AC18" s="1" t="str">
        <f t="shared" ca="1" si="18"/>
        <v/>
      </c>
      <c r="AD18" s="1"/>
      <c r="AE18" s="1"/>
      <c r="AF18" s="12">
        <f t="shared" ca="1" si="19"/>
        <v>510</v>
      </c>
      <c r="AG18" s="2">
        <v>16</v>
      </c>
      <c r="AH18" s="1">
        <f t="shared" si="20"/>
        <v>42.083333333333321</v>
      </c>
      <c r="AI18" s="1">
        <f t="shared" ca="1" si="21"/>
        <v>91</v>
      </c>
      <c r="AJ18" s="1">
        <f t="shared" ca="1" si="5"/>
        <v>42.083333333333321</v>
      </c>
      <c r="AK18" s="1" t="str">
        <f t="shared" ca="1" si="22"/>
        <v/>
      </c>
      <c r="AL18" s="1"/>
      <c r="AM18" s="1"/>
      <c r="AN18" s="12">
        <f t="shared" ca="1" si="23"/>
        <v>48.916666666666679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10484.850007418048</v>
      </c>
      <c r="BC18">
        <v>6175</v>
      </c>
      <c r="BD18">
        <v>3615.7199999999993</v>
      </c>
      <c r="BE18">
        <v>4740</v>
      </c>
      <c r="BF18">
        <v>0</v>
      </c>
      <c r="BG18">
        <v>0</v>
      </c>
      <c r="BH18">
        <v>42.083333333333321</v>
      </c>
      <c r="BI18">
        <v>47</v>
      </c>
      <c r="BJ18">
        <v>0</v>
      </c>
      <c r="BK18">
        <v>0</v>
      </c>
    </row>
    <row r="19" spans="1:63">
      <c r="A19" s="2">
        <v>17</v>
      </c>
      <c r="B19" s="1">
        <f t="shared" si="28"/>
        <v>14142.653340751382</v>
      </c>
      <c r="C19" s="1">
        <f t="shared" ca="1" si="0"/>
        <v>10962</v>
      </c>
      <c r="D19" s="1">
        <f t="shared" ca="1" si="1"/>
        <v>14142.653340751382</v>
      </c>
      <c r="E19" s="1" t="str">
        <f t="shared" ca="1" si="6"/>
        <v/>
      </c>
      <c r="F19" s="1"/>
      <c r="G19" s="1"/>
      <c r="H19" s="12">
        <f t="shared" ca="1" si="7"/>
        <v>-3180.6533407513816</v>
      </c>
      <c r="I19" s="2">
        <v>17</v>
      </c>
      <c r="J19" s="1">
        <f t="shared" si="8"/>
        <v>10484.850007418048</v>
      </c>
      <c r="K19" s="1">
        <f t="shared" ca="1" si="9"/>
        <v>6175</v>
      </c>
      <c r="L19" s="1">
        <f t="shared" ca="1" si="2"/>
        <v>10484.850007418048</v>
      </c>
      <c r="M19" s="1" t="str">
        <f t="shared" ca="1" si="10"/>
        <v/>
      </c>
      <c r="N19" s="1"/>
      <c r="O19" s="1"/>
      <c r="P19" s="12">
        <f t="shared" ca="1" si="11"/>
        <v>-4309.8500074180483</v>
      </c>
      <c r="Q19" s="2">
        <v>17</v>
      </c>
      <c r="R19" s="1">
        <f t="shared" si="12"/>
        <v>3615.7199999999993</v>
      </c>
      <c r="S19" s="1">
        <f t="shared" ca="1" si="13"/>
        <v>4740</v>
      </c>
      <c r="T19" s="1">
        <f t="shared" ca="1" si="3"/>
        <v>3615.7199999999993</v>
      </c>
      <c r="U19" s="1" t="str">
        <f t="shared" ca="1" si="14"/>
        <v/>
      </c>
      <c r="V19" s="1"/>
      <c r="W19" s="1"/>
      <c r="X19" s="12">
        <f t="shared" ca="1" si="15"/>
        <v>1124.2800000000007</v>
      </c>
      <c r="Y19" s="2">
        <v>17</v>
      </c>
      <c r="Z19" s="1">
        <f t="shared" si="16"/>
        <v>0</v>
      </c>
      <c r="AA19" s="1">
        <f t="shared" ca="1" si="17"/>
        <v>0</v>
      </c>
      <c r="AB19" s="1">
        <f t="shared" ca="1" si="4"/>
        <v>0</v>
      </c>
      <c r="AC19" s="1" t="str">
        <f t="shared" ca="1" si="18"/>
        <v/>
      </c>
      <c r="AD19" s="1"/>
      <c r="AE19" s="1"/>
      <c r="AF19" s="12">
        <f t="shared" ca="1" si="19"/>
        <v>0</v>
      </c>
      <c r="AG19" s="2">
        <v>17</v>
      </c>
      <c r="AH19" s="1">
        <f t="shared" si="20"/>
        <v>42.083333333333321</v>
      </c>
      <c r="AI19" s="1">
        <f t="shared" ca="1" si="21"/>
        <v>47</v>
      </c>
      <c r="AJ19" s="1">
        <f t="shared" ca="1" si="5"/>
        <v>42.083333333333321</v>
      </c>
      <c r="AK19" s="1" t="str">
        <f t="shared" ca="1" si="22"/>
        <v/>
      </c>
      <c r="AL19" s="1"/>
      <c r="AM19" s="1"/>
      <c r="AN19" s="12">
        <f t="shared" ca="1" si="23"/>
        <v>4.9166666666666785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8630.9166480083204</v>
      </c>
      <c r="BC19">
        <v>7937.6</v>
      </c>
      <c r="BD19">
        <v>2111.7600000000002</v>
      </c>
      <c r="BE19">
        <v>3569</v>
      </c>
      <c r="BF19">
        <v>0</v>
      </c>
      <c r="BG19">
        <v>0</v>
      </c>
      <c r="BH19">
        <v>42.083333333333321</v>
      </c>
      <c r="BI19">
        <v>156</v>
      </c>
      <c r="BJ19">
        <v>0</v>
      </c>
      <c r="BK19">
        <v>0</v>
      </c>
    </row>
    <row r="20" spans="1:63">
      <c r="A20" s="2">
        <v>18</v>
      </c>
      <c r="B20" s="1">
        <f t="shared" si="28"/>
        <v>10784.759981341655</v>
      </c>
      <c r="C20" s="1">
        <f t="shared" ca="1" si="0"/>
        <v>11662.6</v>
      </c>
      <c r="D20" s="1">
        <f t="shared" ca="1" si="1"/>
        <v>10784.759981341655</v>
      </c>
      <c r="E20" s="1" t="str">
        <f t="shared" ca="1" si="6"/>
        <v/>
      </c>
      <c r="F20" s="1"/>
      <c r="G20" s="1"/>
      <c r="H20" s="12">
        <f t="shared" ca="1" si="7"/>
        <v>877.8400186583458</v>
      </c>
      <c r="I20" s="2">
        <v>18</v>
      </c>
      <c r="J20" s="1">
        <f t="shared" si="8"/>
        <v>8630.9166480083204</v>
      </c>
      <c r="K20" s="1">
        <f t="shared" ca="1" si="9"/>
        <v>7937.6</v>
      </c>
      <c r="L20" s="1">
        <f t="shared" ca="1" si="2"/>
        <v>8630.9166480083204</v>
      </c>
      <c r="M20" s="1" t="str">
        <f t="shared" ca="1" si="10"/>
        <v/>
      </c>
      <c r="N20" s="1"/>
      <c r="O20" s="1"/>
      <c r="P20" s="12">
        <f t="shared" ca="1" si="11"/>
        <v>-693.31664800832004</v>
      </c>
      <c r="Q20" s="2">
        <v>18</v>
      </c>
      <c r="R20" s="1">
        <f t="shared" si="12"/>
        <v>2111.7600000000002</v>
      </c>
      <c r="S20" s="1">
        <f t="shared" ca="1" si="13"/>
        <v>3569</v>
      </c>
      <c r="T20" s="1">
        <f t="shared" ca="1" si="3"/>
        <v>2111.7600000000002</v>
      </c>
      <c r="U20" s="1" t="str">
        <f t="shared" ca="1" si="14"/>
        <v/>
      </c>
      <c r="V20" s="1"/>
      <c r="W20" s="1"/>
      <c r="X20" s="12">
        <f t="shared" ca="1" si="15"/>
        <v>1457.2399999999998</v>
      </c>
      <c r="Y20" s="2">
        <v>18</v>
      </c>
      <c r="Z20" s="1">
        <f t="shared" si="16"/>
        <v>0</v>
      </c>
      <c r="AA20" s="1">
        <f t="shared" ca="1" si="17"/>
        <v>0</v>
      </c>
      <c r="AB20" s="1">
        <f t="shared" ca="1" si="4"/>
        <v>0</v>
      </c>
      <c r="AC20" s="1" t="str">
        <f t="shared" ca="1" si="18"/>
        <v/>
      </c>
      <c r="AD20" s="1"/>
      <c r="AE20" s="1"/>
      <c r="AF20" s="12">
        <f t="shared" ca="1" si="19"/>
        <v>0</v>
      </c>
      <c r="AG20" s="2">
        <v>18</v>
      </c>
      <c r="AH20" s="1">
        <f t="shared" si="20"/>
        <v>42.083333333333321</v>
      </c>
      <c r="AI20" s="1">
        <f t="shared" ca="1" si="21"/>
        <v>156</v>
      </c>
      <c r="AJ20" s="1">
        <f t="shared" ca="1" si="5"/>
        <v>42.083333333333321</v>
      </c>
      <c r="AK20" s="1" t="str">
        <f t="shared" ca="1" si="22"/>
        <v/>
      </c>
      <c r="AL20" s="1"/>
      <c r="AM20" s="1"/>
      <c r="AN20" s="12">
        <f t="shared" ca="1" si="23"/>
        <v>113.91666666666669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9879.7875048190326</v>
      </c>
      <c r="BC20">
        <v>6990</v>
      </c>
      <c r="BD20">
        <v>3312.24</v>
      </c>
      <c r="BE20">
        <v>3612</v>
      </c>
      <c r="BF20">
        <v>0</v>
      </c>
      <c r="BG20">
        <v>0</v>
      </c>
      <c r="BH20">
        <v>42.083333333333321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13234.110838152366</v>
      </c>
      <c r="C21" s="1">
        <f t="shared" ca="1" si="0"/>
        <v>10602</v>
      </c>
      <c r="D21" s="1">
        <f t="shared" ca="1" si="1"/>
        <v>13234.110838152366</v>
      </c>
      <c r="E21" s="1" t="str">
        <f t="shared" ca="1" si="6"/>
        <v/>
      </c>
      <c r="F21" s="1"/>
      <c r="G21" s="1"/>
      <c r="H21" s="12">
        <f t="shared" ca="1" si="7"/>
        <v>-2632.1108381523663</v>
      </c>
      <c r="I21" s="2">
        <v>19</v>
      </c>
      <c r="J21" s="1">
        <f t="shared" si="8"/>
        <v>9879.7875048190326</v>
      </c>
      <c r="K21" s="1">
        <f t="shared" ca="1" si="9"/>
        <v>6990</v>
      </c>
      <c r="L21" s="1">
        <f t="shared" ca="1" si="2"/>
        <v>9879.7875048190326</v>
      </c>
      <c r="M21" s="1" t="str">
        <f t="shared" ca="1" si="10"/>
        <v/>
      </c>
      <c r="N21" s="1"/>
      <c r="O21" s="1"/>
      <c r="P21" s="12">
        <f t="shared" ca="1" si="11"/>
        <v>-2889.7875048190326</v>
      </c>
      <c r="Q21" s="2">
        <v>19</v>
      </c>
      <c r="R21" s="1">
        <f t="shared" si="12"/>
        <v>3312.24</v>
      </c>
      <c r="S21" s="1">
        <f t="shared" ca="1" si="13"/>
        <v>3612</v>
      </c>
      <c r="T21" s="1">
        <f t="shared" ca="1" si="3"/>
        <v>3312.24</v>
      </c>
      <c r="U21" s="1" t="str">
        <f t="shared" ca="1" si="14"/>
        <v/>
      </c>
      <c r="V21" s="1"/>
      <c r="W21" s="1"/>
      <c r="X21" s="12">
        <f t="shared" ca="1" si="15"/>
        <v>299.76000000000022</v>
      </c>
      <c r="Y21" s="2">
        <v>19</v>
      </c>
      <c r="Z21" s="1">
        <f t="shared" si="16"/>
        <v>0</v>
      </c>
      <c r="AA21" s="1">
        <f t="shared" ca="1" si="17"/>
        <v>0</v>
      </c>
      <c r="AB21" s="1">
        <f t="shared" ca="1" si="4"/>
        <v>0</v>
      </c>
      <c r="AC21" s="1" t="str">
        <f t="shared" ca="1" si="18"/>
        <v/>
      </c>
      <c r="AD21" s="1"/>
      <c r="AE21" s="1"/>
      <c r="AF21" s="12">
        <f t="shared" ca="1" si="19"/>
        <v>0</v>
      </c>
      <c r="AG21" s="2">
        <v>19</v>
      </c>
      <c r="AH21" s="1">
        <f t="shared" si="20"/>
        <v>42.083333333333321</v>
      </c>
      <c r="AI21" s="1">
        <f t="shared" ca="1" si="21"/>
        <v>0</v>
      </c>
      <c r="AJ21" s="1">
        <f t="shared" ca="1" si="5"/>
        <v>42.083333333333321</v>
      </c>
      <c r="AK21" s="1" t="str">
        <f t="shared" ca="1" si="22"/>
        <v/>
      </c>
      <c r="AL21" s="1"/>
      <c r="AM21" s="1"/>
      <c r="AN21" s="12">
        <f t="shared" ca="1" si="23"/>
        <v>-42.083333333333321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10497.596684449896</v>
      </c>
      <c r="BC21">
        <v>4761</v>
      </c>
      <c r="BD21">
        <v>4371.119999999999</v>
      </c>
      <c r="BE21">
        <v>3899</v>
      </c>
      <c r="BF21">
        <v>0</v>
      </c>
      <c r="BG21">
        <v>0</v>
      </c>
      <c r="BH21">
        <v>42.083333333333321</v>
      </c>
      <c r="BI21">
        <v>65</v>
      </c>
      <c r="BJ21">
        <v>0</v>
      </c>
      <c r="BK21">
        <v>0</v>
      </c>
    </row>
    <row r="22" spans="1:63">
      <c r="A22" s="2">
        <v>20</v>
      </c>
      <c r="B22" s="1">
        <f t="shared" si="28"/>
        <v>14910.800017783229</v>
      </c>
      <c r="C22" s="1">
        <f t="shared" ca="1" si="0"/>
        <v>8725</v>
      </c>
      <c r="D22" s="1">
        <f t="shared" ca="1" si="1"/>
        <v>14910.800017783229</v>
      </c>
      <c r="E22" s="1" t="str">
        <f t="shared" ca="1" si="6"/>
        <v/>
      </c>
      <c r="F22" s="1"/>
      <c r="G22" s="1"/>
      <c r="H22" s="12">
        <f t="shared" ca="1" si="7"/>
        <v>-6185.8000177832291</v>
      </c>
      <c r="I22" s="2">
        <v>20</v>
      </c>
      <c r="J22" s="1">
        <f t="shared" si="8"/>
        <v>10497.596684449896</v>
      </c>
      <c r="K22" s="1">
        <f t="shared" ca="1" si="9"/>
        <v>4761</v>
      </c>
      <c r="L22" s="1">
        <f t="shared" ca="1" si="2"/>
        <v>10497.596684449896</v>
      </c>
      <c r="M22" s="1" t="str">
        <f t="shared" ca="1" si="10"/>
        <v/>
      </c>
      <c r="N22" s="1"/>
      <c r="O22" s="1"/>
      <c r="P22" s="12">
        <f t="shared" ca="1" si="11"/>
        <v>-5736.5966844498962</v>
      </c>
      <c r="Q22" s="2">
        <v>20</v>
      </c>
      <c r="R22" s="1">
        <f t="shared" si="12"/>
        <v>4371.119999999999</v>
      </c>
      <c r="S22" s="1">
        <f t="shared" ca="1" si="13"/>
        <v>3899</v>
      </c>
      <c r="T22" s="1">
        <f ca="1">IF(S22="","",R22)</f>
        <v>4371.119999999999</v>
      </c>
      <c r="U22" s="1" t="str">
        <f t="shared" ca="1" si="14"/>
        <v/>
      </c>
      <c r="V22" s="1"/>
      <c r="W22" s="1"/>
      <c r="X22" s="12">
        <f t="shared" ca="1" si="15"/>
        <v>-472.11999999999898</v>
      </c>
      <c r="Y22" s="2">
        <v>20</v>
      </c>
      <c r="Z22" s="1">
        <f t="shared" si="16"/>
        <v>0</v>
      </c>
      <c r="AA22" s="1">
        <f t="shared" ca="1" si="17"/>
        <v>0</v>
      </c>
      <c r="AB22" s="1">
        <f t="shared" ca="1" si="4"/>
        <v>0</v>
      </c>
      <c r="AC22" s="1" t="str">
        <f t="shared" ca="1" si="18"/>
        <v/>
      </c>
      <c r="AD22" s="1"/>
      <c r="AE22" s="1"/>
      <c r="AF22" s="12">
        <f t="shared" ca="1" si="19"/>
        <v>0</v>
      </c>
      <c r="AG22" s="2">
        <v>20</v>
      </c>
      <c r="AH22" s="1">
        <f t="shared" si="20"/>
        <v>42.083333333333321</v>
      </c>
      <c r="AI22" s="1">
        <f t="shared" ca="1" si="21"/>
        <v>65</v>
      </c>
      <c r="AJ22" s="1">
        <f t="shared" ca="1" si="5"/>
        <v>42.083333333333321</v>
      </c>
      <c r="AK22" s="1" t="str">
        <f t="shared" ca="1" si="22"/>
        <v/>
      </c>
      <c r="AL22" s="1"/>
      <c r="AM22" s="1"/>
      <c r="AN22" s="12">
        <f t="shared" ca="1" si="23"/>
        <v>22.916666666666679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10398.557027194514</v>
      </c>
      <c r="BC22">
        <v>6680</v>
      </c>
      <c r="BD22">
        <v>4193.3999999999996</v>
      </c>
      <c r="BE22">
        <v>1701</v>
      </c>
      <c r="BF22">
        <v>0</v>
      </c>
      <c r="BG22">
        <v>810</v>
      </c>
      <c r="BH22">
        <v>42.083333333333321</v>
      </c>
      <c r="BI22">
        <v>1</v>
      </c>
      <c r="BJ22">
        <v>0</v>
      </c>
      <c r="BK22">
        <v>0</v>
      </c>
    </row>
    <row r="23" spans="1:63">
      <c r="A23" s="2">
        <v>21</v>
      </c>
      <c r="B23" s="1">
        <f t="shared" si="28"/>
        <v>14634.040360527848</v>
      </c>
      <c r="C23" s="1">
        <f t="shared" ca="1" si="0"/>
        <v>9192</v>
      </c>
      <c r="D23" s="1">
        <f t="shared" ca="1" si="1"/>
        <v>14634.040360527848</v>
      </c>
      <c r="E23" s="1" t="str">
        <f t="shared" ca="1" si="6"/>
        <v/>
      </c>
      <c r="F23" s="1"/>
      <c r="G23" s="1"/>
      <c r="H23" s="12">
        <f t="shared" ca="1" si="7"/>
        <v>-5442.040360527848</v>
      </c>
      <c r="I23" s="2">
        <v>21</v>
      </c>
      <c r="J23" s="1">
        <f t="shared" si="8"/>
        <v>10398.557027194514</v>
      </c>
      <c r="K23" s="1">
        <f t="shared" ca="1" si="9"/>
        <v>6680</v>
      </c>
      <c r="L23" s="1">
        <f t="shared" ca="1" si="2"/>
        <v>10398.557027194514</v>
      </c>
      <c r="M23" s="1" t="str">
        <f t="shared" ca="1" si="10"/>
        <v/>
      </c>
      <c r="N23" s="1"/>
      <c r="O23" s="1"/>
      <c r="P23" s="12">
        <f t="shared" ca="1" si="11"/>
        <v>-3718.5570271945144</v>
      </c>
      <c r="Q23" s="2">
        <v>21</v>
      </c>
      <c r="R23" s="1">
        <f t="shared" si="12"/>
        <v>4193.3999999999996</v>
      </c>
      <c r="S23" s="1">
        <f t="shared" ca="1" si="13"/>
        <v>1701</v>
      </c>
      <c r="T23" s="1">
        <f t="shared" ca="1" si="3"/>
        <v>4193.3999999999996</v>
      </c>
      <c r="U23" s="1" t="str">
        <f t="shared" ca="1" si="14"/>
        <v/>
      </c>
      <c r="V23" s="1"/>
      <c r="W23" s="1"/>
      <c r="X23" s="12">
        <f t="shared" ca="1" si="15"/>
        <v>-2492.3999999999996</v>
      </c>
      <c r="Y23" s="2">
        <v>21</v>
      </c>
      <c r="Z23" s="1">
        <f t="shared" si="16"/>
        <v>0</v>
      </c>
      <c r="AA23" s="1">
        <f t="shared" ca="1" si="17"/>
        <v>810</v>
      </c>
      <c r="AB23" s="1">
        <f t="shared" ca="1" si="4"/>
        <v>0</v>
      </c>
      <c r="AC23" s="1" t="str">
        <f t="shared" ca="1" si="18"/>
        <v/>
      </c>
      <c r="AD23" s="1"/>
      <c r="AE23" s="1"/>
      <c r="AF23" s="12">
        <f t="shared" ca="1" si="19"/>
        <v>810</v>
      </c>
      <c r="AG23" s="2">
        <v>21</v>
      </c>
      <c r="AH23" s="1">
        <f t="shared" si="20"/>
        <v>42.083333333333321</v>
      </c>
      <c r="AI23" s="1">
        <f t="shared" ca="1" si="21"/>
        <v>1</v>
      </c>
      <c r="AJ23" s="1">
        <f t="shared" ca="1" si="5"/>
        <v>42.083333333333321</v>
      </c>
      <c r="AK23" s="1" t="str">
        <f t="shared" ca="1" si="22"/>
        <v/>
      </c>
      <c r="AL23" s="1"/>
      <c r="AM23" s="1"/>
      <c r="AN23" s="12">
        <f t="shared" ca="1" si="23"/>
        <v>-41.083333333333321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10410.595555502368</v>
      </c>
      <c r="BC23">
        <v>8301</v>
      </c>
      <c r="BD23">
        <v>4259.6399999999994</v>
      </c>
      <c r="BE23">
        <v>2905</v>
      </c>
      <c r="BF23">
        <v>0</v>
      </c>
      <c r="BG23">
        <v>1250</v>
      </c>
      <c r="BH23">
        <v>42.083333333333321</v>
      </c>
      <c r="BI23">
        <v>19</v>
      </c>
      <c r="BJ23">
        <v>0</v>
      </c>
      <c r="BK23">
        <v>0</v>
      </c>
    </row>
    <row r="24" spans="1:63">
      <c r="A24" s="2">
        <v>22</v>
      </c>
      <c r="B24" s="1">
        <f t="shared" si="28"/>
        <v>14712.318888835702</v>
      </c>
      <c r="C24" s="1">
        <f t="shared" ca="1" si="0"/>
        <v>12475</v>
      </c>
      <c r="D24" s="1">
        <f t="shared" ca="1" si="1"/>
        <v>14712.318888835702</v>
      </c>
      <c r="E24" s="1" t="str">
        <f t="shared" ca="1" si="6"/>
        <v/>
      </c>
      <c r="F24" s="1"/>
      <c r="G24" s="1"/>
      <c r="H24" s="12">
        <f t="shared" ca="1" si="7"/>
        <v>-2237.3188888357017</v>
      </c>
      <c r="I24" s="2">
        <v>22</v>
      </c>
      <c r="J24" s="1">
        <f t="shared" si="8"/>
        <v>10410.595555502368</v>
      </c>
      <c r="K24" s="1">
        <f t="shared" ca="1" si="9"/>
        <v>8301</v>
      </c>
      <c r="L24" s="1">
        <f t="shared" ca="1" si="2"/>
        <v>10410.595555502368</v>
      </c>
      <c r="M24" s="1" t="str">
        <f t="shared" ca="1" si="10"/>
        <v/>
      </c>
      <c r="N24" s="1"/>
      <c r="O24" s="1"/>
      <c r="P24" s="12">
        <f t="shared" ca="1" si="11"/>
        <v>-2109.5955555023684</v>
      </c>
      <c r="Q24" s="2">
        <v>22</v>
      </c>
      <c r="R24" s="1">
        <f t="shared" si="12"/>
        <v>4259.6399999999994</v>
      </c>
      <c r="S24" s="1">
        <f t="shared" ca="1" si="13"/>
        <v>2905</v>
      </c>
      <c r="T24" s="1">
        <f t="shared" ca="1" si="3"/>
        <v>4259.6399999999994</v>
      </c>
      <c r="U24" s="1" t="str">
        <f t="shared" ca="1" si="14"/>
        <v/>
      </c>
      <c r="V24" s="1"/>
      <c r="W24" s="1"/>
      <c r="X24" s="12">
        <f t="shared" ca="1" si="15"/>
        <v>-1354.6399999999994</v>
      </c>
      <c r="Y24" s="2">
        <v>22</v>
      </c>
      <c r="Z24" s="1">
        <f t="shared" si="16"/>
        <v>0</v>
      </c>
      <c r="AA24" s="1">
        <f t="shared" ca="1" si="17"/>
        <v>1250</v>
      </c>
      <c r="AB24" s="1">
        <f t="shared" ca="1" si="4"/>
        <v>0</v>
      </c>
      <c r="AC24" s="1" t="str">
        <f t="shared" ca="1" si="18"/>
        <v/>
      </c>
      <c r="AD24" s="1"/>
      <c r="AE24" s="1"/>
      <c r="AF24" s="12">
        <f t="shared" ca="1" si="19"/>
        <v>1250</v>
      </c>
      <c r="AG24" s="2">
        <v>22</v>
      </c>
      <c r="AH24" s="1">
        <f t="shared" si="20"/>
        <v>42.083333333333321</v>
      </c>
      <c r="AI24" s="1">
        <f t="shared" ca="1" si="21"/>
        <v>19</v>
      </c>
      <c r="AJ24" s="1">
        <f t="shared" ca="1" si="5"/>
        <v>42.083333333333321</v>
      </c>
      <c r="AK24" s="1" t="str">
        <f t="shared" ca="1" si="22"/>
        <v/>
      </c>
      <c r="AL24" s="1"/>
      <c r="AM24" s="1"/>
      <c r="AN24" s="12">
        <f t="shared" ca="1" si="23"/>
        <v>-23.083333333333321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9823.9449197271297</v>
      </c>
      <c r="BC24">
        <v>8722</v>
      </c>
      <c r="BD24">
        <v>4385.3999999999996</v>
      </c>
      <c r="BE24">
        <v>1747</v>
      </c>
      <c r="BF24">
        <v>0</v>
      </c>
      <c r="BG24">
        <v>390</v>
      </c>
      <c r="BH24">
        <v>42.083333333333321</v>
      </c>
      <c r="BI24">
        <v>0</v>
      </c>
      <c r="BJ24">
        <v>0</v>
      </c>
      <c r="BK24">
        <v>0</v>
      </c>
    </row>
    <row r="25" spans="1:63">
      <c r="A25" s="2">
        <v>23</v>
      </c>
      <c r="B25" s="1">
        <f t="shared" si="28"/>
        <v>14251.428253060463</v>
      </c>
      <c r="C25" s="1">
        <f t="shared" ca="1" si="0"/>
        <v>10859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9823.9449197271297</v>
      </c>
      <c r="K25" s="1">
        <f t="shared" ca="1" si="9"/>
        <v>8722</v>
      </c>
      <c r="L25" s="1">
        <f t="shared" ca="1" si="2"/>
        <v>9823.9449197271297</v>
      </c>
      <c r="M25" s="1" t="str">
        <f t="shared" ca="1" si="10"/>
        <v/>
      </c>
      <c r="N25" s="1"/>
      <c r="O25" s="1"/>
      <c r="P25" s="12">
        <f t="shared" ca="1" si="11"/>
        <v>-1101.9449197271297</v>
      </c>
      <c r="Q25" s="2">
        <v>23</v>
      </c>
      <c r="R25" s="1">
        <f t="shared" si="12"/>
        <v>4385.3999999999996</v>
      </c>
      <c r="S25" s="1">
        <f t="shared" ca="1" si="13"/>
        <v>1747</v>
      </c>
      <c r="T25" s="1">
        <f t="shared" ca="1" si="3"/>
        <v>4385.3999999999996</v>
      </c>
      <c r="U25" s="1" t="str">
        <f t="shared" ca="1" si="14"/>
        <v/>
      </c>
      <c r="V25" s="1"/>
      <c r="W25" s="1"/>
      <c r="X25" s="12">
        <f t="shared" ca="1" si="15"/>
        <v>-2638.3999999999996</v>
      </c>
      <c r="Y25" s="2">
        <v>23</v>
      </c>
      <c r="Z25" s="1">
        <f t="shared" si="16"/>
        <v>0</v>
      </c>
      <c r="AA25" s="1">
        <f t="shared" ca="1" si="17"/>
        <v>390</v>
      </c>
      <c r="AB25" s="1">
        <f t="shared" ca="1" si="4"/>
        <v>0</v>
      </c>
      <c r="AC25" s="1" t="str">
        <f t="shared" ca="1" si="18"/>
        <v/>
      </c>
      <c r="AD25" s="1"/>
      <c r="AE25" s="1"/>
      <c r="AF25" s="12">
        <f t="shared" ca="1" si="19"/>
        <v>390</v>
      </c>
      <c r="AG25" s="2">
        <v>23</v>
      </c>
      <c r="AH25" s="1">
        <f t="shared" si="20"/>
        <v>42.083333333333321</v>
      </c>
      <c r="AI25" s="1">
        <f t="shared" ca="1" si="21"/>
        <v>0</v>
      </c>
      <c r="AJ25" s="1">
        <f t="shared" ca="1" si="5"/>
        <v>42.083333333333321</v>
      </c>
      <c r="AK25" s="1" t="str">
        <f t="shared" ca="1" si="22"/>
        <v/>
      </c>
      <c r="AL25" s="1"/>
      <c r="AM25" s="1"/>
      <c r="AN25" s="12">
        <f t="shared" ca="1" si="23"/>
        <v>-42.083333333333321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6525.59049158161</v>
      </c>
      <c r="BC25">
        <v>8503</v>
      </c>
      <c r="BD25">
        <v>4163.9999999999991</v>
      </c>
      <c r="BE25">
        <v>567</v>
      </c>
      <c r="BF25">
        <v>0</v>
      </c>
      <c r="BG25">
        <v>0</v>
      </c>
      <c r="BH25">
        <v>42.083333333333321</v>
      </c>
      <c r="BI25">
        <v>0</v>
      </c>
      <c r="BJ25">
        <v>0</v>
      </c>
      <c r="BK25">
        <v>0</v>
      </c>
    </row>
    <row r="26" spans="1:63">
      <c r="A26" s="2">
        <v>24</v>
      </c>
      <c r="B26" s="1">
        <f t="shared" si="28"/>
        <v>10731.673824914944</v>
      </c>
      <c r="C26" s="1">
        <f t="shared" ca="1" si="0"/>
        <v>9070</v>
      </c>
      <c r="D26" s="1">
        <f t="shared" ca="1" si="1"/>
        <v>10731.673824914944</v>
      </c>
      <c r="E26" s="1" t="str">
        <f t="shared" ca="1" si="6"/>
        <v/>
      </c>
      <c r="F26" s="1"/>
      <c r="G26" s="1"/>
      <c r="H26" s="12">
        <f t="shared" ca="1" si="7"/>
        <v>-1661.6738249149439</v>
      </c>
      <c r="I26" s="2">
        <v>24</v>
      </c>
      <c r="J26" s="1">
        <f t="shared" si="8"/>
        <v>6525.59049158161</v>
      </c>
      <c r="K26" s="1">
        <f t="shared" ca="1" si="9"/>
        <v>8503</v>
      </c>
      <c r="L26" s="1">
        <f t="shared" ca="1" si="2"/>
        <v>6525.59049158161</v>
      </c>
      <c r="M26" s="1" t="str">
        <f t="shared" ca="1" si="10"/>
        <v/>
      </c>
      <c r="N26" s="1"/>
      <c r="O26" s="1"/>
      <c r="P26" s="12">
        <f t="shared" ca="1" si="11"/>
        <v>1977.40950841839</v>
      </c>
      <c r="Q26" s="2">
        <v>24</v>
      </c>
      <c r="R26" s="1">
        <f t="shared" si="12"/>
        <v>4163.9999999999991</v>
      </c>
      <c r="S26" s="1">
        <f t="shared" ca="1" si="13"/>
        <v>567</v>
      </c>
      <c r="T26" s="1">
        <f t="shared" ca="1" si="3"/>
        <v>4163.9999999999991</v>
      </c>
      <c r="U26" s="1" t="str">
        <f t="shared" ca="1" si="14"/>
        <v/>
      </c>
      <c r="V26" s="1"/>
      <c r="W26" s="1"/>
      <c r="X26" s="12">
        <f t="shared" ca="1" si="15"/>
        <v>-3596.9999999999991</v>
      </c>
      <c r="Y26" s="2">
        <v>24</v>
      </c>
      <c r="Z26" s="1">
        <f t="shared" si="16"/>
        <v>0</v>
      </c>
      <c r="AA26" s="1">
        <f t="shared" ca="1" si="17"/>
        <v>0</v>
      </c>
      <c r="AB26" s="1">
        <f t="shared" ca="1" si="4"/>
        <v>0</v>
      </c>
      <c r="AC26" s="1" t="str">
        <f t="shared" ca="1" si="18"/>
        <v/>
      </c>
      <c r="AD26" s="1"/>
      <c r="AE26" s="1"/>
      <c r="AF26" s="12">
        <f t="shared" ca="1" si="19"/>
        <v>0</v>
      </c>
      <c r="AG26" s="2">
        <v>24</v>
      </c>
      <c r="AH26" s="1">
        <f t="shared" si="20"/>
        <v>42.083333333333321</v>
      </c>
      <c r="AI26" s="1">
        <f t="shared" ca="1" si="21"/>
        <v>0</v>
      </c>
      <c r="AJ26" s="1">
        <f t="shared" ca="1" si="5"/>
        <v>42.083333333333321</v>
      </c>
      <c r="AK26" s="1" t="str">
        <f t="shared" ca="1" si="22"/>
        <v/>
      </c>
      <c r="AL26" s="1"/>
      <c r="AM26" s="1"/>
      <c r="AN26" s="12">
        <f t="shared" ca="1" si="23"/>
        <v>-42.083333333333321</v>
      </c>
      <c r="AP26" s="2">
        <v>24</v>
      </c>
      <c r="AQ26" s="1">
        <f t="shared" si="24"/>
        <v>0</v>
      </c>
      <c r="AR26" s="1">
        <f t="shared" ca="1" si="25"/>
        <v>0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144</v>
      </c>
      <c r="F28" s="11">
        <f ca="1">SUM(C3:C26)</f>
        <v>251135.5</v>
      </c>
      <c r="G28" s="11">
        <f ca="1">SUM(D3:D26)</f>
        <v>262153.7281762021</v>
      </c>
      <c r="I28" s="10" t="s">
        <v>145</v>
      </c>
      <c r="N28" s="11">
        <f ca="1">SUM(K3:K26)</f>
        <v>168520.5</v>
      </c>
      <c r="O28" s="11">
        <f ca="1">SUM(L3:L26)</f>
        <v>219177.79642926253</v>
      </c>
      <c r="Q28" s="10" t="s">
        <v>145</v>
      </c>
      <c r="V28" s="11">
        <f ca="1">SUM(S3:S26)</f>
        <v>66430</v>
      </c>
      <c r="W28" s="11">
        <f ca="1">SUM(T3:T26)</f>
        <v>56217.36</v>
      </c>
      <c r="Y28" s="10" t="s">
        <v>145</v>
      </c>
      <c r="Z28" s="5"/>
      <c r="AD28" s="11">
        <f ca="1">SUM(AA3:AA26)</f>
        <v>14300</v>
      </c>
      <c r="AE28" s="11">
        <f ca="1">SUM(AB3:AB26)</f>
        <v>0</v>
      </c>
      <c r="AG28" s="10" t="s">
        <v>145</v>
      </c>
      <c r="AL28" s="11">
        <f ca="1">SUM(AI3:AI26)</f>
        <v>1885</v>
      </c>
      <c r="AM28" s="11">
        <f ca="1">SUM(AJ3:AJ26)</f>
        <v>1010.0000000000002</v>
      </c>
      <c r="AP28" s="10" t="s">
        <v>145</v>
      </c>
      <c r="AU28" s="11">
        <f ca="1">SUM(AR3:AR26)</f>
        <v>0</v>
      </c>
      <c r="AV28" s="11">
        <f ca="1">SUM(AS3:AS26)</f>
        <v>0</v>
      </c>
    </row>
    <row r="29" spans="1:63">
      <c r="A29" s="10" t="s">
        <v>146</v>
      </c>
      <c r="F29" s="11">
        <f>SUM(N29,V29,AD29,AL29)</f>
        <v>183067</v>
      </c>
      <c r="G29" s="11">
        <f>SUM(O29,W29,AE29,AM29)</f>
        <v>276405.15642926254</v>
      </c>
      <c r="I29" s="10" t="s">
        <v>147</v>
      </c>
      <c r="N29" s="11">
        <f>'JUSTIFICATIVA DE USINA'!AG2</f>
        <v>166000</v>
      </c>
      <c r="O29" s="11">
        <f>SUM(J3:J26)</f>
        <v>219177.79642926253</v>
      </c>
      <c r="Q29" s="10" t="s">
        <v>147</v>
      </c>
      <c r="V29" s="11">
        <f>'JUSTIFICATIVA DE USINA'!AS2</f>
        <v>67</v>
      </c>
      <c r="W29" s="11">
        <f>SUM(R3:R26)</f>
        <v>56217.36</v>
      </c>
      <c r="Y29" s="10" t="s">
        <v>147</v>
      </c>
      <c r="Z29" s="5"/>
      <c r="AD29" s="11">
        <f>'JUSTIFICATIVA DE USINA'!BE2</f>
        <v>15000</v>
      </c>
      <c r="AE29" s="11">
        <f>SUM(Z3:Z26)</f>
        <v>0</v>
      </c>
      <c r="AG29" s="10" t="s">
        <v>147</v>
      </c>
      <c r="AL29" s="11">
        <f>'JUSTIFICATIVA DE USINA'!BQ2</f>
        <v>2000</v>
      </c>
      <c r="AM29" s="11">
        <f>SUM(AH3:AH26)</f>
        <v>1010.0000000000002</v>
      </c>
      <c r="AP29" s="10" t="s">
        <v>147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103</v>
      </c>
      <c r="D30" s="51">
        <f ca="1">F28-G28</f>
        <v>-11018.228176202101</v>
      </c>
      <c r="H30" s="12"/>
      <c r="K30" t="s">
        <v>103</v>
      </c>
      <c r="L30" s="51">
        <f ca="1">N28-O28</f>
        <v>-50657.296429262526</v>
      </c>
      <c r="S30" t="s">
        <v>103</v>
      </c>
      <c r="T30" s="51">
        <f ca="1">V28-W28</f>
        <v>10212.64</v>
      </c>
      <c r="Z30" s="5"/>
      <c r="AA30" t="s">
        <v>103</v>
      </c>
      <c r="AB30" s="51">
        <f ca="1">AD28-AE28</f>
        <v>14300</v>
      </c>
      <c r="AI30" t="s">
        <v>103</v>
      </c>
      <c r="AJ30" s="51">
        <f ca="1">AL28-AM28</f>
        <v>874.99999999999977</v>
      </c>
      <c r="AR30" t="s">
        <v>103</v>
      </c>
      <c r="AS30" s="51">
        <f ca="1">AU28-AV28</f>
        <v>0</v>
      </c>
    </row>
    <row r="31" spans="1:63">
      <c r="D31" s="12"/>
      <c r="F31" s="50"/>
      <c r="H31" s="12"/>
      <c r="Z31" s="5"/>
    </row>
    <row r="32" spans="1:63" ht="18.75">
      <c r="A32" s="249" t="s">
        <v>148</v>
      </c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7"/>
    </row>
    <row r="33" spans="1:38">
      <c r="A33" s="3" t="s">
        <v>138</v>
      </c>
      <c r="B33" s="4" t="s">
        <v>47</v>
      </c>
      <c r="C33" s="4" t="s">
        <v>49</v>
      </c>
      <c r="D33" s="4" t="s">
        <v>137</v>
      </c>
      <c r="F33" s="12">
        <f>SUM(B3:B26)</f>
        <v>276405.15642926254</v>
      </c>
      <c r="I33" s="3" t="str">
        <f>I2</f>
        <v>USINA 1</v>
      </c>
      <c r="J33" s="4" t="s">
        <v>47</v>
      </c>
      <c r="K33" s="4" t="s">
        <v>49</v>
      </c>
      <c r="L33" s="4" t="s">
        <v>137</v>
      </c>
      <c r="M33" s="8"/>
      <c r="Q33" s="3" t="str">
        <f>Q2</f>
        <v>USINA 2</v>
      </c>
      <c r="R33" s="4" t="s">
        <v>47</v>
      </c>
      <c r="S33" s="4" t="s">
        <v>49</v>
      </c>
      <c r="T33" s="4" t="s">
        <v>137</v>
      </c>
      <c r="U33" s="8"/>
      <c r="Y33" s="3" t="str">
        <f>Y2</f>
        <v>USINA 3</v>
      </c>
      <c r="Z33" s="4" t="s">
        <v>47</v>
      </c>
      <c r="AA33" s="4" t="s">
        <v>49</v>
      </c>
      <c r="AB33" s="4"/>
      <c r="AC33" s="4" t="s">
        <v>137</v>
      </c>
      <c r="AG33" s="3" t="str">
        <f>AG2</f>
        <v>USINA 4</v>
      </c>
      <c r="AH33" s="4" t="s">
        <v>47</v>
      </c>
      <c r="AI33" s="4" t="s">
        <v>49</v>
      </c>
      <c r="AJ33" s="4"/>
      <c r="AK33" s="4" t="s">
        <v>137</v>
      </c>
    </row>
    <row r="34" spans="1:38">
      <c r="A34" s="2">
        <v>1</v>
      </c>
      <c r="B34" s="1">
        <f>B3*24</f>
        <v>234403.83402551748</v>
      </c>
      <c r="C34" s="1">
        <f ca="1">C3*24</f>
        <v>228888</v>
      </c>
      <c r="D34" s="1"/>
      <c r="E34" s="9"/>
      <c r="I34" s="2">
        <v>1</v>
      </c>
      <c r="J34" s="1">
        <f>J3*24</f>
        <v>194099.11402551748</v>
      </c>
      <c r="K34" s="1">
        <f ca="1">K3*24</f>
        <v>195240</v>
      </c>
      <c r="L34" s="1"/>
      <c r="M34" s="9"/>
      <c r="N34" s="9"/>
      <c r="Q34" s="2">
        <v>1</v>
      </c>
      <c r="R34" s="1">
        <f>R3*24</f>
        <v>39294.720000000001</v>
      </c>
      <c r="S34" s="1">
        <f ca="1">S3*24</f>
        <v>0</v>
      </c>
      <c r="T34" s="1"/>
      <c r="U34" s="9"/>
      <c r="V34" s="9"/>
      <c r="Y34" s="2">
        <v>1</v>
      </c>
      <c r="Z34" s="1" t="s">
        <v>149</v>
      </c>
      <c r="AA34" s="1">
        <f ca="1">AA3*24</f>
        <v>33120</v>
      </c>
      <c r="AB34" s="1"/>
      <c r="AC34" s="1"/>
      <c r="AD34" s="9"/>
      <c r="AG34" s="2">
        <v>1</v>
      </c>
      <c r="AH34" s="1">
        <f>AH3*24</f>
        <v>1009.9999999999998</v>
      </c>
      <c r="AI34" s="1">
        <f ca="1">AI3*24</f>
        <v>528</v>
      </c>
      <c r="AJ34" s="1"/>
      <c r="AK34" s="1"/>
      <c r="AL34" s="9"/>
    </row>
    <row r="35" spans="1:38">
      <c r="A35" s="2">
        <v>2</v>
      </c>
      <c r="B35" s="1">
        <f>SUM($B$3:B4)/A4*24</f>
        <v>252618.30344348963</v>
      </c>
      <c r="C35" s="1">
        <f ca="1">IF(C4="","",IF(A35&lt;$A$1,SUM(C3:C4)/A4*24,(SUM(C3:C4)/$A$1)*24))</f>
        <v>240156</v>
      </c>
      <c r="D35" s="1"/>
      <c r="E35" s="9"/>
      <c r="I35" s="2">
        <v>2</v>
      </c>
      <c r="J35" s="1">
        <f>SUM($J$3:J4)/$I$4*24</f>
        <v>223248.94344348958</v>
      </c>
      <c r="K35" s="1">
        <f ca="1">IF(K4="","",IF(I35&lt;$A$1,SUM(K3:K4)/I4*24,(SUM(K3:K4)/$A$1)*24))</f>
        <v>184512</v>
      </c>
      <c r="L35" s="1"/>
      <c r="M35" s="9"/>
      <c r="N35" s="9"/>
      <c r="Q35" s="2">
        <v>2</v>
      </c>
      <c r="R35" s="1">
        <f>SUM($R$3:R4)/Q4*24</f>
        <v>28359.359999999997</v>
      </c>
      <c r="S35" s="1">
        <f ca="1">IF(S4="","",IF(Q35&lt;$A$1,SUM(S3:S4)/Q4*24,(SUM(S3:S4)/$A$1)*24))</f>
        <v>24276</v>
      </c>
      <c r="T35" s="1"/>
      <c r="U35" s="9"/>
      <c r="V35" s="9"/>
      <c r="Y35" s="2">
        <v>2</v>
      </c>
      <c r="Z35" s="1">
        <f>SUM($Z$3:Z4)/Y4*24</f>
        <v>0</v>
      </c>
      <c r="AA35" s="1">
        <f ca="1">IF(AA4="","",IF(Y35&lt;$A$1,SUM(AA3:AA4)/Y4*24,(SUM(AA3:AA4)/$A$1)*24))</f>
        <v>29880</v>
      </c>
      <c r="AB35" s="1"/>
      <c r="AC35" s="1"/>
      <c r="AD35" s="9"/>
      <c r="AG35" s="2">
        <v>2</v>
      </c>
      <c r="AH35" s="1">
        <f>SUM($AH$3:AH4)/AG4*24</f>
        <v>1009.9999999999998</v>
      </c>
      <c r="AI35" s="1">
        <f ca="1">IF(AI4="","",IF(AG35&lt;$A$1,SUM(AI3:AI4)/AG4*24,(SUM(AI3:AI4)/$A$1)*24))</f>
        <v>1488</v>
      </c>
      <c r="AJ35" s="1"/>
      <c r="AK35" s="1"/>
      <c r="AL35" s="9"/>
    </row>
    <row r="36" spans="1:38">
      <c r="A36" s="2">
        <v>3</v>
      </c>
      <c r="B36" s="1">
        <f>SUM($B$3:B5)/A5*24</f>
        <v>251495.89294625696</v>
      </c>
      <c r="C36" s="1">
        <f ca="1">IF(C5="","",IF(A36&lt;$A$1,SUM(C3:C5)/A5*24,(SUM(C3:C5)/$A$1)*24))</f>
        <v>258952</v>
      </c>
      <c r="D36" s="1"/>
      <c r="E36" s="9"/>
      <c r="I36" s="2">
        <v>3</v>
      </c>
      <c r="J36" s="1">
        <f>SUM($J$3:J5)/$I$5*24</f>
        <v>223873.73294625693</v>
      </c>
      <c r="K36" s="1">
        <f ca="1">IF(K5="","",IF(I36&lt;$A$1,SUM(K3:K5)/I5*24,(SUM(K3:K5)/$A$1)*24))</f>
        <v>192784</v>
      </c>
      <c r="L36" s="1"/>
      <c r="M36" s="9"/>
      <c r="N36" s="9"/>
      <c r="Q36" s="2">
        <v>3</v>
      </c>
      <c r="R36" s="1">
        <f>SUM($R$3:R5)/Q5*24</f>
        <v>26612.159999999996</v>
      </c>
      <c r="S36" s="1">
        <f ca="1">IF(S5="","",IF(Q36&lt;$A$1,SUM(S3:S5)/Q5*24,(SUM(S3:S5)/$A$1)*24))</f>
        <v>38632</v>
      </c>
      <c r="T36" s="1"/>
      <c r="U36" s="9"/>
      <c r="V36" s="9"/>
      <c r="Y36" s="2">
        <v>3</v>
      </c>
      <c r="Z36" s="1">
        <f>SUM($Z$3:Z5)/Y5*24</f>
        <v>0</v>
      </c>
      <c r="AA36" s="1">
        <f ca="1">IF(AA5="","",IF(Y36&lt;$A$1,SUM(AA3:AA5)/Y5*24,(SUM(AA3:AA5)/$A$1)*24))</f>
        <v>25280</v>
      </c>
      <c r="AB36" s="1"/>
      <c r="AC36" s="1"/>
      <c r="AD36" s="9"/>
      <c r="AG36" s="2">
        <v>3</v>
      </c>
      <c r="AH36" s="1">
        <f>SUM($AH$3:AH5)/AG5*24</f>
        <v>1009.9999999999998</v>
      </c>
      <c r="AI36" s="1">
        <f ca="1">IF(AI5="","",IF(AG36&lt;$A$1,SUM(AI3:AI5)/AG5*24,(SUM(AI3:AI5)/$A$1)*24))</f>
        <v>2256</v>
      </c>
      <c r="AJ36" s="1"/>
      <c r="AK36" s="1"/>
      <c r="AL36" s="9"/>
    </row>
    <row r="37" spans="1:38">
      <c r="A37" s="2">
        <v>4</v>
      </c>
      <c r="B37" s="1">
        <f>SUM($B$3:B6)/A6*24</f>
        <v>252569.36778419389</v>
      </c>
      <c r="C37" s="1">
        <f ca="1">IF(C6="","",IF(A37&lt;$A$1,SUM(C3:C6)/A6*24,(SUM(C3:C6)/$A$1)*24))</f>
        <v>265116</v>
      </c>
      <c r="D37" s="1"/>
      <c r="E37" s="9"/>
      <c r="I37" s="2">
        <v>4</v>
      </c>
      <c r="J37" s="1">
        <f>SUM($J$3:J6)/$I$6*24</f>
        <v>223511.76778419389</v>
      </c>
      <c r="K37" s="1">
        <f ca="1">IF(K6="","",IF(I37&lt;$A$1,SUM(K3:K6)/I6*24,(SUM(K3:K6)/$A$1)*24))</f>
        <v>197706</v>
      </c>
      <c r="L37" s="1"/>
      <c r="M37" s="9"/>
      <c r="Q37" s="2">
        <v>4</v>
      </c>
      <c r="R37" s="1">
        <f>SUM($R$3:R6)/Q6*24</f>
        <v>28047.599999999999</v>
      </c>
      <c r="S37" s="1">
        <f ca="1">IF(S6="","",IF(Q37&lt;$A$1,SUM(S3:S6)/Q6*24,(SUM(S3:S6)/$A$1)*24))</f>
        <v>44730</v>
      </c>
      <c r="T37" s="1"/>
      <c r="U37" s="9"/>
      <c r="V37" s="9"/>
      <c r="Y37" s="2">
        <v>4</v>
      </c>
      <c r="Z37" s="1">
        <f>SUM($Z$3:Z6)/Y6*24</f>
        <v>0</v>
      </c>
      <c r="AA37" s="1">
        <f ca="1">IF(AA6="","",IF(Y37&lt;$A$1,SUM(AA3:AA6)/Y6*24,(SUM(AA3:AA6)/$A$1)*24))</f>
        <v>20220</v>
      </c>
      <c r="AB37" s="1"/>
      <c r="AC37" s="1"/>
      <c r="AD37" s="9"/>
      <c r="AG37" s="2">
        <v>4</v>
      </c>
      <c r="AH37" s="1">
        <f>SUM($AH$3:AH6)/AG6*24</f>
        <v>1009.9999999999998</v>
      </c>
      <c r="AI37" s="1">
        <f ca="1">IF(AI6="","",IF(AG37&lt;$A$1,SUM(AI3:AI6)/AG6*24,(SUM(AI3:AI6)/$A$1)*24))</f>
        <v>2460</v>
      </c>
      <c r="AJ37" s="1"/>
      <c r="AK37" s="1"/>
      <c r="AL37" s="9"/>
    </row>
    <row r="38" spans="1:38">
      <c r="A38" s="2">
        <v>5</v>
      </c>
      <c r="B38" s="1">
        <f>SUM($B$3:B7)/A7*24</f>
        <v>253889.02260846429</v>
      </c>
      <c r="C38" s="1">
        <f ca="1">IF(C7="","",IF(A38&lt;$A$1,SUM(C3:C7)/A7*24,(SUM(C3:C7)/$A$1)*24))</f>
        <v>273940.80000000005</v>
      </c>
      <c r="D38" s="1"/>
      <c r="E38" s="9"/>
      <c r="I38" s="2">
        <v>5</v>
      </c>
      <c r="J38" s="1">
        <f>SUM($J$3:J7)/$I$7*24</f>
        <v>223471.3426084643</v>
      </c>
      <c r="K38" s="1">
        <f ca="1">IF(K7="","",IF(I38&lt;$A$1,SUM(K3:K7)/I7*24,(SUM(K3:K7)/$A$1)*24))</f>
        <v>197064</v>
      </c>
      <c r="L38" s="1"/>
      <c r="M38" s="9"/>
      <c r="N38" s="9"/>
      <c r="Q38" s="2">
        <v>5</v>
      </c>
      <c r="R38" s="1">
        <f>SUM($R$3:R7)/Q7*24</f>
        <v>29407.68</v>
      </c>
      <c r="S38" s="1">
        <f ca="1">IF(S7="","",IF(Q38&lt;$A$1,SUM(S3:S7)/Q7*24,(SUM(S3:S7)/$A$1)*24))</f>
        <v>46756.800000000003</v>
      </c>
      <c r="T38" s="1"/>
      <c r="U38" s="9"/>
      <c r="V38" s="9"/>
      <c r="Y38" s="2">
        <v>5</v>
      </c>
      <c r="Z38" s="1">
        <f>SUM($Z$3:Z7)/Y7*24</f>
        <v>0</v>
      </c>
      <c r="AA38" s="1">
        <f ca="1">IF(AA7="","",IF(Y38&lt;$A$1,SUM(AA3:AA7)/Y7*24,(SUM(AA3:AA7)/$A$1)*24))</f>
        <v>27408</v>
      </c>
      <c r="AB38" s="1"/>
      <c r="AC38" s="1"/>
      <c r="AD38" s="9"/>
      <c r="AG38" s="2">
        <v>5</v>
      </c>
      <c r="AH38" s="1">
        <f>SUM($AH$3:AH7)/AG7*24</f>
        <v>1009.9999999999998</v>
      </c>
      <c r="AI38" s="1">
        <f ca="1">IF(AI7="","",IF(AG38&lt;$A$1,SUM(AI3:AI7)/AG7*24,(SUM(AI3:AI7)/$A$1)*24))</f>
        <v>2712</v>
      </c>
      <c r="AJ38" s="1"/>
      <c r="AK38" s="1"/>
      <c r="AL38" s="9"/>
    </row>
    <row r="39" spans="1:38">
      <c r="A39" s="2">
        <v>6</v>
      </c>
      <c r="B39" s="1">
        <f>SUM($B$3:B8)/A8*24</f>
        <v>255380.19615385169</v>
      </c>
      <c r="C39" s="1">
        <f ca="1">IF(C8="","",IF(A39&lt;$A$1,SUM(C3:C8)/A8*24,(SUM(C3:C8)/$A$1)*24))</f>
        <v>278892</v>
      </c>
      <c r="D39" s="1"/>
      <c r="E39" s="9"/>
      <c r="I39" s="2">
        <v>6</v>
      </c>
      <c r="J39" s="1">
        <f>SUM($J$3:J8)/$I$8*24</f>
        <v>227167.63615385164</v>
      </c>
      <c r="K39" s="1">
        <f ca="1">IF(K8="","",IF(I39&lt;$A$1,SUM(K3:K8)/I8*24,(SUM(K3:K8)/$A$1)*24))</f>
        <v>201320</v>
      </c>
      <c r="L39" s="1"/>
      <c r="M39" s="9"/>
      <c r="N39" s="9"/>
      <c r="Q39" s="2">
        <v>6</v>
      </c>
      <c r="R39" s="1">
        <f>SUM($R$3:R8)/Q8*24</f>
        <v>27202.559999999998</v>
      </c>
      <c r="S39" s="1">
        <f ca="1">IF(S8="","",IF(Q39&lt;$A$1,SUM(S3:S8)/Q8*24,(SUM(S3:S8)/$A$1)*24))</f>
        <v>46648</v>
      </c>
      <c r="T39" s="1"/>
      <c r="U39" s="9"/>
      <c r="V39" s="9"/>
      <c r="Y39" s="2">
        <v>6</v>
      </c>
      <c r="Z39" s="1">
        <f>SUM($Z$3:Z8)/Y8*24</f>
        <v>0</v>
      </c>
      <c r="AA39" s="1">
        <f ca="1">IF(AA8="","",IF(Y39&lt;$A$1,SUM(AA3:AA8)/Y8*24,(SUM(AA3:AA8)/$A$1)*24))</f>
        <v>28360</v>
      </c>
      <c r="AB39" s="1"/>
      <c r="AC39" s="1"/>
      <c r="AD39" s="9"/>
      <c r="AG39" s="2">
        <v>6</v>
      </c>
      <c r="AH39" s="1">
        <f>SUM($AH$3:AH8)/AG8*24</f>
        <v>1009.9999999999998</v>
      </c>
      <c r="AI39" s="1">
        <f ca="1">IF(AI8="","",IF(AG39&lt;$A$1,SUM(AI3:AI8)/AG8*24,(SUM(AI3:AI8)/$A$1)*24))</f>
        <v>2564</v>
      </c>
      <c r="AJ39" s="1"/>
      <c r="AK39" s="1"/>
      <c r="AL39" s="9"/>
    </row>
    <row r="40" spans="1:38">
      <c r="A40" s="2">
        <v>7</v>
      </c>
      <c r="B40" s="1">
        <f>SUM($B$3:B9)/A9*24</f>
        <v>260507.36830953081</v>
      </c>
      <c r="C40" s="1">
        <f ca="1">IF(C9="","",IF(A40&lt;$A$1,SUM(C3:C9)/A9*24,(SUM(C3:C9)/$A$1)*24))</f>
        <v>269008.45714285714</v>
      </c>
      <c r="D40" s="1"/>
      <c r="E40" s="9"/>
      <c r="I40" s="2">
        <v>7</v>
      </c>
      <c r="J40" s="1">
        <f>SUM($J$3:J9)/$I$9*24</f>
        <v>229958.03116667364</v>
      </c>
      <c r="K40" s="1">
        <f ca="1">IF(K9="","",IF(I40&lt;$A$1,SUM(K3:K9)/I9*24,(SUM(K3:K9)/$A$1)*24))</f>
        <v>197461.02857142861</v>
      </c>
      <c r="L40" s="1"/>
      <c r="M40" s="9"/>
      <c r="N40" s="9"/>
      <c r="Q40" s="2">
        <v>7</v>
      </c>
      <c r="R40" s="1">
        <f>SUM($R$3:R9)/Q9*24</f>
        <v>29539.337142857141</v>
      </c>
      <c r="S40" s="1">
        <f ca="1">IF(S9="","",IF(Q40&lt;$A$1,SUM(S3:S9)/Q9*24,(SUM(S3:S9)/$A$1)*24))</f>
        <v>45041.142857142855</v>
      </c>
      <c r="T40" s="1"/>
      <c r="U40" s="9"/>
      <c r="V40" s="9"/>
      <c r="Y40" s="2">
        <v>7</v>
      </c>
      <c r="Z40" s="1">
        <f>SUM($Z$3:Z9)/Y9*24</f>
        <v>0</v>
      </c>
      <c r="AA40" s="1">
        <f ca="1">IF(AA9="","",IF(Y40&lt;$A$1,SUM(AA3:AA9)/Y9*24,(SUM(AA3:AA9)/$A$1)*24))</f>
        <v>24308.571428571428</v>
      </c>
      <c r="AB40" s="1"/>
      <c r="AC40" s="1"/>
      <c r="AD40" s="9"/>
      <c r="AG40" s="2">
        <v>7</v>
      </c>
      <c r="AH40" s="1">
        <f>SUM($AH$3:AH9)/AG9*24</f>
        <v>1009.9999999999998</v>
      </c>
      <c r="AI40" s="1">
        <f ca="1">IF(AI9="","",IF(AG40&lt;$A$1,SUM(AI3:AI9)/AG9*24,(SUM(AI3:AI9)/$A$1)*24))</f>
        <v>2197.7142857142858</v>
      </c>
      <c r="AJ40" s="1"/>
      <c r="AK40" s="1"/>
      <c r="AL40" s="9"/>
    </row>
    <row r="41" spans="1:38">
      <c r="A41" s="2">
        <v>8</v>
      </c>
      <c r="B41" s="1">
        <f>SUM($B$3:B10)/A10*24</f>
        <v>259872.55488358688</v>
      </c>
      <c r="C41" s="1">
        <f ca="1">IF(C10="","",IF(A41&lt;$A$1,SUM(C3:C10)/A10*24,(SUM(C3:C10)/$A$1)*24))</f>
        <v>263681.7</v>
      </c>
      <c r="D41" s="1"/>
      <c r="E41" s="9"/>
      <c r="I41" s="2">
        <v>8</v>
      </c>
      <c r="J41" s="1">
        <f>SUM($J$3:J10)/$I$10*24</f>
        <v>227947.9148835869</v>
      </c>
      <c r="K41" s="1">
        <f ca="1">IF(K10="","",IF(I41&lt;$A$1,SUM(K3:K10)/I10*24,(SUM(K3:K10)/$A$1)*24))</f>
        <v>192398.7</v>
      </c>
      <c r="L41" s="1"/>
      <c r="M41" s="9"/>
      <c r="N41" s="9"/>
      <c r="Q41" s="2">
        <v>8</v>
      </c>
      <c r="R41" s="1">
        <f>SUM($R$3:R10)/Q10*24</f>
        <v>30914.639999999999</v>
      </c>
      <c r="S41" s="1">
        <f ca="1">IF(S10="","",IF(Q41&lt;$A$1,SUM(S3:S10)/Q10*24,(SUM(S3:S10)/$A$1)*24))</f>
        <v>45147</v>
      </c>
      <c r="T41" s="1"/>
      <c r="U41" s="9"/>
      <c r="V41" s="9"/>
      <c r="Y41" s="2">
        <v>8</v>
      </c>
      <c r="Z41" s="1">
        <f>SUM($Z$3:Z10)/Y10*24</f>
        <v>0</v>
      </c>
      <c r="AA41" s="1">
        <f ca="1">IF(AA10="","",IF(Y41&lt;$A$1,SUM(AA3:AA10)/Y10*24,(SUM(AA3:AA10)/$A$1)*24))</f>
        <v>24150</v>
      </c>
      <c r="AB41" s="1"/>
      <c r="AC41" s="1"/>
      <c r="AD41" s="9"/>
      <c r="AG41" s="2">
        <v>8</v>
      </c>
      <c r="AH41" s="1">
        <f>SUM($AH$3:AH10)/AG10*24</f>
        <v>1009.9999999999998</v>
      </c>
      <c r="AI41" s="1">
        <f ca="1">IF(AI10="","",IF(AG41&lt;$A$1,SUM(AI3:AI10)/AG10*24,(SUM(AI3:AI10)/$A$1)*24))</f>
        <v>1986</v>
      </c>
      <c r="AJ41" s="1"/>
      <c r="AK41" s="1"/>
      <c r="AL41" s="9"/>
    </row>
    <row r="42" spans="1:38">
      <c r="A42" s="2">
        <v>9</v>
      </c>
      <c r="B42" s="1">
        <f>SUM($B$3:B11)/A11*24</f>
        <v>262542.71186107642</v>
      </c>
      <c r="C42" s="1">
        <f ca="1">IF(C11="","",IF(A42&lt;$A$1,SUM(C3:C11)/A11*24,(SUM(C3:C11)/$A$1)*24))</f>
        <v>263468.26666666666</v>
      </c>
      <c r="D42" s="1"/>
      <c r="E42" s="9"/>
      <c r="I42" s="2">
        <v>9</v>
      </c>
      <c r="J42" s="1">
        <f>SUM($J$3:J11)/$I$11*24</f>
        <v>228915.75186107639</v>
      </c>
      <c r="K42" s="1">
        <f ca="1">IF(K11="","",IF(I42&lt;$A$1,SUM(K3:K11)/I11*24,(SUM(K3:K11)/$A$1)*24))</f>
        <v>184654.93333333335</v>
      </c>
      <c r="L42" s="1"/>
      <c r="M42" s="9"/>
      <c r="N42" s="9"/>
      <c r="Q42" s="2">
        <v>9</v>
      </c>
      <c r="R42" s="1">
        <f>SUM($R$3:R11)/Q11*24</f>
        <v>32616.959999999999</v>
      </c>
      <c r="S42" s="1">
        <f ca="1">IF(S11="","",IF(Q42&lt;$A$1,SUM(S3:S11)/Q11*24,(SUM(S3:S11)/$A$1)*24))</f>
        <v>51034.666666666664</v>
      </c>
      <c r="T42" s="1"/>
      <c r="U42" s="9"/>
      <c r="V42" s="9"/>
      <c r="Y42" s="2">
        <v>9</v>
      </c>
      <c r="Z42" s="1">
        <f>SUM($Z$3:Z11)/Y11*24</f>
        <v>0</v>
      </c>
      <c r="AA42" s="1">
        <f ca="1">IF(AA11="","",IF(Y42&lt;$A$1,SUM(AA3:AA11)/Y11*24,(SUM(AA3:AA11)/$A$1)*24))</f>
        <v>25653.333333333336</v>
      </c>
      <c r="AB42" s="1"/>
      <c r="AC42" s="1"/>
      <c r="AD42" s="9"/>
      <c r="AG42" s="2">
        <v>9</v>
      </c>
      <c r="AH42" s="1">
        <f>SUM($AH$3:AH11)/AG11*24</f>
        <v>1009.9999999999998</v>
      </c>
      <c r="AI42" s="1">
        <f ca="1">IF(AI11="","",IF(AG42&lt;$A$1,SUM(AI3:AI11)/AG11*24,(SUM(AI3:AI11)/$A$1)*24))</f>
        <v>2125.3333333333335</v>
      </c>
      <c r="AJ42" s="1"/>
      <c r="AK42" s="1"/>
      <c r="AL42" s="9"/>
    </row>
    <row r="43" spans="1:38">
      <c r="A43" s="2">
        <v>10</v>
      </c>
      <c r="B43" s="1">
        <f>SUM($B$3:B12)/A12*24</f>
        <v>263928.09443844343</v>
      </c>
      <c r="C43" s="1">
        <f ca="1">IF(C12="","",IF(A43&lt;$A$1,SUM(C3:C12)/A12*24,(SUM(C3:C12)/$A$1)*24))</f>
        <v>259231.44000000003</v>
      </c>
      <c r="D43" s="1"/>
      <c r="E43" s="9"/>
      <c r="I43" s="2">
        <v>10</v>
      </c>
      <c r="J43" s="1">
        <f>SUM($J$3:J12)/$I$12*24</f>
        <v>229508.65443844348</v>
      </c>
      <c r="K43" s="1">
        <f ca="1">IF(K12="","",IF(I43&lt;$A$1,SUM(K3:K12)/I12*24,(SUM(K3:K12)/$A$1)*24))</f>
        <v>178680.24</v>
      </c>
      <c r="L43" s="1"/>
      <c r="M43" s="9"/>
      <c r="N43" s="9"/>
      <c r="Q43" s="2">
        <v>10</v>
      </c>
      <c r="R43" s="1">
        <f>SUM($R$3:R12)/Q12*24</f>
        <v>33409.440000000002</v>
      </c>
      <c r="S43" s="1">
        <f ca="1">IF(S12="","",IF(Q43&lt;$A$1,SUM(S3:S12)/Q12*24,(SUM(S3:S12)/$A$1)*24))</f>
        <v>53875.200000000004</v>
      </c>
      <c r="T43" s="1"/>
      <c r="U43" s="9"/>
      <c r="V43" s="9">
        <f>4*4.2</f>
        <v>16.8</v>
      </c>
      <c r="Y43" s="2">
        <v>10</v>
      </c>
      <c r="Z43" s="1">
        <f>SUM($Z$3:Z12)/Y12*24</f>
        <v>0</v>
      </c>
      <c r="AA43" s="1">
        <f ca="1">IF(AA12="","",IF(Y43&lt;$A$1,SUM(AA3:AA12)/Y12*24,(SUM(AA3:AA12)/$A$1)*24))</f>
        <v>24312</v>
      </c>
      <c r="AB43" s="1"/>
      <c r="AC43" s="1"/>
      <c r="AD43" s="9"/>
      <c r="AG43" s="2">
        <v>10</v>
      </c>
      <c r="AH43" s="1">
        <f>SUM($AH$3:AH12)/AG12*24</f>
        <v>1009.9999999999998</v>
      </c>
      <c r="AI43" s="1">
        <f ca="1">IF(AI12="","",IF(AG43&lt;$A$1,SUM(AI3:AI12)/AG12*24,(SUM(AI3:AI12)/$A$1)*24))</f>
        <v>2364</v>
      </c>
      <c r="AJ43" s="1"/>
      <c r="AK43" s="1"/>
      <c r="AL43" s="9"/>
    </row>
    <row r="44" spans="1:38">
      <c r="A44" s="2">
        <v>11</v>
      </c>
      <c r="B44" s="1">
        <f>SUM($B$3:B13)/A13*24</f>
        <v>266246.8288692385</v>
      </c>
      <c r="C44" s="1">
        <f ca="1">IF(C13="","",IF(A44&lt;$A$1,SUM(C3:C13)/A13*24,(SUM(C3:C13)/$A$1)*24))</f>
        <v>254357.45454545453</v>
      </c>
      <c r="D44" s="1"/>
      <c r="E44" s="9"/>
      <c r="I44" s="2">
        <v>11</v>
      </c>
      <c r="J44" s="1">
        <f>SUM($J$3:J13)/$I$13*24</f>
        <v>229708.36341469307</v>
      </c>
      <c r="K44" s="1">
        <f ca="1">IF(K13="","",IF(I44&lt;$A$1,SUM(K3:K13)/I13*24,(SUM(K3:K13)/$A$1)*24))</f>
        <v>173278.90909090909</v>
      </c>
      <c r="L44" s="1"/>
      <c r="M44" s="9"/>
      <c r="N44" s="9"/>
      <c r="Q44" s="2">
        <v>11</v>
      </c>
      <c r="R44" s="1">
        <f>SUM($R$3:R13)/Q13*24</f>
        <v>35528.465454545447</v>
      </c>
      <c r="S44" s="1">
        <f ca="1">IF(S13="","",IF(Q44&lt;$A$1,SUM(S3:S13)/Q13*24,(SUM(S3:S13)/$A$1)*24))</f>
        <v>56437.090909090912</v>
      </c>
      <c r="T44" s="1"/>
      <c r="U44" s="9"/>
      <c r="V44" s="9"/>
      <c r="Y44" s="2">
        <v>11</v>
      </c>
      <c r="Z44" s="1">
        <f>SUM($Z$3:Z13)/Y13*24</f>
        <v>0</v>
      </c>
      <c r="AA44" s="1">
        <f ca="1">IF(AA13="","",IF(Y44&lt;$A$1,SUM(AA3:AA13)/Y13*24,(SUM(AA3:AA13)/$A$1)*24))</f>
        <v>22101.81818181818</v>
      </c>
      <c r="AB44" s="1"/>
      <c r="AC44" s="1"/>
      <c r="AD44" s="9"/>
      <c r="AG44" s="2">
        <v>11</v>
      </c>
      <c r="AH44" s="1">
        <f>SUM($AH$3:AH13)/AG13*24</f>
        <v>1009.9999999999998</v>
      </c>
      <c r="AI44" s="1">
        <f ca="1">IF(AI13="","",IF(AG44&lt;$A$1,SUM(AI3:AI13)/AG13*24,(SUM(AI3:AI13)/$A$1)*24))</f>
        <v>2539.6363636363635</v>
      </c>
      <c r="AJ44" s="1"/>
      <c r="AK44" s="1"/>
      <c r="AL44" s="9"/>
    </row>
    <row r="45" spans="1:38">
      <c r="A45" s="2">
        <v>12</v>
      </c>
      <c r="B45" s="1">
        <f>SUM($B$3:B14)/A14*24</f>
        <v>266154.98227373516</v>
      </c>
      <c r="C45" s="1">
        <f ca="1">IF(C14="","",IF(A45&lt;$A$1,SUM(C3:C14)/A14*24,(SUM(C3:C14)/$A$1)*24))</f>
        <v>254183.8</v>
      </c>
      <c r="D45" s="1"/>
      <c r="E45" s="9"/>
      <c r="I45" s="2">
        <v>12</v>
      </c>
      <c r="J45" s="1">
        <f>SUM($J$3:J14)/$I$14*24</f>
        <v>230399.22227373515</v>
      </c>
      <c r="K45" s="1">
        <f ca="1">IF(K14="","",IF(I45&lt;$A$1,SUM(K3:K14)/I14*24,(SUM(K3:K14)/$A$1)*24))</f>
        <v>172055.8</v>
      </c>
      <c r="L45" s="1"/>
      <c r="M45" s="9"/>
      <c r="N45" s="9"/>
      <c r="Q45" s="2">
        <v>12</v>
      </c>
      <c r="R45" s="1">
        <f>SUM($R$3:R14)/Q14*24</f>
        <v>34745.759999999995</v>
      </c>
      <c r="S45" s="1">
        <f ca="1">IF(S14="","",IF(Q45&lt;$A$1,SUM(S3:S14)/Q14*24,(SUM(S3:S14)/$A$1)*24))</f>
        <v>59270</v>
      </c>
      <c r="T45" s="1"/>
      <c r="U45" s="9"/>
      <c r="V45" s="9"/>
      <c r="Y45" s="2">
        <v>12</v>
      </c>
      <c r="Z45" s="1">
        <f>SUM($Z$3:Z14)/Y14*24</f>
        <v>0</v>
      </c>
      <c r="AA45" s="1">
        <f ca="1">IF(AA14="","",IF(Y45&lt;$A$1,SUM(AA3:AA14)/Y14*24,(SUM(AA3:AA14)/$A$1)*24))</f>
        <v>20400</v>
      </c>
      <c r="AB45" s="1"/>
      <c r="AC45" s="1"/>
      <c r="AD45" s="9"/>
      <c r="AG45" s="2">
        <v>12</v>
      </c>
      <c r="AH45" s="1">
        <f>SUM($AH$3:AH14)/AG14*24</f>
        <v>1009.9999999999998</v>
      </c>
      <c r="AI45" s="1">
        <f ca="1">IF(AI14="","",IF(AG45&lt;$A$1,SUM(AI3:AI14)/AG14*24,(SUM(AI3:AI14)/$A$1)*24))</f>
        <v>2458</v>
      </c>
      <c r="AJ45" s="1"/>
      <c r="AK45" s="1"/>
      <c r="AL45" s="9"/>
    </row>
    <row r="46" spans="1:38">
      <c r="A46" s="2">
        <v>13</v>
      </c>
      <c r="B46" s="1">
        <f>SUM($B$3:B15)/A15*24</f>
        <v>261511.80775455834</v>
      </c>
      <c r="C46" s="1">
        <f ca="1">IF(C15="","",IF(A46&lt;$A$1,SUM(C3:C15)/A15*24,(SUM(C3:C15)/$A$1)*24))</f>
        <v>256535.26153846155</v>
      </c>
      <c r="D46" s="1"/>
      <c r="E46" s="9"/>
      <c r="I46" s="2">
        <v>13</v>
      </c>
      <c r="J46" s="1">
        <f>SUM($J$3:J15)/$I$15*24</f>
        <v>226418.33698532759</v>
      </c>
      <c r="K46" s="1">
        <f ca="1">IF(K15="","",IF(I46&lt;$A$1,SUM(K3:K15)/I15*24,(SUM(K3:K15)/$A$1)*24))</f>
        <v>172238.03076923077</v>
      </c>
      <c r="L46" s="1"/>
      <c r="M46" s="9"/>
      <c r="N46" s="9"/>
      <c r="Q46" s="2">
        <v>13</v>
      </c>
      <c r="R46" s="1">
        <f>SUM($R$3:R15)/Q15*24</f>
        <v>34083.470769230764</v>
      </c>
      <c r="S46" s="1">
        <f ca="1">IF(S15="","",IF(Q46&lt;$A$1,SUM(S3:S15)/Q15*24,(SUM(S3:S15)/$A$1)*24))</f>
        <v>63197.538461538454</v>
      </c>
      <c r="T46" s="1"/>
      <c r="U46" s="9"/>
      <c r="V46" s="9"/>
      <c r="Y46" s="2">
        <v>13</v>
      </c>
      <c r="Z46" s="1">
        <f>SUM($Z$3:Z15)/Y15*24</f>
        <v>0</v>
      </c>
      <c r="AA46" s="1">
        <f ca="1">IF(AA15="","",IF(Y46&lt;$A$1,SUM(AA3:AA15)/Y15*24,(SUM(AA3:AA15)/$A$1)*24))</f>
        <v>18830.76923076923</v>
      </c>
      <c r="AB46" s="1"/>
      <c r="AC46" s="1"/>
      <c r="AD46" s="9"/>
      <c r="AG46" s="2">
        <v>13</v>
      </c>
      <c r="AH46" s="1">
        <f>SUM($AH$3:AH15)/AG15*24</f>
        <v>1009.9999999999998</v>
      </c>
      <c r="AI46" s="1">
        <f ca="1">IF(AI15="","",IF(AG46&lt;$A$1,SUM(AI3:AI15)/AG15*24,(SUM(AI3:AI15)/$A$1)*24))</f>
        <v>2268.9230769230767</v>
      </c>
      <c r="AJ46" s="1"/>
      <c r="AK46" s="1"/>
      <c r="AL46" s="9"/>
    </row>
    <row r="47" spans="1:38">
      <c r="A47" s="2">
        <v>14</v>
      </c>
      <c r="B47" s="1">
        <f>SUM($B$3:B16)/A16*24</f>
        <v>258326.38228658854</v>
      </c>
      <c r="C47" s="1">
        <f ca="1">IF(C16="","",IF(A47&lt;$A$1,SUM(C3:C16)/A16*24,(SUM(C3:C16)/$A$1)*24))</f>
        <v>253758</v>
      </c>
      <c r="D47" s="1"/>
      <c r="E47" s="9"/>
      <c r="I47" s="2">
        <v>14</v>
      </c>
      <c r="J47" s="1">
        <f>SUM($J$3:J16)/$I$16*24</f>
        <v>221603.14800087429</v>
      </c>
      <c r="K47" s="1">
        <f ca="1">IF(K16="","",IF(I47&lt;$A$1,SUM(K3:K16)/I16*24,(SUM(K3:K16)/$A$1)*24))</f>
        <v>169883.14285714284</v>
      </c>
      <c r="L47" s="1"/>
      <c r="M47" s="9"/>
      <c r="N47" s="9"/>
      <c r="Q47" s="2">
        <v>14</v>
      </c>
      <c r="R47" s="1">
        <f>SUM($R$3:R16)/Q16*24</f>
        <v>35713.234285714279</v>
      </c>
      <c r="S47" s="1">
        <f ca="1">IF(S16="","",IF(Q47&lt;$A$1,SUM(S3:S16)/Q16*24,(SUM(S3:S16)/$A$1)*24))</f>
        <v>63138.857142857145</v>
      </c>
      <c r="T47" s="1"/>
      <c r="U47" s="9"/>
      <c r="V47" s="9"/>
      <c r="Y47" s="2">
        <v>14</v>
      </c>
      <c r="Z47" s="1">
        <f>SUM($Z$3:Z16)/Y16*24</f>
        <v>0</v>
      </c>
      <c r="AA47" s="1">
        <f ca="1">IF(AA16="","",IF(Y47&lt;$A$1,SUM(AA3:AA16)/Y16*24,(SUM(AA3:AA16)/$A$1)*24))</f>
        <v>18445.714285714286</v>
      </c>
      <c r="AB47" s="1"/>
      <c r="AC47" s="1"/>
      <c r="AD47" s="9"/>
      <c r="AG47" s="2">
        <v>14</v>
      </c>
      <c r="AH47" s="1">
        <f>SUM($AH$3:AH16)/AG16*24</f>
        <v>1009.9999999999998</v>
      </c>
      <c r="AI47" s="1">
        <f ca="1">IF(AI16="","",IF(AG47&lt;$A$1,SUM(AI3:AI16)/AG16*24,(SUM(AI3:AI16)/$A$1)*24))</f>
        <v>2290.2857142857142</v>
      </c>
      <c r="AJ47" s="1"/>
      <c r="AK47" s="1"/>
      <c r="AL47" s="9"/>
    </row>
    <row r="48" spans="1:38">
      <c r="A48" s="2">
        <v>15</v>
      </c>
      <c r="B48" s="1">
        <f>SUM($B$3:B17)/A17*24</f>
        <v>255591.7366748802</v>
      </c>
      <c r="C48" s="1">
        <f ca="1">IF(C17="","",IF(A48&lt;$A$1,SUM(C3:C17)/A17*24,(SUM(C3:C17)/$A$1)*24))</f>
        <v>254195.84000000003</v>
      </c>
      <c r="D48" s="1"/>
      <c r="E48" s="9"/>
      <c r="I48" s="2">
        <v>15</v>
      </c>
      <c r="J48" s="1">
        <f>SUM($J$3:J17)/$I$17*24</f>
        <v>216590.8886748802</v>
      </c>
      <c r="K48" s="1">
        <f ca="1">IF(K17="","",IF(I48&lt;$A$1,SUM(K3:K17)/I17*24,(SUM(K3:K17)/$A$1)*24))</f>
        <v>168109.43999999997</v>
      </c>
      <c r="L48" s="1"/>
      <c r="M48" s="9"/>
      <c r="N48" s="9"/>
      <c r="Q48" s="2">
        <v>15</v>
      </c>
      <c r="R48" s="1">
        <f>SUM($R$3:R17)/Q17*24</f>
        <v>37990.847999999998</v>
      </c>
      <c r="S48" s="1">
        <f ca="1">IF(S17="","",IF(Q48&lt;$A$1,SUM(S3:S17)/Q17*24,(SUM(S3:S17)/$A$1)*24))</f>
        <v>65532.800000000003</v>
      </c>
      <c r="T48" s="1"/>
      <c r="U48" s="9"/>
      <c r="V48" s="9"/>
      <c r="Y48" s="2">
        <v>15</v>
      </c>
      <c r="Z48" s="1">
        <f>SUM($Z$3:Z17)/Y17*24</f>
        <v>0</v>
      </c>
      <c r="AA48" s="1">
        <f ca="1">IF(AA17="","",IF(Y48&lt;$A$1,SUM(AA3:AA17)/Y17*24,(SUM(AA3:AA17)/$A$1)*24))</f>
        <v>18144</v>
      </c>
      <c r="AB48" s="1"/>
      <c r="AC48" s="1"/>
      <c r="AD48" s="9"/>
      <c r="AG48" s="2">
        <v>15</v>
      </c>
      <c r="AH48" s="1">
        <f>SUM($AH$3:AH17)/AG17*24</f>
        <v>1009.9999999999999</v>
      </c>
      <c r="AI48" s="1">
        <f ca="1">IF(AI17="","",IF(AG48&lt;$A$1,SUM(AI3:AI17)/AG17*24,(SUM(AI3:AI17)/$A$1)*24))</f>
        <v>2409.6000000000004</v>
      </c>
      <c r="AJ48" s="1"/>
      <c r="AK48" s="1"/>
      <c r="AL48" s="9"/>
    </row>
    <row r="49" spans="1:38">
      <c r="A49" s="2">
        <v>16</v>
      </c>
      <c r="B49" s="1">
        <f>SUM($B$3:B18)/A18*24</f>
        <v>253505.05638584244</v>
      </c>
      <c r="C49" s="1">
        <f ca="1">IF(C18="","",IF(A49&lt;$A$1,SUM(C3:C18)/A18*24,(SUM(C3:C18)/$A$1)*24))</f>
        <v>251381.84999999998</v>
      </c>
      <c r="D49" s="1"/>
      <c r="E49" s="9"/>
      <c r="I49" s="2">
        <v>16</v>
      </c>
      <c r="J49" s="1">
        <f>SUM($J$3:J18)/$I$18*24</f>
        <v>213788.93638584239</v>
      </c>
      <c r="K49" s="1">
        <f ca="1">IF(K18="","",IF(I49&lt;$A$1,SUM(K3:K18)/I18*24,(SUM(K3:K18)/$A$1)*24))</f>
        <v>165676.34999999998</v>
      </c>
      <c r="L49" s="1"/>
      <c r="M49" s="9"/>
      <c r="N49" s="9"/>
      <c r="Q49" s="2">
        <v>16</v>
      </c>
      <c r="R49" s="1">
        <f>SUM($R$3:R18)/Q18*24</f>
        <v>38706.119999999995</v>
      </c>
      <c r="S49" s="1">
        <f ca="1">IF(S18="","",IF(Q49&lt;$A$1,SUM(S3:S18)/Q18*24,(SUM(S3:S18)/$A$1)*24))</f>
        <v>65535</v>
      </c>
      <c r="T49" s="1"/>
      <c r="U49" s="9"/>
      <c r="V49" s="9"/>
      <c r="Y49" s="2">
        <v>16</v>
      </c>
      <c r="Z49" s="1">
        <f>SUM($Z$3:Z18)/Y18*24</f>
        <v>0</v>
      </c>
      <c r="AA49" s="1">
        <f ca="1">IF(AA18="","",IF(Y49&lt;$A$1,SUM(AA3:AA18)/Y18*24,(SUM(AA3:AA18)/$A$1)*24))</f>
        <v>17775</v>
      </c>
      <c r="AB49" s="1"/>
      <c r="AC49" s="1"/>
      <c r="AD49" s="9"/>
      <c r="AG49" s="2">
        <v>16</v>
      </c>
      <c r="AH49" s="1">
        <f>SUM($AH$3:AH18)/AG18*24</f>
        <v>1009.9999999999999</v>
      </c>
      <c r="AI49" s="1">
        <f ca="1">IF(AI18="","",IF(AG49&lt;$A$1,SUM(AI3:AI18)/AG18*24,(SUM(AI3:AI18)/$A$1)*24))</f>
        <v>2395.5</v>
      </c>
      <c r="AJ49" s="1"/>
      <c r="AK49" s="1"/>
      <c r="AL49" s="9"/>
    </row>
    <row r="50" spans="1:38">
      <c r="A50" s="2">
        <v>17</v>
      </c>
      <c r="B50" s="1">
        <f>SUM($B$3:B19)/A19*24</f>
        <v>258559.09307950072</v>
      </c>
      <c r="C50" s="1">
        <f ca="1">IF(C19="","",IF(A50&lt;$A$1,SUM(C3:C19)/A19*24,(SUM(C3:C19)/$A$1)*24))</f>
        <v>252070.44705882354</v>
      </c>
      <c r="D50" s="1"/>
      <c r="E50" s="9"/>
      <c r="I50" s="2">
        <v>17</v>
      </c>
      <c r="J50" s="1">
        <f>SUM($J$3:J19)/$I$19*24</f>
        <v>216015.25778538303</v>
      </c>
      <c r="K50" s="1">
        <f ca="1">IF(K19="","",IF(I50&lt;$A$1,SUM(K3:K19)/I19*24,(SUM(K3:K19)/$A$1)*24))</f>
        <v>164648.32941176469</v>
      </c>
      <c r="L50" s="1"/>
      <c r="M50" s="9"/>
      <c r="N50" s="9"/>
      <c r="Q50" s="2">
        <v>17</v>
      </c>
      <c r="R50" s="1">
        <f>SUM($R$3:R19)/Q19*24</f>
        <v>41533.835294117642</v>
      </c>
      <c r="S50" s="1">
        <f ca="1">IF(S19="","",IF(Q50&lt;$A$1,SUM(S3:S19)/Q19*24,(SUM(S3:S19)/$A$1)*24))</f>
        <v>68371.76470588235</v>
      </c>
      <c r="T50" s="1"/>
      <c r="U50" s="9"/>
      <c r="V50" s="9"/>
      <c r="Y50" s="2">
        <v>17</v>
      </c>
      <c r="Z50" s="1">
        <f>SUM($Z$3:Z19)/Y19*24</f>
        <v>0</v>
      </c>
      <c r="AA50" s="1">
        <f ca="1">IF(AA19="","",IF(Y50&lt;$A$1,SUM(AA3:AA19)/Y19*24,(SUM(AA3:AA19)/$A$1)*24))</f>
        <v>16729.411764705881</v>
      </c>
      <c r="AB50" s="1"/>
      <c r="AC50" s="1"/>
      <c r="AD50" s="9"/>
      <c r="AG50" s="2">
        <v>17</v>
      </c>
      <c r="AH50" s="1">
        <f>SUM($AH$3:AH19)/AG19*24</f>
        <v>1009.9999999999999</v>
      </c>
      <c r="AI50" s="1">
        <f ca="1">IF(AI19="","",IF(AG50&lt;$A$1,SUM(AI3:AI19)/AG19*24,(SUM(AI3:AI19)/$A$1)*24))</f>
        <v>2320.9411764705883</v>
      </c>
      <c r="AJ50" s="1"/>
      <c r="AK50" s="1"/>
      <c r="AL50" s="9"/>
    </row>
    <row r="51" spans="1:38">
      <c r="A51" s="2">
        <v>18</v>
      </c>
      <c r="B51" s="1">
        <f>SUM($B$3:B20)/A20*24</f>
        <v>258574.37899465067</v>
      </c>
      <c r="C51" s="1">
        <f ca="1">IF(C20="","",IF(A51&lt;$A$1,SUM(C3:C20)/A20*24,(SUM(C3:C20)/$A$1)*24))</f>
        <v>253616.66666666669</v>
      </c>
      <c r="D51" s="1"/>
      <c r="E51" s="9"/>
      <c r="I51" s="2">
        <v>18</v>
      </c>
      <c r="J51" s="1">
        <f>SUM($J$3:J20)/$I$20*24</f>
        <v>215522.2989946506</v>
      </c>
      <c r="K51" s="1">
        <f ca="1">IF(K20="","",IF(I51&lt;$A$1,SUM(K3:K20)/I20*24,(SUM(K3:K20)/$A$1)*24))</f>
        <v>166084.66666666663</v>
      </c>
      <c r="L51" s="1"/>
      <c r="M51" s="9"/>
      <c r="N51" s="9"/>
      <c r="Q51" s="2">
        <v>18</v>
      </c>
      <c r="R51" s="1">
        <f>SUM($R$3:R20)/Q20*24</f>
        <v>42042.079999999994</v>
      </c>
      <c r="S51" s="1">
        <f ca="1">IF(S20="","",IF(Q51&lt;$A$1,SUM(S3:S20)/Q20*24,(SUM(S3:S20)/$A$1)*24))</f>
        <v>69332</v>
      </c>
      <c r="T51" s="1"/>
      <c r="U51" s="9"/>
      <c r="V51" s="9"/>
      <c r="Y51" s="2">
        <v>18</v>
      </c>
      <c r="Z51" s="1">
        <f>SUM($Z$3:Z20)/Y20*24</f>
        <v>0</v>
      </c>
      <c r="AA51" s="1">
        <f ca="1">IF(AA20="","",IF(Y51&lt;$A$1,SUM(AA3:AA20)/Y20*24,(SUM(AA3:AA20)/$A$1)*24))</f>
        <v>15800</v>
      </c>
      <c r="AB51" s="1"/>
      <c r="AC51" s="1"/>
      <c r="AD51" s="9"/>
      <c r="AG51" s="2">
        <v>18</v>
      </c>
      <c r="AH51" s="1">
        <f>SUM($AH$3:AH20)/AG20*24</f>
        <v>1010</v>
      </c>
      <c r="AI51" s="1">
        <f ca="1">IF(AI20="","",IF(AG51&lt;$A$1,SUM(AI3:AI20)/AG20*24,(SUM(AI3:AI20)/$A$1)*24))</f>
        <v>2400</v>
      </c>
      <c r="AJ51" s="1"/>
      <c r="AK51" s="1"/>
      <c r="AL51" s="9"/>
    </row>
    <row r="52" spans="1:38">
      <c r="A52" s="2">
        <v>19</v>
      </c>
      <c r="B52" s="1">
        <f>SUM($B$3:B21)/A21*24</f>
        <v>261681.97273786151</v>
      </c>
      <c r="C52" s="1">
        <f ca="1">IF(C21="","",IF(A52&lt;$A$1,SUM(C3:C21)/A21*24,(SUM(C3:C21)/$A$1)*24))</f>
        <v>253660.42105263157</v>
      </c>
      <c r="D52" s="1"/>
      <c r="E52" s="9"/>
      <c r="I52" s="2">
        <v>19</v>
      </c>
      <c r="J52" s="1">
        <f>SUM($J$3:J21)/$I$21*24</f>
        <v>216658.75168522989</v>
      </c>
      <c r="K52" s="1">
        <f ca="1">IF(K21="","",IF(I52&lt;$A$1,SUM(K3:K21)/I21*24,(SUM(K3:K21)/$A$1)*24))</f>
        <v>166172.84210526315</v>
      </c>
      <c r="L52" s="1"/>
      <c r="M52" s="9"/>
      <c r="N52" s="9"/>
      <c r="Q52" s="2">
        <v>19</v>
      </c>
      <c r="R52" s="1">
        <f>SUM($R$3:R21)/Q21*24</f>
        <v>44013.221052631576</v>
      </c>
      <c r="S52" s="1">
        <f ca="1">IF(S21="","",IF(Q52&lt;$A$1,SUM(S3:S21)/Q21*24,(SUM(S3:S21)/$A$1)*24))</f>
        <v>70245.473684210534</v>
      </c>
      <c r="T52" s="1"/>
      <c r="U52" s="9"/>
      <c r="V52" s="9"/>
      <c r="Y52" s="2">
        <v>19</v>
      </c>
      <c r="Z52" s="1">
        <f>SUM($Z$3:Z21)/Y21*24</f>
        <v>0</v>
      </c>
      <c r="AA52" s="1">
        <f ca="1">IF(AA21="","",IF(Y52&lt;$A$1,SUM(AA3:AA21)/Y21*24,(SUM(AA3:AA21)/$A$1)*24))</f>
        <v>14968.42105263158</v>
      </c>
      <c r="AB52" s="1"/>
      <c r="AC52" s="1"/>
      <c r="AD52" s="9"/>
      <c r="AG52" s="2">
        <v>19</v>
      </c>
      <c r="AH52" s="1">
        <f>SUM($AH$3:AH21)/AG21*24</f>
        <v>1010</v>
      </c>
      <c r="AI52" s="1">
        <f ca="1">IF(AI21="","",IF(AG52&lt;$A$1,SUM(AI3:AI21)/AG21*24,(SUM(AI3:AI21)/$A$1)*24))</f>
        <v>2273.6842105263158</v>
      </c>
      <c r="AJ52" s="1"/>
      <c r="AK52" s="1"/>
      <c r="AL52" s="9"/>
    </row>
    <row r="53" spans="1:38">
      <c r="A53" s="2">
        <v>20</v>
      </c>
      <c r="B53" s="1">
        <f>SUM($B$3:B22)/A22*24</f>
        <v>266490.8341223083</v>
      </c>
      <c r="C53" s="1">
        <f ca="1">IF(C22="","",IF(A53&lt;$A$1,SUM(C3:C22)/A22*24,(SUM(C3:C22)/$A$1)*24))</f>
        <v>251447.40000000002</v>
      </c>
      <c r="D53" s="1"/>
      <c r="E53" s="9"/>
      <c r="I53" s="2">
        <v>20</v>
      </c>
      <c r="J53" s="1">
        <f>SUM($J$3:J22)/$I$22*24</f>
        <v>218422.93012230826</v>
      </c>
      <c r="K53" s="1">
        <f ca="1">IF(K22="","",IF(I53&lt;$A$1,SUM(K3:K22)/I22*24,(SUM(K3:K22)/$A$1)*24))</f>
        <v>163577.40000000002</v>
      </c>
      <c r="L53" s="1"/>
      <c r="M53" s="9"/>
      <c r="N53" s="9"/>
      <c r="Q53" s="2">
        <v>20</v>
      </c>
      <c r="R53" s="1">
        <f>SUM($R$3:R22)/Q22*24</f>
        <v>47057.903999999995</v>
      </c>
      <c r="S53" s="1">
        <f ca="1">IF(S22="","",IF(Q53&lt;$A$1,SUM(S3:S22)/Q22*24,(SUM(S3:S22)/$A$1)*24))</f>
        <v>71412</v>
      </c>
      <c r="T53" s="1"/>
      <c r="U53" s="9"/>
      <c r="V53" s="9"/>
      <c r="Y53" s="2">
        <v>20</v>
      </c>
      <c r="Z53" s="1">
        <f>SUM($Z$3:Z22)/Y22*24</f>
        <v>0</v>
      </c>
      <c r="AA53" s="1">
        <f ca="1">IF(AA22="","",IF(Y53&lt;$A$1,SUM(AA3:AA22)/Y22*24,(SUM(AA3:AA22)/$A$1)*24))</f>
        <v>14220</v>
      </c>
      <c r="AB53" s="1"/>
      <c r="AC53" s="1"/>
      <c r="AD53" s="9"/>
      <c r="AG53" s="2">
        <v>20</v>
      </c>
      <c r="AH53" s="1">
        <f>SUM($AH$3:AH22)/AG22*24</f>
        <v>1010</v>
      </c>
      <c r="AI53" s="1">
        <f ca="1">IF(AI22="","",IF(AG53&lt;$A$1,SUM(AI3:AI22)/AG22*24,(SUM(AI3:AI22)/$A$1)*24))</f>
        <v>2238</v>
      </c>
      <c r="AJ53" s="1"/>
      <c r="AK53" s="1"/>
      <c r="AL53" s="9"/>
    </row>
    <row r="54" spans="1:38">
      <c r="A54" s="2">
        <v>21</v>
      </c>
      <c r="B54" s="1">
        <f>SUM($B$3:B23)/A23*24</f>
        <v>270525.41195708734</v>
      </c>
      <c r="C54" s="1">
        <f ca="1">IF(C23="","",IF(A54&lt;$A$1,SUM(C3:C23)/A23*24,(SUM(C3:C23)/$A$1)*24))</f>
        <v>249978.85714285713</v>
      </c>
      <c r="D54" s="1"/>
      <c r="E54" s="9"/>
      <c r="I54" s="2">
        <v>21</v>
      </c>
      <c r="J54" s="1">
        <f>SUM($J$3:J23)/$I$23*24</f>
        <v>219905.90338565875</v>
      </c>
      <c r="K54" s="1">
        <f ca="1">IF(K23="","",IF(I54&lt;$A$1,SUM(K3:K23)/I23*24,(SUM(K3:K23)/$A$1)*24))</f>
        <v>163422.28571428571</v>
      </c>
      <c r="L54" s="1"/>
      <c r="M54" s="9"/>
      <c r="N54" s="9"/>
      <c r="Q54" s="2">
        <v>21</v>
      </c>
      <c r="R54" s="1">
        <f>SUM($R$3:R23)/Q23*24</f>
        <v>49609.508571428567</v>
      </c>
      <c r="S54" s="1">
        <f ca="1">IF(S23="","",IF(Q54&lt;$A$1,SUM(S3:S23)/Q23*24,(SUM(S3:S23)/$A$1)*24))</f>
        <v>69955.42857142858</v>
      </c>
      <c r="T54" s="1"/>
      <c r="U54" s="9"/>
      <c r="V54" s="9"/>
      <c r="Y54" s="2">
        <v>21</v>
      </c>
      <c r="Z54" s="1">
        <f>SUM($Z$3:Z23)/Y23*24</f>
        <v>0</v>
      </c>
      <c r="AA54" s="1">
        <f ca="1">IF(AA23="","",IF(Y54&lt;$A$1,SUM(AA3:AA23)/Y23*24,(SUM(AA3:AA23)/$A$1)*24))</f>
        <v>14468.571428571429</v>
      </c>
      <c r="AB54" s="1"/>
      <c r="AC54" s="1"/>
      <c r="AD54" s="9"/>
      <c r="AG54" s="2">
        <v>21</v>
      </c>
      <c r="AH54" s="1">
        <f>SUM($AH$3:AH23)/AG23*24</f>
        <v>1010</v>
      </c>
      <c r="AI54" s="1">
        <f ca="1">IF(AI23="","",IF(AG54&lt;$A$1,SUM(AI3:AI23)/AG23*24,(SUM(AI3:AI23)/$A$1)*24))</f>
        <v>2132.5714285714284</v>
      </c>
      <c r="AJ54" s="1"/>
      <c r="AK54" s="1"/>
      <c r="AL54" s="9"/>
    </row>
    <row r="55" spans="1:38">
      <c r="A55" s="2">
        <v>22</v>
      </c>
      <c r="B55" s="1">
        <f>SUM($B$3:B24)/A24*24</f>
        <v>274278.60474685871</v>
      </c>
      <c r="C55" s="1">
        <f ca="1">IF(C24="","",IF(A55&lt;$A$1,SUM(C3:C24)/A24*24,(SUM(C3:C24)/$A$1)*24))</f>
        <v>252225.27272727274</v>
      </c>
      <c r="D55" s="1"/>
      <c r="E55" s="9"/>
      <c r="I55" s="2">
        <v>22</v>
      </c>
      <c r="J55" s="1">
        <f>SUM($J$3:J24)/$I$24*24</f>
        <v>221267.19383776776</v>
      </c>
      <c r="K55" s="1">
        <f ca="1">IF(K24="","",IF(I55&lt;$A$1,SUM(K3:K24)/I24*24,(SUM(K3:K24)/$A$1)*24))</f>
        <v>165049.63636363635</v>
      </c>
      <c r="L55" s="1"/>
      <c r="M55" s="9"/>
      <c r="N55" s="9"/>
      <c r="Q55" s="2">
        <v>22</v>
      </c>
      <c r="R55" s="1">
        <f>SUM($R$3:R24)/Q24*24</f>
        <v>52001.410909090904</v>
      </c>
      <c r="S55" s="1">
        <f ca="1">IF(S24="","",IF(Q55&lt;$A$1,SUM(S3:S24)/Q24*24,(SUM(S3:S24)/$A$1)*24))</f>
        <v>69944.727272727279</v>
      </c>
      <c r="T55" s="1"/>
      <c r="U55" s="9"/>
      <c r="V55" s="9"/>
      <c r="Y55" s="2">
        <v>22</v>
      </c>
      <c r="Z55" s="1">
        <f>SUM($Z$3:Z24)/Y24*24</f>
        <v>0</v>
      </c>
      <c r="AA55" s="1">
        <f ca="1">IF(AA24="","",IF(Y55&lt;$A$1,SUM(AA3:AA24)/Y24*24,(SUM(AA3:AA24)/$A$1)*24))</f>
        <v>15174.545454545454</v>
      </c>
      <c r="AB55" s="1"/>
      <c r="AC55" s="1"/>
      <c r="AD55" s="9"/>
      <c r="AG55" s="2">
        <v>22</v>
      </c>
      <c r="AH55" s="1">
        <f>SUM($AH$3:AH24)/AG24*24</f>
        <v>1010.0000000000002</v>
      </c>
      <c r="AI55" s="1">
        <f ca="1">IF(AI24="","",IF(AG55&lt;$A$1,SUM(AI3:AI24)/AG24*24,(SUM(AI3:AI24)/$A$1)*24))</f>
        <v>2056.3636363636365</v>
      </c>
      <c r="AJ55" s="1"/>
      <c r="AK55" s="1"/>
      <c r="AL55" s="9"/>
    </row>
    <row r="56" spans="1:38">
      <c r="A56" s="2">
        <v>23</v>
      </c>
      <c r="B56" s="1">
        <f>SUM($B$3:B25)/A25*24</f>
        <v>277224.5035871453</v>
      </c>
      <c r="C56" s="1">
        <f ca="1">IF(C25="","",IF(A56&lt;$A$1,SUM(C3:C25)/A25*24,(SUM(C3:C25)/$A$1)*24))</f>
        <v>252590.08695652176</v>
      </c>
      <c r="D56" s="1"/>
      <c r="E56" s="9"/>
      <c r="I56" s="2">
        <v>23</v>
      </c>
      <c r="J56" s="1">
        <f>SUM($J$3:J25)/$I$25*24</f>
        <v>221897.9540219279</v>
      </c>
      <c r="K56" s="1">
        <f ca="1">IF(K25="","",IF(I56&lt;$A$1,SUM(K3:K25)/I25*24,(SUM(K3:K25)/$A$1)*24))</f>
        <v>166974.78260869565</v>
      </c>
      <c r="L56" s="1"/>
      <c r="M56" s="9"/>
      <c r="N56" s="9"/>
      <c r="Q56" s="2">
        <v>23</v>
      </c>
      <c r="R56" s="1">
        <f>SUM($R$3:R25)/Q25*24</f>
        <v>54316.549565217385</v>
      </c>
      <c r="S56" s="1">
        <f ca="1">IF(S25="","",IF(Q56&lt;$A$1,SUM(S3:S25)/Q25*24,(SUM(S3:S25)/$A$1)*24))</f>
        <v>68726.608695652176</v>
      </c>
      <c r="T56" s="1"/>
      <c r="U56" s="9"/>
      <c r="V56" s="9"/>
      <c r="Y56" s="2">
        <v>23</v>
      </c>
      <c r="Z56" s="1">
        <f>SUM($Z$3:Z25)/Y25*24</f>
        <v>0</v>
      </c>
      <c r="AA56" s="1">
        <f ca="1">IF(AA25="","",IF(Y56&lt;$A$1,SUM(AA3:AA25)/Y25*24,(SUM(AA3:AA25)/$A$1)*24))</f>
        <v>14921.739130434784</v>
      </c>
      <c r="AB56" s="1"/>
      <c r="AC56" s="1"/>
      <c r="AD56" s="9"/>
      <c r="AG56" s="2">
        <v>23</v>
      </c>
      <c r="AH56" s="1">
        <f>SUM($AH$3:AH25)/AG25*24</f>
        <v>1010.0000000000002</v>
      </c>
      <c r="AI56" s="1">
        <f ca="1">IF(AI25="","",IF(AG56&lt;$A$1,SUM(AI3:AI25)/AG25*24,(SUM(AI3:AI25)/$A$1)*24))</f>
        <v>1966.9565217391305</v>
      </c>
      <c r="AJ56" s="1"/>
      <c r="AK56" s="1"/>
      <c r="AL56" s="9"/>
    </row>
    <row r="57" spans="1:38">
      <c r="A57" s="2">
        <v>24</v>
      </c>
      <c r="B57" s="1">
        <f>SUM($B$3:B26)/A26*24</f>
        <v>276405.15642926254</v>
      </c>
      <c r="C57" s="1">
        <f ca="1">IF(C26="","",IF(A57&lt;$A$1,SUM(C3:C26)/A26*24,(SUM(C3:C26)/$A$1)*24))</f>
        <v>262054.4347826087</v>
      </c>
      <c r="D57" s="1"/>
      <c r="E57" s="9"/>
      <c r="I57" s="2">
        <v>24</v>
      </c>
      <c r="J57" s="1">
        <f>SUM($J$3:J26)/$I$26*24</f>
        <v>219177.79642926253</v>
      </c>
      <c r="K57" s="1">
        <f ca="1">IF(K26="","",IF(I57&lt;$A$1,SUM(K3:K26)/I26*24,(SUM(K3:K26)/$A$1)*24))</f>
        <v>175847.47826086957</v>
      </c>
      <c r="L57" s="1"/>
      <c r="M57" s="9"/>
      <c r="N57" s="9"/>
      <c r="Q57" s="2">
        <v>24</v>
      </c>
      <c r="R57" s="1">
        <f>SUM($R$3:R26)/Q26*24</f>
        <v>56217.36</v>
      </c>
      <c r="S57" s="1">
        <f ca="1">IF(S26="","",IF(Q57&lt;$A$1,SUM(S3:S26)/Q26*24,(SUM(S3:S26)/$A$1)*24))</f>
        <v>69318.260869565216</v>
      </c>
      <c r="T57" s="1"/>
      <c r="U57" s="9"/>
      <c r="V57" s="9"/>
      <c r="Y57" s="2">
        <v>24</v>
      </c>
      <c r="Z57" s="1">
        <f>SUM($Z$3:Z26)/Y26*24</f>
        <v>0</v>
      </c>
      <c r="AA57" s="1">
        <f ca="1">IF(AA26="","",IF(Y57&lt;$A$1,SUM(AA3:AA26)/Y26*24,(SUM(AA3:AA26)/$A$1)*24))</f>
        <v>14921.739130434784</v>
      </c>
      <c r="AB57" s="1"/>
      <c r="AC57" s="1"/>
      <c r="AD57" s="9"/>
      <c r="AG57" s="2">
        <v>24</v>
      </c>
      <c r="AH57" s="1">
        <f>SUM($AH$3:AH26)/AG26*24</f>
        <v>1010.0000000000002</v>
      </c>
      <c r="AI57" s="1">
        <f ca="1">IF(AI26="","",IF(AG57&lt;$A$1,SUM(AI3:AI26)/AG26*24,(SUM(AI3:AI26)/$A$1)*24))</f>
        <v>1966.9565217391305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150</v>
      </c>
      <c r="E7">
        <f>5400+4119+4884+5297+64+27+158+179+2290+1060+369+509</f>
        <v>24356</v>
      </c>
    </row>
    <row r="8" spans="4:5">
      <c r="D8" t="s">
        <v>151</v>
      </c>
      <c r="E8">
        <f>5293+2674+5386+3673</f>
        <v>17026</v>
      </c>
    </row>
    <row r="9" spans="4:5">
      <c r="D9" t="s">
        <v>152</v>
      </c>
      <c r="E9">
        <f>4990+5327</f>
        <v>10317</v>
      </c>
    </row>
    <row r="10" spans="4:5">
      <c r="D10" t="s">
        <v>153</v>
      </c>
      <c r="E10">
        <f>2520+3947</f>
        <v>6467</v>
      </c>
    </row>
    <row r="11" spans="4:5">
      <c r="D11" t="s">
        <v>154</v>
      </c>
      <c r="E11">
        <f>1880+2228+1828</f>
        <v>5936</v>
      </c>
    </row>
    <row r="15" spans="4:5">
      <c r="D15" t="s">
        <v>150</v>
      </c>
      <c r="E15" s="184">
        <v>24.356000000000002</v>
      </c>
    </row>
    <row r="16" spans="4:5">
      <c r="D16" t="s">
        <v>151</v>
      </c>
      <c r="E16" s="184">
        <v>17.026</v>
      </c>
    </row>
    <row r="17" spans="4:6">
      <c r="D17" t="s">
        <v>152</v>
      </c>
      <c r="E17" s="184">
        <v>10.317</v>
      </c>
    </row>
    <row r="18" spans="4:6">
      <c r="D18" t="s">
        <v>153</v>
      </c>
      <c r="E18" s="184">
        <v>6.4669999999999996</v>
      </c>
    </row>
    <row r="19" spans="4:6">
      <c r="D19" t="s">
        <v>154</v>
      </c>
      <c r="E19" s="184">
        <v>5.9359999999999999</v>
      </c>
    </row>
    <row r="20" spans="4:6">
      <c r="D20" t="s">
        <v>115</v>
      </c>
      <c r="F20" s="184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1">
        <f>'ACOMPANHAMENTO USINA'!$AL$2</f>
        <v>45463</v>
      </c>
      <c r="AM2" s="251"/>
      <c r="AN2" s="251"/>
      <c r="AO2" s="251"/>
      <c r="AP2" s="251"/>
      <c r="BF2" s="250" t="s">
        <v>155</v>
      </c>
      <c r="BG2" s="250"/>
      <c r="BH2" s="250"/>
      <c r="BI2" s="250"/>
      <c r="BJ2" s="250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40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5" t="s">
        <v>41</v>
      </c>
      <c r="AI3" s="205"/>
      <c r="AJ3" s="205"/>
      <c r="AK3" s="206">
        <f>'ACOMPANHAMENTO USINA'!$AK$3</f>
        <v>0</v>
      </c>
      <c r="AL3" s="206"/>
      <c r="AM3" s="206"/>
      <c r="AN3" s="199" t="str">
        <f ca="1">'ACOMPANHAMENTO USINA'!$AN$3</f>
        <v>23:59:59</v>
      </c>
      <c r="AO3" s="199"/>
      <c r="AP3" s="200"/>
      <c r="BF3" s="250"/>
      <c r="BG3" s="250"/>
      <c r="BH3" s="250"/>
      <c r="BI3" s="250"/>
      <c r="BJ3" s="250"/>
      <c r="BK3" s="31" t="s">
        <v>156</v>
      </c>
      <c r="BL3" s="60" t="str">
        <f>CHOOSE(MONTH($AL$2),"JANEIRO","FEVEREIRO","MARÇO","ABRIL","MAIO","JUNHO","JULHO","AGOSTO","SETEMBRO","OUTUBRO","NOVEMBRO", "DEZEMBRO")</f>
        <v>JUNHO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43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5" t="s">
        <v>41</v>
      </c>
      <c r="EH3" s="205"/>
      <c r="EI3" s="205"/>
      <c r="EJ3" s="206">
        <f ca="1">NOW()</f>
        <v>45488.506756828705</v>
      </c>
      <c r="EK3" s="206"/>
      <c r="EL3" s="206"/>
      <c r="EM3" s="199">
        <f ca="1">NOW()</f>
        <v>45488.506756828705</v>
      </c>
      <c r="EN3" s="199"/>
      <c r="EO3" s="200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0" t="s">
        <v>44</v>
      </c>
      <c r="Q4" s="210"/>
      <c r="R4" s="210"/>
      <c r="S4" s="209">
        <f ca="1">NOW()</f>
        <v>45488.506756828705</v>
      </c>
      <c r="T4" s="209"/>
      <c r="AP4" s="24"/>
      <c r="BF4" s="250"/>
      <c r="BG4" s="250"/>
      <c r="BH4" s="250"/>
      <c r="BI4" s="250"/>
      <c r="BJ4" s="250"/>
      <c r="BK4" s="60" t="str">
        <f>"\Informações COI - "&amp;TEXT($AL$2,"dd-mm-aaa")&amp;".pdf"</f>
        <v>\Informações COI - 20-06-2024.pdf</v>
      </c>
    </row>
    <row r="5" spans="2:145" ht="16.5" customHeight="1">
      <c r="B5" s="23"/>
      <c r="AP5" s="24"/>
      <c r="BF5" s="250"/>
      <c r="BG5" s="250"/>
      <c r="BH5" s="250"/>
      <c r="BI5" s="250"/>
      <c r="BJ5" s="250"/>
      <c r="BK5" s="60" t="str">
        <f>"\Informações COI - "&amp;TEXT($AL$2,"dd-mm-aaa")&amp;".xlsm"</f>
        <v>\Informações COI - 20-06-2024.xlsm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3" t="s">
        <v>8</v>
      </c>
      <c r="E33" s="204"/>
      <c r="F33" s="201" t="s">
        <v>9</v>
      </c>
      <c r="G33" s="201"/>
      <c r="H33" s="201"/>
      <c r="I33" s="201"/>
      <c r="J33" s="201"/>
      <c r="K33" s="201"/>
      <c r="M33" s="44" t="s">
        <v>7</v>
      </c>
      <c r="N33" s="203" t="s">
        <v>8</v>
      </c>
      <c r="O33" s="204"/>
      <c r="P33" s="201" t="s">
        <v>9</v>
      </c>
      <c r="Q33" s="201"/>
      <c r="R33" s="201"/>
      <c r="S33" s="201"/>
      <c r="T33" s="201"/>
      <c r="U33" s="201"/>
      <c r="W33" s="44" t="s">
        <v>7</v>
      </c>
      <c r="X33" s="203" t="s">
        <v>8</v>
      </c>
      <c r="Y33" s="204"/>
      <c r="Z33" s="201" t="s">
        <v>9</v>
      </c>
      <c r="AA33" s="201"/>
      <c r="AB33" s="201"/>
      <c r="AC33" s="201"/>
      <c r="AD33" s="201"/>
      <c r="AE33" s="201"/>
      <c r="AG33" s="44" t="s">
        <v>7</v>
      </c>
      <c r="AH33" s="203" t="s">
        <v>8</v>
      </c>
      <c r="AI33" s="204"/>
      <c r="AJ33" s="201" t="s">
        <v>9</v>
      </c>
      <c r="AK33" s="201"/>
      <c r="AL33" s="201"/>
      <c r="AM33" s="201"/>
      <c r="AN33" s="201"/>
      <c r="AO33" s="201"/>
      <c r="AP33" s="45"/>
    </row>
    <row r="34" spans="2:42" s="46" customFormat="1" ht="75" customHeight="1">
      <c r="B34" s="47"/>
      <c r="C34" s="48">
        <v>1</v>
      </c>
      <c r="D34" s="198">
        <f ca="1">'JUSTIFICATIVA DE USINA'!C3</f>
        <v>47.536915603438501</v>
      </c>
      <c r="E34" s="198"/>
      <c r="F34" s="252">
        <f>'JUSTIFICATIVA DE USINA'!D3</f>
        <v>0</v>
      </c>
      <c r="G34" s="252"/>
      <c r="H34" s="252"/>
      <c r="I34" s="252"/>
      <c r="J34" s="252"/>
      <c r="K34" s="252"/>
      <c r="M34" s="48">
        <v>1</v>
      </c>
      <c r="N34" s="198">
        <f ca="1">'JUSTIFICATIVA DE USINA'!G3</f>
        <v>-1637.28</v>
      </c>
      <c r="O34" s="198"/>
      <c r="P34" s="252" t="str">
        <f>'JUSTIFICATIVA DE USINA'!H3</f>
        <v>Principal Impacto:  BSM05: descontaminação de circuito, material de silica alta;</v>
      </c>
      <c r="Q34" s="252"/>
      <c r="R34" s="252"/>
      <c r="S34" s="252"/>
      <c r="T34" s="252"/>
      <c r="U34" s="252"/>
      <c r="W34" s="48">
        <v>1</v>
      </c>
      <c r="X34" s="198">
        <f ca="1">'JUSTIFICATIVA DE USINA'!K3</f>
        <v>1380</v>
      </c>
      <c r="Y34" s="198"/>
      <c r="Z34" s="252">
        <f>'JUSTIFICATIVA DE USINA'!L3</f>
        <v>0</v>
      </c>
      <c r="AA34" s="252"/>
      <c r="AB34" s="252"/>
      <c r="AC34" s="252"/>
      <c r="AD34" s="252"/>
      <c r="AE34" s="252"/>
      <c r="AG34" s="48">
        <v>1</v>
      </c>
      <c r="AH34" s="198">
        <f ca="1">'JUSTIFICATIVA DE USINA'!O3</f>
        <v>-20.083333333333321</v>
      </c>
      <c r="AI34" s="198"/>
      <c r="AJ34" s="252">
        <f>'JUSTIFICATIVA DE USINA'!P3</f>
        <v>0</v>
      </c>
      <c r="AK34" s="252"/>
      <c r="AL34" s="252"/>
      <c r="AM34" s="252"/>
      <c r="AN34" s="252"/>
      <c r="AO34" s="252"/>
      <c r="AP34" s="49"/>
    </row>
    <row r="35" spans="2:42" s="46" customFormat="1" ht="75" customHeight="1">
      <c r="B35" s="47"/>
      <c r="C35" s="48">
        <v>2</v>
      </c>
      <c r="D35" s="198">
        <f ca="1">'JUSTIFICATIVA DE USINA'!C4</f>
        <v>-3275.6155358942378</v>
      </c>
      <c r="E35" s="198"/>
      <c r="F35" s="252" t="str">
        <f>'JUSTIFICATIVA DE USINA'!D4</f>
        <v xml:space="preserve">Principal Impacto:  BRIT: baixa oferta devido DF de Pá pulmão BSM e locomoção Pá pulmão 625 </v>
      </c>
      <c r="G35" s="252"/>
      <c r="H35" s="252"/>
      <c r="I35" s="252"/>
      <c r="J35" s="252"/>
      <c r="K35" s="252"/>
      <c r="M35" s="48">
        <v>2</v>
      </c>
      <c r="N35" s="198">
        <f ca="1">'JUSTIFICATIVA DE USINA'!G4</f>
        <v>1297</v>
      </c>
      <c r="O35" s="198"/>
      <c r="P35" s="252">
        <f>'JUSTIFICATIVA DE USINA'!H4</f>
        <v>0</v>
      </c>
      <c r="Q35" s="252"/>
      <c r="R35" s="252"/>
      <c r="S35" s="252"/>
      <c r="T35" s="252"/>
      <c r="U35" s="252"/>
      <c r="W35" s="48">
        <v>2</v>
      </c>
      <c r="X35" s="198">
        <f ca="1">'JUSTIFICATIVA DE USINA'!K4</f>
        <v>1110</v>
      </c>
      <c r="Y35" s="198"/>
      <c r="Z35" s="252">
        <f>'JUSTIFICATIVA DE USINA'!L4</f>
        <v>0</v>
      </c>
      <c r="AA35" s="252"/>
      <c r="AB35" s="252"/>
      <c r="AC35" s="252"/>
      <c r="AD35" s="252"/>
      <c r="AE35" s="252"/>
      <c r="AG35" s="48">
        <v>2</v>
      </c>
      <c r="AH35" s="198">
        <f ca="1">'JUSTIFICATIVA DE USINA'!O4</f>
        <v>59.916666666666679</v>
      </c>
      <c r="AI35" s="198"/>
      <c r="AJ35" s="252">
        <f>'JUSTIFICATIVA DE USINA'!P4</f>
        <v>0</v>
      </c>
      <c r="AK35" s="252"/>
      <c r="AL35" s="252"/>
      <c r="AM35" s="252"/>
      <c r="AN35" s="252"/>
      <c r="AO35" s="252"/>
      <c r="AP35" s="49"/>
    </row>
    <row r="36" spans="2:42" s="46" customFormat="1" ht="75" customHeight="1">
      <c r="B36" s="47"/>
      <c r="C36" s="48">
        <v>3</v>
      </c>
      <c r="D36" s="198">
        <f ca="1">'JUSTIFICATIVA DE USINA'!C5</f>
        <v>-658.13799799131993</v>
      </c>
      <c r="E36" s="198"/>
      <c r="F36" s="252" t="str">
        <f>'JUSTIFICATIVA DE USINA'!D5</f>
        <v xml:space="preserve">Principal Impacto:  BRIT: baixa oferta devido DF de Pá pulmão BSM e locomoção Pá pulmão 625 </v>
      </c>
      <c r="G36" s="252"/>
      <c r="H36" s="252"/>
      <c r="I36" s="252"/>
      <c r="J36" s="252"/>
      <c r="K36" s="252"/>
      <c r="M36" s="48">
        <v>3</v>
      </c>
      <c r="N36" s="198">
        <f ca="1">'JUSTIFICATIVA DE USINA'!G5</f>
        <v>1842.76</v>
      </c>
      <c r="O36" s="198"/>
      <c r="P36" s="252">
        <f>'JUSTIFICATIVA DE USINA'!H5</f>
        <v>0</v>
      </c>
      <c r="Q36" s="252"/>
      <c r="R36" s="252"/>
      <c r="S36" s="252"/>
      <c r="T36" s="252"/>
      <c r="U36" s="252"/>
      <c r="W36" s="48">
        <v>3</v>
      </c>
      <c r="X36" s="198">
        <f ca="1">'JUSTIFICATIVA DE USINA'!K5</f>
        <v>670</v>
      </c>
      <c r="Y36" s="198"/>
      <c r="Z36" s="252">
        <f>'JUSTIFICATIVA DE USINA'!L5</f>
        <v>0</v>
      </c>
      <c r="AA36" s="252"/>
      <c r="AB36" s="252"/>
      <c r="AC36" s="252"/>
      <c r="AD36" s="252"/>
      <c r="AE36" s="252"/>
      <c r="AG36" s="48">
        <v>3</v>
      </c>
      <c r="AH36" s="198">
        <f ca="1">'JUSTIFICATIVA DE USINA'!O5</f>
        <v>115.91666666666669</v>
      </c>
      <c r="AI36" s="198"/>
      <c r="AJ36" s="252">
        <f>'JUSTIFICATIVA DE USINA'!P5</f>
        <v>0</v>
      </c>
      <c r="AK36" s="252"/>
      <c r="AL36" s="252"/>
      <c r="AM36" s="252"/>
      <c r="AN36" s="252"/>
      <c r="AO36" s="252"/>
      <c r="AP36" s="49"/>
    </row>
    <row r="37" spans="2:42" s="46" customFormat="1" ht="75" customHeight="1">
      <c r="B37" s="47"/>
      <c r="C37" s="48">
        <v>4</v>
      </c>
      <c r="D37" s="198">
        <f ca="1">'JUSTIFICATIVA DE USINA'!C6</f>
        <v>-414.74467908352744</v>
      </c>
      <c r="E37" s="198"/>
      <c r="F37" s="252" t="str">
        <f>'JUSTIFICATIVA DE USINA'!D6</f>
        <v xml:space="preserve">Principal Impacto:  BRIT: baixa oferta devido DF de Pá pulmão BSM e  pulmão 625 </v>
      </c>
      <c r="G37" s="252"/>
      <c r="H37" s="252"/>
      <c r="I37" s="252"/>
      <c r="J37" s="252"/>
      <c r="K37" s="252"/>
      <c r="M37" s="48">
        <v>4</v>
      </c>
      <c r="N37" s="198">
        <f ca="1">'JUSTIFICATIVA DE USINA'!G6</f>
        <v>1277.92</v>
      </c>
      <c r="O37" s="198"/>
      <c r="P37" s="252">
        <f>'JUSTIFICATIVA DE USINA'!H6</f>
        <v>0</v>
      </c>
      <c r="Q37" s="252"/>
      <c r="R37" s="252"/>
      <c r="S37" s="252"/>
      <c r="T37" s="252"/>
      <c r="U37" s="252"/>
      <c r="W37" s="48">
        <v>4</v>
      </c>
      <c r="X37" s="198">
        <f ca="1">'JUSTIFICATIVA DE USINA'!K6</f>
        <v>210</v>
      </c>
      <c r="Y37" s="198"/>
      <c r="Z37" s="252">
        <f>'JUSTIFICATIVA DE USINA'!L6</f>
        <v>0</v>
      </c>
      <c r="AA37" s="252"/>
      <c r="AB37" s="252"/>
      <c r="AC37" s="252"/>
      <c r="AD37" s="252"/>
      <c r="AE37" s="252"/>
      <c r="AG37" s="48">
        <v>4</v>
      </c>
      <c r="AH37" s="198">
        <f ca="1">'JUSTIFICATIVA DE USINA'!O6</f>
        <v>85.916666666666686</v>
      </c>
      <c r="AI37" s="198"/>
      <c r="AJ37" s="252">
        <f>'JUSTIFICATIVA DE USINA'!P6</f>
        <v>0</v>
      </c>
      <c r="AK37" s="252"/>
      <c r="AL37" s="252"/>
      <c r="AM37" s="252"/>
      <c r="AN37" s="252"/>
      <c r="AO37" s="252"/>
      <c r="AP37" s="49"/>
    </row>
    <row r="38" spans="2:42" s="46" customFormat="1" ht="75" customHeight="1">
      <c r="B38" s="47"/>
      <c r="C38" s="48">
        <v>5</v>
      </c>
      <c r="D38" s="198">
        <f ca="1">'JUSTIFICATIVA DE USINA'!C7</f>
        <v>-1200.5684127310851</v>
      </c>
      <c r="E38" s="198"/>
      <c r="F38" s="252" t="str">
        <f>'JUSTIFICATIVA DE USINA'!D7</f>
        <v xml:space="preserve">Principal Impacto:  BRIT: baixa oferta devido DF de Pá pulmão BSM e  pulmão 625 </v>
      </c>
      <c r="G38" s="252"/>
      <c r="H38" s="252"/>
      <c r="I38" s="252"/>
      <c r="J38" s="252"/>
      <c r="K38" s="252"/>
      <c r="M38" s="48">
        <v>5</v>
      </c>
      <c r="N38" s="198">
        <f ca="1">'JUSTIFICATIVA DE USINA'!G7</f>
        <v>834</v>
      </c>
      <c r="O38" s="198"/>
      <c r="P38" s="252">
        <f>'JUSTIFICATIVA DE USINA'!H7</f>
        <v>0</v>
      </c>
      <c r="Q38" s="252"/>
      <c r="R38" s="252"/>
      <c r="S38" s="252"/>
      <c r="T38" s="252"/>
      <c r="U38" s="252"/>
      <c r="W38" s="48">
        <v>5</v>
      </c>
      <c r="X38" s="198">
        <f ca="1">'JUSTIFICATIVA DE USINA'!K7</f>
        <v>2340</v>
      </c>
      <c r="Y38" s="198"/>
      <c r="Z38" s="252">
        <f>'JUSTIFICATIVA DE USINA'!L7</f>
        <v>0</v>
      </c>
      <c r="AA38" s="252"/>
      <c r="AB38" s="252"/>
      <c r="AC38" s="252"/>
      <c r="AD38" s="252"/>
      <c r="AE38" s="252"/>
      <c r="AG38" s="48">
        <v>5</v>
      </c>
      <c r="AH38" s="198">
        <f ca="1">'JUSTIFICATIVA DE USINA'!O7</f>
        <v>112.91666666666669</v>
      </c>
      <c r="AI38" s="198"/>
      <c r="AJ38" s="252">
        <f>'JUSTIFICATIVA DE USINA'!P7</f>
        <v>0</v>
      </c>
      <c r="AK38" s="252"/>
      <c r="AL38" s="252"/>
      <c r="AM38" s="252"/>
      <c r="AN38" s="252"/>
      <c r="AO38" s="252"/>
      <c r="AP38" s="49"/>
    </row>
    <row r="39" spans="2:42" s="46" customFormat="1" ht="75" customHeight="1">
      <c r="B39" s="47"/>
      <c r="C39" s="48" t="s">
        <v>25</v>
      </c>
      <c r="D39" s="198">
        <f ca="1">'JUSTIFICATIVA DE USINA'!C8</f>
        <v>-960.37932836618893</v>
      </c>
      <c r="E39" s="198"/>
      <c r="F39" s="252" t="e">
        <f>'JUSTIFICATIVA DE USINA'!#REF!</f>
        <v>#REF!</v>
      </c>
      <c r="G39" s="252"/>
      <c r="H39" s="252"/>
      <c r="I39" s="252"/>
      <c r="J39" s="252"/>
      <c r="K39" s="252"/>
      <c r="M39" s="48" t="s">
        <v>25</v>
      </c>
      <c r="N39" s="198">
        <f ca="1">'JUSTIFICATIVA DE USINA'!G8</f>
        <v>1246.96</v>
      </c>
      <c r="O39" s="198"/>
      <c r="P39" s="252">
        <f>'JUSTIFICATIVA DE USINA'!H8</f>
        <v>0</v>
      </c>
      <c r="Q39" s="252"/>
      <c r="R39" s="252"/>
      <c r="S39" s="252"/>
      <c r="T39" s="252"/>
      <c r="U39" s="252"/>
      <c r="W39" s="48" t="s">
        <v>25</v>
      </c>
      <c r="X39" s="198">
        <f ca="1">'JUSTIFICATIVA DE USINA'!K8</f>
        <v>1380</v>
      </c>
      <c r="Y39" s="198"/>
      <c r="Z39" s="252">
        <f>'JUSTIFICATIVA DE USINA'!L8</f>
        <v>0</v>
      </c>
      <c r="AA39" s="252"/>
      <c r="AB39" s="252"/>
      <c r="AC39" s="252"/>
      <c r="AD39" s="252"/>
      <c r="AE39" s="252"/>
      <c r="AG39" s="48" t="s">
        <v>25</v>
      </c>
      <c r="AH39" s="198">
        <f ca="1">'JUSTIFICATIVA DE USINA'!O8</f>
        <v>33.916666666666679</v>
      </c>
      <c r="AI39" s="198"/>
      <c r="AJ39" s="252">
        <f>'JUSTIFICATIVA DE USINA'!P8</f>
        <v>0</v>
      </c>
      <c r="AK39" s="252"/>
      <c r="AL39" s="252"/>
      <c r="AM39" s="252"/>
      <c r="AN39" s="252"/>
      <c r="AO39" s="252"/>
      <c r="AP39" s="49"/>
    </row>
    <row r="40" spans="2:42" s="46" customFormat="1" ht="75" customHeight="1">
      <c r="B40" s="47"/>
      <c r="C40" s="48">
        <v>7</v>
      </c>
      <c r="D40" s="198">
        <f ca="1">'JUSTIFICATIVA DE USINA'!C9</f>
        <v>-3016.3833851502332</v>
      </c>
      <c r="E40" s="198"/>
      <c r="F40" s="252" t="str">
        <f>'JUSTIFICATIVA DE USINA'!D9</f>
        <v>Principal Impacto: Baixa produtividade LUN  ausênia de blend</v>
      </c>
      <c r="G40" s="252"/>
      <c r="H40" s="252"/>
      <c r="I40" s="252"/>
      <c r="J40" s="252"/>
      <c r="K40" s="252"/>
      <c r="M40" s="48">
        <v>7</v>
      </c>
      <c r="N40" s="198">
        <f ca="1">'JUSTIFICATIVA DE USINA'!G9</f>
        <v>-340</v>
      </c>
      <c r="O40" s="198"/>
      <c r="P40" s="252">
        <f>'JUSTIFICATIVA DE USINA'!H9</f>
        <v>0</v>
      </c>
      <c r="Q40" s="252"/>
      <c r="R40" s="252"/>
      <c r="S40" s="252"/>
      <c r="T40" s="252"/>
      <c r="U40" s="252"/>
      <c r="W40" s="48">
        <v>7</v>
      </c>
      <c r="X40" s="198">
        <f ca="1">'JUSTIFICATIVA DE USINA'!K9</f>
        <v>0</v>
      </c>
      <c r="Y40" s="198"/>
      <c r="Z40" s="252">
        <f>'JUSTIFICATIVA DE USINA'!L9</f>
        <v>0</v>
      </c>
      <c r="AA40" s="252"/>
      <c r="AB40" s="252"/>
      <c r="AC40" s="252"/>
      <c r="AD40" s="252"/>
      <c r="AE40" s="252"/>
      <c r="AG40" s="48">
        <v>7</v>
      </c>
      <c r="AH40" s="198">
        <f ca="1">'JUSTIFICATIVA DE USINA'!O9</f>
        <v>-42.083333333333321</v>
      </c>
      <c r="AI40" s="198"/>
      <c r="AJ40" s="252">
        <f>'JUSTIFICATIVA DE USINA'!P9</f>
        <v>0</v>
      </c>
      <c r="AK40" s="252"/>
      <c r="AL40" s="252"/>
      <c r="AM40" s="252"/>
      <c r="AN40" s="252"/>
      <c r="AO40" s="252"/>
      <c r="AP40" s="49"/>
    </row>
    <row r="41" spans="2:42" s="46" customFormat="1" ht="75" customHeight="1">
      <c r="B41" s="47"/>
      <c r="C41" s="48">
        <v>8</v>
      </c>
      <c r="D41" s="198">
        <f ca="1">'JUSTIFICATIVA DE USINA'!C10</f>
        <v>-2371.4458709158043</v>
      </c>
      <c r="E41" s="198"/>
      <c r="F41" s="252" t="str">
        <f>'JUSTIFICATIVA DE USINA'!D10</f>
        <v>Principal Impacto: Baixa produtividade LUN  ausênia de blend</v>
      </c>
      <c r="G41" s="252"/>
      <c r="H41" s="252"/>
      <c r="I41" s="252"/>
      <c r="J41" s="252"/>
      <c r="K41" s="252"/>
      <c r="M41" s="48">
        <v>8</v>
      </c>
      <c r="N41" s="198">
        <f ca="1">'JUSTIFICATIVA DE USINA'!G10</f>
        <v>222.76</v>
      </c>
      <c r="O41" s="198"/>
      <c r="P41" s="252">
        <f>'JUSTIFICATIVA DE USINA'!H10</f>
        <v>0</v>
      </c>
      <c r="Q41" s="252"/>
      <c r="R41" s="252"/>
      <c r="S41" s="252"/>
      <c r="T41" s="252"/>
      <c r="U41" s="252"/>
      <c r="W41" s="48">
        <v>8</v>
      </c>
      <c r="X41" s="198">
        <f ca="1">'JUSTIFICATIVA DE USINA'!K10</f>
        <v>960</v>
      </c>
      <c r="Y41" s="198"/>
      <c r="Z41" s="252">
        <f>'JUSTIFICATIVA DE USINA'!L10</f>
        <v>0</v>
      </c>
      <c r="AA41" s="252"/>
      <c r="AB41" s="252"/>
      <c r="AC41" s="252"/>
      <c r="AD41" s="252"/>
      <c r="AE41" s="252"/>
      <c r="AG41" s="48">
        <v>8</v>
      </c>
      <c r="AH41" s="198">
        <f ca="1">'JUSTIFICATIVA DE USINA'!O10</f>
        <v>-21.083333333333321</v>
      </c>
      <c r="AI41" s="198"/>
      <c r="AJ41" s="252">
        <f>'JUSTIFICATIVA DE USINA'!P10</f>
        <v>0</v>
      </c>
      <c r="AK41" s="252"/>
      <c r="AL41" s="252"/>
      <c r="AM41" s="252"/>
      <c r="AN41" s="252"/>
      <c r="AO41" s="252"/>
      <c r="AP41" s="49"/>
    </row>
    <row r="42" spans="2:42" s="46" customFormat="1" ht="75" customHeight="1">
      <c r="B42" s="47"/>
      <c r="C42" s="48">
        <v>9</v>
      </c>
      <c r="D42" s="198">
        <f ca="1">'JUSTIFICATIVA DE USINA'!C11</f>
        <v>-4748.0686533746866</v>
      </c>
      <c r="E42" s="198"/>
      <c r="F42" s="252" t="str">
        <f>'JUSTIFICATIVA DE USINA'!D11</f>
        <v>Principal Impacto: Baixa produtividade LUN  auseênia de blend</v>
      </c>
      <c r="G42" s="252"/>
      <c r="H42" s="252"/>
      <c r="I42" s="252"/>
      <c r="J42" s="252"/>
      <c r="K42" s="252"/>
      <c r="M42" s="48">
        <v>9</v>
      </c>
      <c r="N42" s="198">
        <f ca="1">'JUSTIFICATIVA DE USINA'!G11</f>
        <v>2162.52</v>
      </c>
      <c r="O42" s="198"/>
      <c r="P42" s="252">
        <f>'JUSTIFICATIVA DE USINA'!H11</f>
        <v>0</v>
      </c>
      <c r="Q42" s="252"/>
      <c r="R42" s="252"/>
      <c r="S42" s="252"/>
      <c r="T42" s="252"/>
      <c r="U42" s="252"/>
      <c r="W42" s="48">
        <v>9</v>
      </c>
      <c r="X42" s="198">
        <f ca="1">'JUSTIFICATIVA DE USINA'!K11</f>
        <v>1570</v>
      </c>
      <c r="Y42" s="198"/>
      <c r="Z42" s="252" t="e">
        <f>'JUSTIFICATIVA DE USINA'!#REF!</f>
        <v>#REF!</v>
      </c>
      <c r="AA42" s="252"/>
      <c r="AB42" s="252"/>
      <c r="AC42" s="252"/>
      <c r="AD42" s="252"/>
      <c r="AE42" s="252"/>
      <c r="AG42" s="48">
        <v>9</v>
      </c>
      <c r="AH42" s="198">
        <f ca="1">'JUSTIFICATIVA DE USINA'!O11</f>
        <v>92.916666666666686</v>
      </c>
      <c r="AI42" s="198"/>
      <c r="AJ42" s="252">
        <f>'JUSTIFICATIVA DE USINA'!P11</f>
        <v>0</v>
      </c>
      <c r="AK42" s="252"/>
      <c r="AL42" s="252"/>
      <c r="AM42" s="252"/>
      <c r="AN42" s="252"/>
      <c r="AO42" s="252"/>
      <c r="AP42" s="49"/>
    </row>
    <row r="43" spans="2:42" s="46" customFormat="1" ht="75" customHeight="1">
      <c r="B43" s="47"/>
      <c r="C43" s="48">
        <v>10</v>
      </c>
      <c r="D43" s="198">
        <f ca="1">'JUSTIFICATIVA DE USINA'!C12</f>
        <v>-4580.6990681144525</v>
      </c>
      <c r="E43" s="198"/>
      <c r="F43" s="252" t="str">
        <f>'JUSTIFICATIVA DE USINA'!D12</f>
        <v>Principal Impacto: Baixa produtividade LUN  ausênia de blend</v>
      </c>
      <c r="G43" s="252"/>
      <c r="H43" s="252"/>
      <c r="I43" s="252"/>
      <c r="J43" s="252"/>
      <c r="K43" s="252"/>
      <c r="M43" s="48">
        <v>10</v>
      </c>
      <c r="N43" s="198">
        <f ca="1">'JUSTIFICATIVA DE USINA'!G12</f>
        <v>1620.76</v>
      </c>
      <c r="O43" s="198"/>
      <c r="P43" s="252">
        <f>'JUSTIFICATIVA DE USINA'!H12</f>
        <v>0</v>
      </c>
      <c r="Q43" s="252"/>
      <c r="R43" s="252"/>
      <c r="S43" s="252"/>
      <c r="T43" s="252"/>
      <c r="U43" s="252"/>
      <c r="W43" s="48">
        <v>10</v>
      </c>
      <c r="X43" s="198">
        <f ca="1">'JUSTIFICATIVA DE USINA'!K12</f>
        <v>510</v>
      </c>
      <c r="Y43" s="198"/>
      <c r="Z43" s="252">
        <f>'JUSTIFICATIVA DE USINA'!L12</f>
        <v>0</v>
      </c>
      <c r="AA43" s="252"/>
      <c r="AB43" s="252"/>
      <c r="AC43" s="252"/>
      <c r="AD43" s="252"/>
      <c r="AE43" s="252"/>
      <c r="AG43" s="48">
        <v>10</v>
      </c>
      <c r="AH43" s="198">
        <f ca="1">'JUSTIFICATIVA DE USINA'!O12</f>
        <v>145.91666666666669</v>
      </c>
      <c r="AI43" s="198"/>
      <c r="AJ43" s="252">
        <f>'JUSTIFICATIVA DE USINA'!P12</f>
        <v>0</v>
      </c>
      <c r="AK43" s="252"/>
      <c r="AL43" s="252"/>
      <c r="AM43" s="252"/>
      <c r="AN43" s="252"/>
      <c r="AO43" s="252"/>
      <c r="AP43" s="49"/>
    </row>
    <row r="44" spans="2:42" s="46" customFormat="1" ht="75" customHeight="1">
      <c r="B44" s="47"/>
      <c r="C44" s="48">
        <v>11</v>
      </c>
      <c r="D44" s="198">
        <f ca="1">'JUSTIFICATIVA DE USINA'!C13</f>
        <v>-4684.9938823828816</v>
      </c>
      <c r="E44" s="198"/>
      <c r="F44" s="252" t="str">
        <f>'JUSTIFICATIVA DE USINA'!D13</f>
        <v>Principal Impacto: PEN2 restrição devido alto estoque pilha de pebble;</v>
      </c>
      <c r="G44" s="252"/>
      <c r="H44" s="252"/>
      <c r="I44" s="252"/>
      <c r="J44" s="252"/>
      <c r="K44" s="252"/>
      <c r="M44" s="48">
        <v>11</v>
      </c>
      <c r="N44" s="198">
        <f ca="1">'JUSTIFICATIVA DE USINA'!G13</f>
        <v>1055.7200000000003</v>
      </c>
      <c r="O44" s="198"/>
      <c r="P44" s="252">
        <f>'JUSTIFICATIVA DE USINA'!H13</f>
        <v>0</v>
      </c>
      <c r="Q44" s="252"/>
      <c r="R44" s="252"/>
      <c r="S44" s="252"/>
      <c r="T44" s="252"/>
      <c r="U44" s="252"/>
      <c r="W44" s="48">
        <v>11</v>
      </c>
      <c r="X44" s="198">
        <f ca="1">'JUSTIFICATIVA DE USINA'!K13</f>
        <v>0</v>
      </c>
      <c r="Y44" s="198"/>
      <c r="Z44" s="252">
        <f>'JUSTIFICATIVA DE USINA'!L11</f>
        <v>0</v>
      </c>
      <c r="AA44" s="252"/>
      <c r="AB44" s="252"/>
      <c r="AC44" s="252"/>
      <c r="AD44" s="252"/>
      <c r="AE44" s="252"/>
      <c r="AG44" s="48">
        <v>11</v>
      </c>
      <c r="AH44" s="198">
        <f ca="1">'JUSTIFICATIVA DE USINA'!O13</f>
        <v>136.91666666666669</v>
      </c>
      <c r="AI44" s="198"/>
      <c r="AJ44" s="252">
        <f>'JUSTIFICATIVA DE USINA'!P13</f>
        <v>0</v>
      </c>
      <c r="AK44" s="252"/>
      <c r="AL44" s="252"/>
      <c r="AM44" s="252"/>
      <c r="AN44" s="252"/>
      <c r="AO44" s="252"/>
      <c r="AP44" s="49"/>
    </row>
    <row r="45" spans="2:42" s="46" customFormat="1" ht="75" customHeight="1">
      <c r="B45" s="47"/>
      <c r="C45" s="48">
        <v>12</v>
      </c>
      <c r="D45" s="198">
        <f ca="1">'JUSTIFICATIVA DE USINA'!C14</f>
        <v>-3308.2112384665907</v>
      </c>
      <c r="E45" s="198"/>
      <c r="F45" s="252" t="str">
        <f>'JUSTIFICATIVA DE USINA'!D14</f>
        <v>Principal Impacto: PEN2 restrição devido alto estoque pilha de pebble;</v>
      </c>
      <c r="G45" s="252"/>
      <c r="H45" s="252"/>
      <c r="I45" s="252"/>
      <c r="J45" s="252"/>
      <c r="K45" s="252"/>
      <c r="M45" s="48">
        <v>12</v>
      </c>
      <c r="N45" s="198">
        <f ca="1">'JUSTIFICATIVA DE USINA'!G14</f>
        <v>2679</v>
      </c>
      <c r="O45" s="198"/>
      <c r="P45" s="252">
        <f>'JUSTIFICATIVA DE USINA'!H14</f>
        <v>0</v>
      </c>
      <c r="Q45" s="252"/>
      <c r="R45" s="252"/>
      <c r="S45" s="252"/>
      <c r="T45" s="252"/>
      <c r="U45" s="252"/>
      <c r="W45" s="48">
        <v>12</v>
      </c>
      <c r="X45" s="198">
        <f ca="1">'JUSTIFICATIVA DE USINA'!K14</f>
        <v>70</v>
      </c>
      <c r="Y45" s="198"/>
      <c r="Z45" s="252">
        <f>'JUSTIFICATIVA DE USINA'!L14</f>
        <v>0</v>
      </c>
      <c r="AA45" s="252"/>
      <c r="AB45" s="252"/>
      <c r="AC45" s="252"/>
      <c r="AD45" s="252"/>
      <c r="AE45" s="252"/>
      <c r="AG45" s="48">
        <v>12</v>
      </c>
      <c r="AH45" s="198">
        <f ca="1">'JUSTIFICATIVA DE USINA'!O14</f>
        <v>22.916666666666679</v>
      </c>
      <c r="AI45" s="198"/>
      <c r="AJ45" s="252">
        <f>'JUSTIFICATIVA DE USINA'!P14</f>
        <v>0</v>
      </c>
      <c r="AK45" s="252"/>
      <c r="AL45" s="252"/>
      <c r="AM45" s="252"/>
      <c r="AN45" s="252"/>
      <c r="AO45" s="252"/>
      <c r="AP45" s="49"/>
    </row>
    <row r="46" spans="2:42" s="46" customFormat="1" ht="75" customHeight="1">
      <c r="B46" s="47"/>
      <c r="C46" s="48">
        <v>13</v>
      </c>
      <c r="D46" s="198">
        <f ca="1">'JUSTIFICATIVA DE USINA'!C15</f>
        <v>-175.95473018486609</v>
      </c>
      <c r="E46" s="198"/>
      <c r="F46" s="252" t="str">
        <f>'JUSTIFICATIVA DE USINA'!D15</f>
        <v>Principal Impacto: PEN2 restrição devido alto estoque pilha de pebble;</v>
      </c>
      <c r="G46" s="252"/>
      <c r="H46" s="252"/>
      <c r="I46" s="252"/>
      <c r="J46" s="252"/>
      <c r="K46" s="252"/>
      <c r="M46" s="48">
        <v>13</v>
      </c>
      <c r="N46" s="198">
        <f ca="1">'JUSTIFICATIVA DE USINA'!G15</f>
        <v>3508</v>
      </c>
      <c r="O46" s="198"/>
      <c r="P46" s="252" t="e">
        <f>'JUSTIFICATIVA DE USINA'!#REF!</f>
        <v>#REF!</v>
      </c>
      <c r="Q46" s="252"/>
      <c r="R46" s="252"/>
      <c r="S46" s="252"/>
      <c r="T46" s="252"/>
      <c r="U46" s="252"/>
      <c r="W46" s="48">
        <v>13</v>
      </c>
      <c r="X46" s="198">
        <f ca="1">'JUSTIFICATIVA DE USINA'!K15</f>
        <v>0</v>
      </c>
      <c r="Y46" s="198"/>
      <c r="Z46" s="252">
        <f>'JUSTIFICATIVA DE USINA'!L15</f>
        <v>0</v>
      </c>
      <c r="AA46" s="252"/>
      <c r="AB46" s="252"/>
      <c r="AC46" s="252"/>
      <c r="AD46" s="252"/>
      <c r="AE46" s="252"/>
      <c r="AG46" s="48">
        <v>13</v>
      </c>
      <c r="AH46" s="198">
        <f ca="1">'JUSTIFICATIVA DE USINA'!O15</f>
        <v>-42.083333333333321</v>
      </c>
      <c r="AI46" s="198"/>
      <c r="AJ46" s="252">
        <f>'JUSTIFICATIVA DE USINA'!P15</f>
        <v>0</v>
      </c>
      <c r="AK46" s="252"/>
      <c r="AL46" s="252"/>
      <c r="AM46" s="252"/>
      <c r="AN46" s="252"/>
      <c r="AO46" s="252"/>
      <c r="AP46" s="49"/>
    </row>
    <row r="47" spans="2:42" s="46" customFormat="1" ht="75" customHeight="1">
      <c r="B47" s="47"/>
      <c r="C47" s="48">
        <v>14</v>
      </c>
      <c r="D47" s="198">
        <f ca="1">'JUSTIFICATIVA DE USINA'!C16</f>
        <v>-822.33713345755677</v>
      </c>
      <c r="E47" s="198"/>
      <c r="F47" s="252" t="str">
        <f>'JUSTIFICATIVA DE USINA'!D16</f>
        <v>Principal Impacto: Estratégia direcionamento prioriozando EIXO N4 para US-2</v>
      </c>
      <c r="G47" s="252"/>
      <c r="H47" s="252"/>
      <c r="I47" s="252"/>
      <c r="J47" s="252"/>
      <c r="K47" s="252"/>
      <c r="M47" s="48">
        <v>14</v>
      </c>
      <c r="N47" s="198">
        <f ca="1">'JUSTIFICATIVA DE USINA'!G16</f>
        <v>228.15999999999985</v>
      </c>
      <c r="O47" s="198"/>
      <c r="P47" s="252">
        <f>'JUSTIFICATIVA DE USINA'!H15</f>
        <v>0</v>
      </c>
      <c r="Q47" s="252"/>
      <c r="R47" s="252"/>
      <c r="S47" s="252"/>
      <c r="T47" s="252"/>
      <c r="U47" s="252"/>
      <c r="W47" s="48">
        <v>14</v>
      </c>
      <c r="X47" s="198">
        <f ca="1">'JUSTIFICATIVA DE USINA'!K16</f>
        <v>560</v>
      </c>
      <c r="Y47" s="198"/>
      <c r="Z47" s="252">
        <f>'JUSTIFICATIVA DE USINA'!L16</f>
        <v>0</v>
      </c>
      <c r="AA47" s="252"/>
      <c r="AB47" s="252"/>
      <c r="AC47" s="252"/>
      <c r="AD47" s="252"/>
      <c r="AE47" s="252"/>
      <c r="AG47" s="48">
        <v>14</v>
      </c>
      <c r="AH47" s="198">
        <f ca="1">'JUSTIFICATIVA DE USINA'!O16</f>
        <v>64.916666666666686</v>
      </c>
      <c r="AI47" s="198"/>
      <c r="AJ47" s="252">
        <f>'JUSTIFICATIVA DE USINA'!P17</f>
        <v>0</v>
      </c>
      <c r="AK47" s="252"/>
      <c r="AL47" s="252"/>
      <c r="AM47" s="252"/>
      <c r="AN47" s="252"/>
      <c r="AO47" s="252"/>
      <c r="AP47" s="49"/>
    </row>
    <row r="48" spans="2:42" s="46" customFormat="1" ht="75" customHeight="1">
      <c r="B48" s="47"/>
      <c r="C48" s="48">
        <v>15</v>
      </c>
      <c r="D48" s="198">
        <f ca="1">'JUSTIFICATIVA DE USINA'!C17</f>
        <v>-130.90242129014132</v>
      </c>
      <c r="E48" s="198"/>
      <c r="F48" s="252" t="str">
        <f>'JUSTIFICATIVA DE USINA'!D19</f>
        <v>Principal Impacto: Estratégia direcionamento prioriozando EIXO N4 para US-2 (dado à baixa produtividade do PEN 2 pela elevão no nível da pilha de Pebble);</v>
      </c>
      <c r="G48" s="252"/>
      <c r="H48" s="252"/>
      <c r="I48" s="252"/>
      <c r="J48" s="252"/>
      <c r="K48" s="252"/>
      <c r="M48" s="48">
        <v>15</v>
      </c>
      <c r="N48" s="198">
        <f ca="1">'JUSTIFICATIVA DE USINA'!G17</f>
        <v>1215.4400000000005</v>
      </c>
      <c r="O48" s="198"/>
      <c r="P48" s="252">
        <f>'JUSTIFICATIVA DE USINA'!H16</f>
        <v>0</v>
      </c>
      <c r="Q48" s="252"/>
      <c r="R48" s="252"/>
      <c r="S48" s="252"/>
      <c r="T48" s="252"/>
      <c r="U48" s="252"/>
      <c r="W48" s="48">
        <v>15</v>
      </c>
      <c r="X48" s="198">
        <f ca="1">'JUSTIFICATIVA DE USINA'!K17</f>
        <v>580</v>
      </c>
      <c r="Y48" s="198"/>
      <c r="Z48" s="252">
        <f>'JUSTIFICATIVA DE USINA'!L17</f>
        <v>0</v>
      </c>
      <c r="AA48" s="252"/>
      <c r="AB48" s="252"/>
      <c r="AC48" s="252"/>
      <c r="AD48" s="252"/>
      <c r="AE48" s="252"/>
      <c r="AG48" s="48">
        <v>15</v>
      </c>
      <c r="AH48" s="198">
        <f ca="1">'JUSTIFICATIVA DE USINA'!O17</f>
        <v>127.91666666666669</v>
      </c>
      <c r="AI48" s="198"/>
      <c r="AJ48" s="252" t="e">
        <f>'JUSTIFICATIVA DE USINA'!#REF!</f>
        <v>#REF!</v>
      </c>
      <c r="AK48" s="252"/>
      <c r="AL48" s="252"/>
      <c r="AM48" s="252"/>
      <c r="AN48" s="252"/>
      <c r="AO48" s="252"/>
      <c r="AP48" s="49"/>
    </row>
    <row r="49" spans="2:42" s="46" customFormat="1" ht="75" customHeight="1">
      <c r="B49" s="47"/>
      <c r="C49" s="48">
        <v>16</v>
      </c>
      <c r="D49" s="198">
        <f ca="1">'JUSTIFICATIVA DE USINA'!C18</f>
        <v>-1774.1521687614586</v>
      </c>
      <c r="E49" s="198"/>
      <c r="F49" s="252" t="e">
        <f>'JUSTIFICATIVA DE USINA'!#REF!</f>
        <v>#REF!</v>
      </c>
      <c r="G49" s="252"/>
      <c r="H49" s="252"/>
      <c r="I49" s="252"/>
      <c r="J49" s="252"/>
      <c r="K49" s="252"/>
      <c r="M49" s="48">
        <v>16</v>
      </c>
      <c r="N49" s="198">
        <f ca="1">'JUSTIFICATIVA DE USINA'!G18</f>
        <v>672.19999999999982</v>
      </c>
      <c r="O49" s="198"/>
      <c r="P49" s="252">
        <f>'JUSTIFICATIVA DE USINA'!H16</f>
        <v>0</v>
      </c>
      <c r="Q49" s="252"/>
      <c r="R49" s="252"/>
      <c r="S49" s="252"/>
      <c r="T49" s="252"/>
      <c r="U49" s="252"/>
      <c r="W49" s="48">
        <v>16</v>
      </c>
      <c r="X49" s="198">
        <f ca="1">'JUSTIFICATIVA DE USINA'!K18</f>
        <v>510</v>
      </c>
      <c r="Y49" s="198"/>
      <c r="Z49" s="252">
        <f>'JUSTIFICATIVA DE USINA'!L18</f>
        <v>0</v>
      </c>
      <c r="AA49" s="252"/>
      <c r="AB49" s="252"/>
      <c r="AC49" s="252"/>
      <c r="AD49" s="252"/>
      <c r="AE49" s="252"/>
      <c r="AG49" s="48">
        <v>16</v>
      </c>
      <c r="AH49" s="198">
        <f ca="1">'JUSTIFICATIVA DE USINA'!O18</f>
        <v>48.916666666666679</v>
      </c>
      <c r="AI49" s="198"/>
      <c r="AJ49" s="252">
        <f>'JUSTIFICATIVA DE USINA'!P18</f>
        <v>0</v>
      </c>
      <c r="AK49" s="252"/>
      <c r="AL49" s="252"/>
      <c r="AM49" s="252"/>
      <c r="AN49" s="252"/>
      <c r="AO49" s="252"/>
      <c r="AP49" s="49"/>
    </row>
    <row r="50" spans="2:42" s="46" customFormat="1" ht="75" customHeight="1">
      <c r="B50" s="47"/>
      <c r="C50" s="48">
        <v>17</v>
      </c>
      <c r="D50" s="198">
        <f ca="1">'JUSTIFICATIVA DE USINA'!C19</f>
        <v>-4309.8500074180483</v>
      </c>
      <c r="E50" s="198"/>
      <c r="F50" s="252" t="e">
        <f>'JUSTIFICATIVA DE USINA'!#REF!</f>
        <v>#REF!</v>
      </c>
      <c r="G50" s="252"/>
      <c r="H50" s="252"/>
      <c r="I50" s="252"/>
      <c r="J50" s="252"/>
      <c r="K50" s="252"/>
      <c r="M50" s="48">
        <v>17</v>
      </c>
      <c r="N50" s="198">
        <f ca="1">'JUSTIFICATIVA DE USINA'!G19</f>
        <v>1124.2800000000007</v>
      </c>
      <c r="O50" s="198"/>
      <c r="P50" s="252">
        <f>'JUSTIFICATIVA DE USINA'!H20</f>
        <v>0</v>
      </c>
      <c r="Q50" s="252"/>
      <c r="R50" s="252"/>
      <c r="S50" s="252"/>
      <c r="T50" s="252"/>
      <c r="U50" s="252"/>
      <c r="W50" s="48">
        <v>17</v>
      </c>
      <c r="X50" s="198">
        <f ca="1">'JUSTIFICATIVA DE USINA'!K19</f>
        <v>0</v>
      </c>
      <c r="Y50" s="198"/>
      <c r="Z50" s="252">
        <f>'JUSTIFICATIVA DE USINA'!L19</f>
        <v>0</v>
      </c>
      <c r="AA50" s="252"/>
      <c r="AB50" s="252"/>
      <c r="AC50" s="252"/>
      <c r="AD50" s="252"/>
      <c r="AE50" s="252"/>
      <c r="AG50" s="48">
        <v>17</v>
      </c>
      <c r="AH50" s="198">
        <f ca="1">'JUSTIFICATIVA DE USINA'!O19</f>
        <v>4.9166666666666785</v>
      </c>
      <c r="AI50" s="198"/>
      <c r="AJ50" s="252">
        <f>'JUSTIFICATIVA DE USINA'!P19</f>
        <v>0</v>
      </c>
      <c r="AK50" s="252"/>
      <c r="AL50" s="252"/>
      <c r="AM50" s="252"/>
      <c r="AN50" s="252"/>
      <c r="AO50" s="252"/>
      <c r="AP50" s="49"/>
    </row>
    <row r="51" spans="2:42" s="46" customFormat="1" ht="75" customHeight="1">
      <c r="B51" s="47"/>
      <c r="C51" s="48">
        <v>18</v>
      </c>
      <c r="D51" s="198">
        <f ca="1">'JUSTIFICATIVA DE USINA'!C20</f>
        <v>-693.31664800832004</v>
      </c>
      <c r="E51" s="198"/>
      <c r="F51" s="252" t="str">
        <f>'JUSTIFICATIVA DE USINA'!D20</f>
        <v>Principal Impacto: Estratégia direcionamento prioriozando EIXO N4 para US-2 (dado à baixa produtividade do PEN 2 pela elevão no nível da pilha de Pebble);</v>
      </c>
      <c r="G51" s="252"/>
      <c r="H51" s="252"/>
      <c r="I51" s="252"/>
      <c r="J51" s="252"/>
      <c r="K51" s="252"/>
      <c r="M51" s="48">
        <v>18</v>
      </c>
      <c r="N51" s="198">
        <f ca="1">'JUSTIFICATIVA DE USINA'!G20</f>
        <v>1457.2399999999998</v>
      </c>
      <c r="O51" s="198"/>
      <c r="P51" s="252" t="e">
        <f>'JUSTIFICATIVA DE USINA'!#REF!</f>
        <v>#REF!</v>
      </c>
      <c r="Q51" s="252"/>
      <c r="R51" s="252"/>
      <c r="S51" s="252"/>
      <c r="T51" s="252"/>
      <c r="U51" s="252"/>
      <c r="W51" s="48">
        <v>18</v>
      </c>
      <c r="X51" s="198">
        <f ca="1">'JUSTIFICATIVA DE USINA'!K20</f>
        <v>0</v>
      </c>
      <c r="Y51" s="198"/>
      <c r="Z51" s="252">
        <f>'JUSTIFICATIVA DE USINA'!L21</f>
        <v>0</v>
      </c>
      <c r="AA51" s="252"/>
      <c r="AB51" s="252"/>
      <c r="AC51" s="252"/>
      <c r="AD51" s="252"/>
      <c r="AE51" s="252"/>
      <c r="AG51" s="48">
        <v>18</v>
      </c>
      <c r="AH51" s="198">
        <f ca="1">'JUSTIFICATIVA DE USINA'!O20</f>
        <v>113.91666666666669</v>
      </c>
      <c r="AI51" s="198"/>
      <c r="AJ51" s="252">
        <f>'JUSTIFICATIVA DE USINA'!P20</f>
        <v>0</v>
      </c>
      <c r="AK51" s="252"/>
      <c r="AL51" s="252"/>
      <c r="AM51" s="252"/>
      <c r="AN51" s="252"/>
      <c r="AO51" s="252"/>
      <c r="AP51" s="49"/>
    </row>
    <row r="52" spans="2:42" s="46" customFormat="1" ht="75" customHeight="1">
      <c r="B52" s="47"/>
      <c r="C52" s="48">
        <v>19</v>
      </c>
      <c r="D52" s="198">
        <f ca="1">'JUSTIFICATIVA DE USINA'!C21</f>
        <v>-2889.7875048190326</v>
      </c>
      <c r="E52" s="198"/>
      <c r="F52" s="252" t="str">
        <f>'JUSTIFICATIVA DE USINA'!D21</f>
        <v>Principal Impacto: Estratégia direcionamento prioriozando EIXO N4 para US-2 (dado à baixa produtividade do PEN 2 pela elevão no nível da pilha de Pebble);</v>
      </c>
      <c r="G52" s="252"/>
      <c r="H52" s="252"/>
      <c r="I52" s="252"/>
      <c r="J52" s="252"/>
      <c r="K52" s="252"/>
      <c r="M52" s="48">
        <v>19</v>
      </c>
      <c r="N52" s="198">
        <f ca="1">'JUSTIFICATIVA DE USINA'!G21</f>
        <v>299.76000000000022</v>
      </c>
      <c r="O52" s="198"/>
      <c r="P52" s="252">
        <f>'JUSTIFICATIVA DE USINA'!H21</f>
        <v>0</v>
      </c>
      <c r="Q52" s="252"/>
      <c r="R52" s="252"/>
      <c r="S52" s="252"/>
      <c r="T52" s="252"/>
      <c r="U52" s="252"/>
      <c r="W52" s="48">
        <v>19</v>
      </c>
      <c r="X52" s="198">
        <f ca="1">'JUSTIFICATIVA DE USINA'!K21</f>
        <v>0</v>
      </c>
      <c r="Y52" s="198"/>
      <c r="Z52" s="252">
        <f>'JUSTIFICATIVA DE USINA'!L22</f>
        <v>0</v>
      </c>
      <c r="AA52" s="252"/>
      <c r="AB52" s="252"/>
      <c r="AC52" s="252"/>
      <c r="AD52" s="252"/>
      <c r="AE52" s="252"/>
      <c r="AG52" s="48">
        <v>19</v>
      </c>
      <c r="AH52" s="198">
        <f ca="1">'JUSTIFICATIVA DE USINA'!O21</f>
        <v>-42.083333333333321</v>
      </c>
      <c r="AI52" s="198"/>
      <c r="AJ52" s="252" t="str">
        <f>'JUSTIFICATIVA DE USINA'!P21</f>
        <v>Impacto Principal: Estratégia direcionamento ativos para US-1  (dado à baixa produtividade do PEN 2 pela elevão no nível da pilha de Pebble);</v>
      </c>
      <c r="AK52" s="252"/>
      <c r="AL52" s="252"/>
      <c r="AM52" s="252"/>
      <c r="AN52" s="252"/>
      <c r="AO52" s="252"/>
      <c r="AP52" s="49"/>
    </row>
    <row r="53" spans="2:42" s="46" customFormat="1" ht="75" customHeight="1">
      <c r="B53" s="47"/>
      <c r="C53" s="48">
        <v>20</v>
      </c>
      <c r="D53" s="198">
        <f ca="1">'JUSTIFICATIVA DE USINA'!C22</f>
        <v>-5736.5966844498962</v>
      </c>
      <c r="E53" s="198"/>
      <c r="F53" s="252" t="str">
        <f>'JUSTIFICATIVA DE USINA'!D22</f>
        <v>Principal Impacto: Estratégia direcionamento prioriozando EIXO N4 para US-2 (dado à baixa produtividade do PEN 2 pela elevão no nível da pilha de Pebble);</v>
      </c>
      <c r="G53" s="252"/>
      <c r="H53" s="252"/>
      <c r="I53" s="252"/>
      <c r="J53" s="252"/>
      <c r="K53" s="252"/>
      <c r="M53" s="48">
        <v>20</v>
      </c>
      <c r="N53" s="198">
        <f ca="1">'JUSTIFICATIVA DE USINA'!G22</f>
        <v>-472.11999999999898</v>
      </c>
      <c r="O53" s="198"/>
      <c r="P53" s="252" t="str">
        <f>'JUSTIFICATIVA DE USINA'!H22</f>
        <v>Meta D+1 dia cumpriu;</v>
      </c>
      <c r="Q53" s="252"/>
      <c r="R53" s="252"/>
      <c r="S53" s="252"/>
      <c r="T53" s="252"/>
      <c r="U53" s="252"/>
      <c r="W53" s="48">
        <v>20</v>
      </c>
      <c r="X53" s="198">
        <f ca="1">'JUSTIFICATIVA DE USINA'!K22</f>
        <v>0</v>
      </c>
      <c r="Y53" s="198"/>
      <c r="Z53" s="252">
        <f>'JUSTIFICATIVA DE USINA'!L23</f>
        <v>0</v>
      </c>
      <c r="AA53" s="252"/>
      <c r="AB53" s="252"/>
      <c r="AC53" s="252"/>
      <c r="AD53" s="252"/>
      <c r="AE53" s="252"/>
      <c r="AG53" s="48">
        <v>20</v>
      </c>
      <c r="AH53" s="198">
        <f ca="1">'JUSTIFICATIVA DE USINA'!O22</f>
        <v>22.916666666666679</v>
      </c>
      <c r="AI53" s="198"/>
      <c r="AJ53" s="252">
        <f>'JUSTIFICATIVA DE USINA'!P22</f>
        <v>0</v>
      </c>
      <c r="AK53" s="252"/>
      <c r="AL53" s="252"/>
      <c r="AM53" s="252"/>
      <c r="AN53" s="252"/>
      <c r="AO53" s="252"/>
      <c r="AP53" s="49"/>
    </row>
    <row r="54" spans="2:42" s="46" customFormat="1" ht="75" customHeight="1">
      <c r="B54" s="47"/>
      <c r="C54" s="48">
        <v>21</v>
      </c>
      <c r="D54" s="198">
        <f ca="1">'JUSTIFICATIVA DE USINA'!C23</f>
        <v>-3718.5570271945144</v>
      </c>
      <c r="E54" s="198"/>
      <c r="F54" s="252" t="str">
        <f>'JUSTIFICATIVA DE USINA'!D23</f>
        <v>Principal Impacto: Estratégia direcionamento prioriozando EIXO N4 para US-2 (dado à baixa produtividade do PEN 2 pela elevão no nível da pilha de Pebble);</v>
      </c>
      <c r="G54" s="252"/>
      <c r="H54" s="252"/>
      <c r="I54" s="252"/>
      <c r="J54" s="252"/>
      <c r="K54" s="252"/>
      <c r="M54" s="48">
        <v>21</v>
      </c>
      <c r="N54" s="198">
        <f ca="1">'JUSTIFICATIVA DE USINA'!G23</f>
        <v>-2492.3999999999996</v>
      </c>
      <c r="O54" s="198"/>
      <c r="P54" s="252" t="str">
        <f>'JUSTIFICATIVA DE USINA'!H23</f>
        <v>Meta D+1 dia cumpriu;</v>
      </c>
      <c r="Q54" s="252"/>
      <c r="R54" s="252"/>
      <c r="S54" s="252"/>
      <c r="T54" s="252"/>
      <c r="U54" s="252"/>
      <c r="W54" s="48">
        <v>21</v>
      </c>
      <c r="X54" s="198">
        <f ca="1">'JUSTIFICATIVA DE USINA'!K23</f>
        <v>810</v>
      </c>
      <c r="Y54" s="198"/>
      <c r="Z54" s="252" t="e">
        <f>'JUSTIFICATIVA DE USINA'!#REF!</f>
        <v>#REF!</v>
      </c>
      <c r="AA54" s="252"/>
      <c r="AB54" s="252"/>
      <c r="AC54" s="252"/>
      <c r="AD54" s="252"/>
      <c r="AE54" s="252"/>
      <c r="AG54" s="48">
        <v>21</v>
      </c>
      <c r="AH54" s="198">
        <f ca="1">'JUSTIFICATIVA DE USINA'!O23</f>
        <v>-41.083333333333321</v>
      </c>
      <c r="AI54" s="198"/>
      <c r="AJ54" s="252" t="str">
        <f>'JUSTIFICATIVA DE USINA'!P23</f>
        <v>Impacto Principal: Estratégia direcionamento ativos para US-1  (dado à baixa produtividade do PEN 2 pela elevão no nível da pilha de Pebble);</v>
      </c>
      <c r="AK54" s="252"/>
      <c r="AL54" s="252"/>
      <c r="AM54" s="252"/>
      <c r="AN54" s="252"/>
      <c r="AO54" s="252"/>
      <c r="AP54" s="49"/>
    </row>
    <row r="55" spans="2:42" s="46" customFormat="1" ht="75" customHeight="1">
      <c r="B55" s="47"/>
      <c r="C55" s="48">
        <v>22</v>
      </c>
      <c r="D55" s="198">
        <f ca="1">'JUSTIFICATIVA DE USINA'!C24</f>
        <v>-2109.5955555023684</v>
      </c>
      <c r="E55" s="198"/>
      <c r="F55" s="252" t="str">
        <f>'JUSTIFICATIVA DE USINA'!D24</f>
        <v>Principal Impacto: Estratégia direcionamento prioriozando EIXO N4 para US-2 (dado à baixa produtividade do PEN 2 pela elevão no nível da pilha de Pebble);</v>
      </c>
      <c r="G55" s="252"/>
      <c r="H55" s="252"/>
      <c r="I55" s="252"/>
      <c r="J55" s="252"/>
      <c r="K55" s="252"/>
      <c r="M55" s="48">
        <v>22</v>
      </c>
      <c r="N55" s="198">
        <f ca="1">'JUSTIFICATIVA DE USINA'!G24</f>
        <v>-1354.6399999999994</v>
      </c>
      <c r="O55" s="198"/>
      <c r="P55" s="252" t="str">
        <f>'JUSTIFICATIVA DE USINA'!H24</f>
        <v>Meta D+1 dia cumpriu;</v>
      </c>
      <c r="Q55" s="252"/>
      <c r="R55" s="252"/>
      <c r="S55" s="252"/>
      <c r="T55" s="252"/>
      <c r="U55" s="252"/>
      <c r="W55" s="48">
        <v>22</v>
      </c>
      <c r="X55" s="198">
        <f ca="1">'JUSTIFICATIVA DE USINA'!K24</f>
        <v>1250</v>
      </c>
      <c r="Y55" s="198"/>
      <c r="Z55" s="252">
        <f>'JUSTIFICATIVA DE USINA'!L24</f>
        <v>0</v>
      </c>
      <c r="AA55" s="252"/>
      <c r="AB55" s="252"/>
      <c r="AC55" s="252"/>
      <c r="AD55" s="252"/>
      <c r="AE55" s="252"/>
      <c r="AG55" s="48">
        <v>22</v>
      </c>
      <c r="AH55" s="198">
        <f ca="1">'JUSTIFICATIVA DE USINA'!O24</f>
        <v>-23.083333333333321</v>
      </c>
      <c r="AI55" s="198"/>
      <c r="AJ55" s="252" t="str">
        <f>'JUSTIFICATIVA DE USINA'!P24</f>
        <v>Impacto Principal: Estratégia direcionamento ativos para US-1  (dado à baixa produtividade do PEN 2 pela elevão no nível da pilha de Pebble);</v>
      </c>
      <c r="AK55" s="252"/>
      <c r="AL55" s="252"/>
      <c r="AM55" s="252"/>
      <c r="AN55" s="252"/>
      <c r="AO55" s="252"/>
      <c r="AP55" s="49"/>
    </row>
    <row r="56" spans="2:42" s="46" customFormat="1" ht="75" customHeight="1">
      <c r="B56" s="47"/>
      <c r="C56" s="48">
        <v>23</v>
      </c>
      <c r="D56" s="198">
        <f ca="1">'JUSTIFICATIVA DE USINA'!C25</f>
        <v>-1101.9449197271297</v>
      </c>
      <c r="E56" s="198"/>
      <c r="F56" s="252" t="str">
        <f>'JUSTIFICATIVA DE USINA'!D25</f>
        <v>Principal Impacto: Estratégia direcionamento prioriozando EIXO N4 para US-2 (dado à baixa produtividade do PEN 2 pela elevão no nível da pilha de Pebble);</v>
      </c>
      <c r="G56" s="252"/>
      <c r="H56" s="252"/>
      <c r="I56" s="252"/>
      <c r="J56" s="252"/>
      <c r="K56" s="252"/>
      <c r="M56" s="48">
        <v>23</v>
      </c>
      <c r="N56" s="198">
        <f ca="1">'JUSTIFICATIVA DE USINA'!G25</f>
        <v>-2638.3999999999996</v>
      </c>
      <c r="O56" s="198"/>
      <c r="P56" s="252" t="str">
        <f>'JUSTIFICATIVA DE USINA'!H25</f>
        <v>Meta D+1 dia cumpriu;</v>
      </c>
      <c r="Q56" s="252"/>
      <c r="R56" s="252"/>
      <c r="S56" s="252"/>
      <c r="T56" s="252"/>
      <c r="U56" s="252"/>
      <c r="W56" s="48">
        <v>23</v>
      </c>
      <c r="X56" s="198">
        <f ca="1">'JUSTIFICATIVA DE USINA'!K25</f>
        <v>390</v>
      </c>
      <c r="Y56" s="198"/>
      <c r="Z56" s="252">
        <f>'JUSTIFICATIVA DE USINA'!L25</f>
        <v>0</v>
      </c>
      <c r="AA56" s="252"/>
      <c r="AB56" s="252"/>
      <c r="AC56" s="252"/>
      <c r="AD56" s="252"/>
      <c r="AE56" s="252"/>
      <c r="AG56" s="48">
        <v>23</v>
      </c>
      <c r="AH56" s="198">
        <f ca="1">'JUSTIFICATIVA DE USINA'!O25</f>
        <v>-42.083333333333321</v>
      </c>
      <c r="AI56" s="198"/>
      <c r="AJ56" s="252" t="str">
        <f>'JUSTIFICATIVA DE USINA'!P25</f>
        <v>Impacto Principal: Estratégia direcionamento ativos para US-1  (dado à baixa produtividade do PEN 2 pela elevão no nível da pilha de Pebble);</v>
      </c>
      <c r="AK56" s="252"/>
      <c r="AL56" s="252"/>
      <c r="AM56" s="252"/>
      <c r="AN56" s="252"/>
      <c r="AO56" s="252"/>
      <c r="AP56" s="49"/>
    </row>
    <row r="57" spans="2:42" s="46" customFormat="1" ht="75" customHeight="1">
      <c r="B57" s="47"/>
      <c r="C57" s="48">
        <v>24</v>
      </c>
      <c r="D57" s="198">
        <f ca="1">'JUSTIFICATIVA DE USINA'!C26</f>
        <v>1977.40950841839</v>
      </c>
      <c r="E57" s="198"/>
      <c r="F57" s="252">
        <f>'JUSTIFICATIVA DE USINA'!D26</f>
        <v>0</v>
      </c>
      <c r="G57" s="252"/>
      <c r="H57" s="252"/>
      <c r="I57" s="252"/>
      <c r="J57" s="252"/>
      <c r="K57" s="252"/>
      <c r="M57" s="48">
        <v>24</v>
      </c>
      <c r="N57" s="198">
        <f ca="1">'JUSTIFICATIVA DE USINA'!G26</f>
        <v>-3596.9999999999991</v>
      </c>
      <c r="O57" s="198"/>
      <c r="P57" s="252" t="str">
        <f>'JUSTIFICATIVA DE USINA'!H26</f>
        <v>Meta D+1 dia cumpriu;</v>
      </c>
      <c r="Q57" s="252"/>
      <c r="R57" s="252"/>
      <c r="S57" s="252"/>
      <c r="T57" s="252"/>
      <c r="U57" s="252"/>
      <c r="W57" s="48">
        <v>24</v>
      </c>
      <c r="X57" s="198">
        <f ca="1">'JUSTIFICATIVA DE USINA'!K26</f>
        <v>0</v>
      </c>
      <c r="Y57" s="198"/>
      <c r="Z57" s="252">
        <f>'JUSTIFICATIVA DE USINA'!L26</f>
        <v>0</v>
      </c>
      <c r="AA57" s="252"/>
      <c r="AB57" s="252"/>
      <c r="AC57" s="252"/>
      <c r="AD57" s="252"/>
      <c r="AE57" s="252"/>
      <c r="AG57" s="48">
        <v>24</v>
      </c>
      <c r="AH57" s="198">
        <f ca="1">'JUSTIFICATIVA DE USINA'!O26</f>
        <v>-42.083333333333321</v>
      </c>
      <c r="AI57" s="198"/>
      <c r="AJ57" s="252" t="str">
        <f>'JUSTIFICATIVA DE USINA'!P26</f>
        <v>Impacto Principal: Estratégia direcionamento ativos para US-1  (dado à baixa produtividade do PEN 2 pela elevão no nível da pilha de Pebble);</v>
      </c>
      <c r="AK57" s="252"/>
      <c r="AL57" s="252"/>
      <c r="AM57" s="252"/>
      <c r="AN57" s="252"/>
      <c r="AO57" s="252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7" t="s">
        <v>1</v>
      </c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9"/>
      <c r="AP93" s="24"/>
    </row>
    <row r="94" spans="2:42" ht="19.899999999999999" customHeight="1">
      <c r="B94" s="23"/>
      <c r="AA94" s="220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2"/>
      <c r="AP94" s="24"/>
    </row>
    <row r="95" spans="2:42" ht="19.899999999999999" customHeight="1">
      <c r="B95" s="23"/>
      <c r="AA95" s="211" t="str">
        <f>'JUSTIFICATIVA DE USINA'!$Z$3</f>
        <v xml:space="preserve">- Abaixo do programa:
Impactos:
- Estratégia direcionamento prioriozando EIXO N4 para US-2 (dado à baixa produtividade do PEN 2 pela elevão no nível da pilha de Pebble);
Ponto de atenção:*
- Nível alto na pilha de Pebble (PGG).
- Restrição de Linhas úmidos por vazamentos de PEAD's.
</v>
      </c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3"/>
      <c r="AP95" s="24"/>
    </row>
    <row r="96" spans="2:42" ht="19.899999999999999" customHeight="1">
      <c r="B96" s="23"/>
      <c r="AA96" s="211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3"/>
      <c r="AP96" s="24"/>
    </row>
    <row r="97" spans="2:42" ht="19.899999999999999" customHeight="1">
      <c r="B97" s="23"/>
      <c r="AA97" s="211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3"/>
      <c r="AP97" s="24"/>
    </row>
    <row r="98" spans="2:42" ht="19.899999999999999" customHeight="1">
      <c r="B98" s="23"/>
      <c r="AA98" s="211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3"/>
      <c r="AP98" s="24"/>
    </row>
    <row r="99" spans="2:42" ht="19.899999999999999" customHeight="1">
      <c r="B99" s="23"/>
      <c r="AA99" s="211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3"/>
      <c r="AP99" s="24"/>
    </row>
    <row r="100" spans="2:42" ht="19.899999999999999" customHeight="1">
      <c r="B100" s="23"/>
      <c r="AA100" s="211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3"/>
      <c r="AP100" s="24"/>
    </row>
    <row r="101" spans="2:42" ht="19.899999999999999" customHeight="1">
      <c r="B101" s="23"/>
      <c r="AA101" s="211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3"/>
      <c r="AP101" s="24"/>
    </row>
    <row r="102" spans="2:42" ht="19.899999999999999" customHeight="1">
      <c r="B102" s="23"/>
      <c r="AA102" s="211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3"/>
      <c r="AP102" s="24"/>
    </row>
    <row r="103" spans="2:42" ht="19.899999999999999" customHeight="1">
      <c r="B103" s="23"/>
      <c r="AA103" s="211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3"/>
      <c r="AP103" s="24"/>
    </row>
    <row r="104" spans="2:42" ht="19.899999999999999" customHeight="1">
      <c r="B104" s="23"/>
      <c r="AA104" s="211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3"/>
      <c r="AP104" s="24"/>
    </row>
    <row r="105" spans="2:42" ht="19.899999999999999" customHeight="1">
      <c r="B105" s="23"/>
      <c r="AA105" s="211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3"/>
      <c r="AP105" s="24"/>
    </row>
    <row r="106" spans="2:42" ht="19.899999999999999" customHeight="1">
      <c r="B106" s="23"/>
      <c r="AA106" s="211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3"/>
      <c r="AP106" s="24"/>
    </row>
    <row r="107" spans="2:42" ht="19.899999999999999" customHeight="1">
      <c r="B107" s="23"/>
      <c r="AA107" s="211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3"/>
      <c r="AP107" s="24"/>
    </row>
    <row r="108" spans="2:42" ht="19.899999999999999" customHeight="1" thickBot="1">
      <c r="B108" s="23"/>
      <c r="AA108" s="214"/>
      <c r="AB108" s="215"/>
      <c r="AC108" s="215"/>
      <c r="AD108" s="215"/>
      <c r="AE108" s="215"/>
      <c r="AF108" s="215"/>
      <c r="AG108" s="215"/>
      <c r="AH108" s="215"/>
      <c r="AI108" s="215"/>
      <c r="AJ108" s="215"/>
      <c r="AK108" s="215"/>
      <c r="AL108" s="215"/>
      <c r="AM108" s="215"/>
      <c r="AN108" s="215"/>
      <c r="AO108" s="216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17" t="s">
        <v>2</v>
      </c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9"/>
      <c r="AP111" s="24"/>
    </row>
    <row r="112" spans="2:42" ht="19.899999999999999" customHeight="1">
      <c r="B112" s="23"/>
      <c r="AA112" s="220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2"/>
      <c r="AP112" s="24"/>
    </row>
    <row r="113" spans="2:42" ht="19.899999999999999" customHeight="1">
      <c r="B113" s="23"/>
      <c r="AA113" s="211" t="str">
        <f>'JUSTIFICATIVA DE USINA'!$AL$3</f>
        <v xml:space="preserve">-  Cumpriu o programa.
</v>
      </c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3"/>
      <c r="AP113" s="24"/>
    </row>
    <row r="114" spans="2:42" ht="19.899999999999999" customHeight="1">
      <c r="B114" s="23"/>
      <c r="AA114" s="211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3"/>
      <c r="AP114" s="24"/>
    </row>
    <row r="115" spans="2:42" ht="19.899999999999999" customHeight="1">
      <c r="B115" s="23"/>
      <c r="AA115" s="211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3"/>
      <c r="AP115" s="24"/>
    </row>
    <row r="116" spans="2:42" ht="19.899999999999999" customHeight="1">
      <c r="B116" s="23"/>
      <c r="AA116" s="211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3"/>
      <c r="AP116" s="24"/>
    </row>
    <row r="117" spans="2:42" ht="19.899999999999999" customHeight="1">
      <c r="B117" s="23"/>
      <c r="AA117" s="211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3"/>
      <c r="AP117" s="24"/>
    </row>
    <row r="118" spans="2:42" ht="19.899999999999999" customHeight="1">
      <c r="B118" s="23"/>
      <c r="AA118" s="211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3"/>
      <c r="AP118" s="24"/>
    </row>
    <row r="119" spans="2:42" ht="19.899999999999999" customHeight="1">
      <c r="B119" s="23"/>
      <c r="AA119" s="211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3"/>
      <c r="AP119" s="24"/>
    </row>
    <row r="120" spans="2:42" ht="19.899999999999999" customHeight="1">
      <c r="B120" s="23"/>
      <c r="AA120" s="211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3"/>
      <c r="AP120" s="24"/>
    </row>
    <row r="121" spans="2:42" ht="19.899999999999999" customHeight="1">
      <c r="B121" s="23"/>
      <c r="AA121" s="211"/>
      <c r="AB121" s="212"/>
      <c r="AC121" s="212"/>
      <c r="AD121" s="212"/>
      <c r="AE121" s="212"/>
      <c r="AF121" s="212"/>
      <c r="AG121" s="212"/>
      <c r="AH121" s="212"/>
      <c r="AI121" s="212"/>
      <c r="AJ121" s="212"/>
      <c r="AK121" s="212"/>
      <c r="AL121" s="212"/>
      <c r="AM121" s="212"/>
      <c r="AN121" s="212"/>
      <c r="AO121" s="213"/>
      <c r="AP121" s="24"/>
    </row>
    <row r="122" spans="2:42" ht="19.899999999999999" customHeight="1">
      <c r="B122" s="23"/>
      <c r="AA122" s="211"/>
      <c r="AB122" s="212"/>
      <c r="AC122" s="212"/>
      <c r="AD122" s="212"/>
      <c r="AE122" s="212"/>
      <c r="AF122" s="212"/>
      <c r="AG122" s="212"/>
      <c r="AH122" s="212"/>
      <c r="AI122" s="212"/>
      <c r="AJ122" s="212"/>
      <c r="AK122" s="212"/>
      <c r="AL122" s="212"/>
      <c r="AM122" s="212"/>
      <c r="AN122" s="212"/>
      <c r="AO122" s="213"/>
      <c r="AP122" s="24"/>
    </row>
    <row r="123" spans="2:42" ht="19.899999999999999" customHeight="1">
      <c r="B123" s="23"/>
      <c r="AA123" s="211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3"/>
      <c r="AP123" s="24"/>
    </row>
    <row r="124" spans="2:42" ht="19.899999999999999" customHeight="1">
      <c r="B124" s="23"/>
      <c r="AA124" s="211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3"/>
      <c r="AP124" s="24"/>
    </row>
    <row r="125" spans="2:42" ht="19.899999999999999" customHeight="1">
      <c r="B125" s="23"/>
      <c r="AA125" s="211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3"/>
      <c r="AP125" s="24"/>
    </row>
    <row r="126" spans="2:42" ht="19.899999999999999" customHeight="1" thickBot="1">
      <c r="B126" s="23"/>
      <c r="AA126" s="214"/>
      <c r="AB126" s="215"/>
      <c r="AC126" s="215"/>
      <c r="AD126" s="215"/>
      <c r="AE126" s="215"/>
      <c r="AF126" s="215"/>
      <c r="AG126" s="215"/>
      <c r="AH126" s="215"/>
      <c r="AI126" s="215"/>
      <c r="AJ126" s="215"/>
      <c r="AK126" s="215"/>
      <c r="AL126" s="215"/>
      <c r="AM126" s="215"/>
      <c r="AN126" s="215"/>
      <c r="AO126" s="216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7" t="s">
        <v>3</v>
      </c>
      <c r="AB129" s="218"/>
      <c r="AC129" s="218"/>
      <c r="AD129" s="218"/>
      <c r="AE129" s="218"/>
      <c r="AF129" s="218"/>
      <c r="AG129" s="218"/>
      <c r="AH129" s="218"/>
      <c r="AI129" s="218"/>
      <c r="AJ129" s="218"/>
      <c r="AK129" s="218"/>
      <c r="AL129" s="218"/>
      <c r="AM129" s="218"/>
      <c r="AN129" s="218"/>
      <c r="AO129" s="219"/>
      <c r="AP129" s="24"/>
    </row>
    <row r="130" spans="2:42" ht="19.899999999999999" customHeight="1">
      <c r="B130" s="23"/>
      <c r="AA130" s="220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2"/>
      <c r="AP130" s="24"/>
    </row>
    <row r="131" spans="2:42" ht="19.899999999999999" customHeight="1">
      <c r="B131" s="23"/>
      <c r="AA131" s="211" t="str">
        <f>'JUSTIFICATIVA DE USINA'!$AX$3</f>
        <v>-Sem  programação 
- Operando por oportunidade.</v>
      </c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3"/>
      <c r="AP131" s="24"/>
    </row>
    <row r="132" spans="2:42" ht="19.899999999999999" customHeight="1">
      <c r="B132" s="23"/>
      <c r="AA132" s="211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3"/>
      <c r="AP132" s="24"/>
    </row>
    <row r="133" spans="2:42" ht="19.899999999999999" customHeight="1">
      <c r="B133" s="23"/>
      <c r="AA133" s="211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3"/>
      <c r="AP133" s="24"/>
    </row>
    <row r="134" spans="2:42" ht="19.899999999999999" customHeight="1">
      <c r="B134" s="23"/>
      <c r="AA134" s="211"/>
      <c r="AB134" s="212"/>
      <c r="AC134" s="212"/>
      <c r="AD134" s="212"/>
      <c r="AE134" s="212"/>
      <c r="AF134" s="212"/>
      <c r="AG134" s="212"/>
      <c r="AH134" s="212"/>
      <c r="AI134" s="212"/>
      <c r="AJ134" s="212"/>
      <c r="AK134" s="212"/>
      <c r="AL134" s="212"/>
      <c r="AM134" s="212"/>
      <c r="AN134" s="212"/>
      <c r="AO134" s="213"/>
      <c r="AP134" s="24"/>
    </row>
    <row r="135" spans="2:42" ht="19.899999999999999" customHeight="1">
      <c r="B135" s="23"/>
      <c r="AA135" s="211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3"/>
      <c r="AP135" s="24"/>
    </row>
    <row r="136" spans="2:42" ht="19.899999999999999" customHeight="1">
      <c r="B136" s="23"/>
      <c r="AA136" s="211"/>
      <c r="AB136" s="212"/>
      <c r="AC136" s="212"/>
      <c r="AD136" s="212"/>
      <c r="AE136" s="212"/>
      <c r="AF136" s="212"/>
      <c r="AG136" s="212"/>
      <c r="AH136" s="212"/>
      <c r="AI136" s="212"/>
      <c r="AJ136" s="212"/>
      <c r="AK136" s="212"/>
      <c r="AL136" s="212"/>
      <c r="AM136" s="212"/>
      <c r="AN136" s="212"/>
      <c r="AO136" s="213"/>
      <c r="AP136" s="24"/>
    </row>
    <row r="137" spans="2:42" ht="19.899999999999999" customHeight="1">
      <c r="B137" s="23"/>
      <c r="AA137" s="211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3"/>
      <c r="AP137" s="24"/>
    </row>
    <row r="138" spans="2:42" ht="19.899999999999999" customHeight="1">
      <c r="B138" s="23"/>
      <c r="AA138" s="211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3"/>
      <c r="AP138" s="24"/>
    </row>
    <row r="139" spans="2:42" ht="19.899999999999999" customHeight="1">
      <c r="B139" s="23"/>
      <c r="AA139" s="211"/>
      <c r="AB139" s="212"/>
      <c r="AC139" s="212"/>
      <c r="AD139" s="212"/>
      <c r="AE139" s="212"/>
      <c r="AF139" s="212"/>
      <c r="AG139" s="212"/>
      <c r="AH139" s="212"/>
      <c r="AI139" s="212"/>
      <c r="AJ139" s="212"/>
      <c r="AK139" s="212"/>
      <c r="AL139" s="212"/>
      <c r="AM139" s="212"/>
      <c r="AN139" s="212"/>
      <c r="AO139" s="213"/>
      <c r="AP139" s="24"/>
    </row>
    <row r="140" spans="2:42" ht="19.899999999999999" customHeight="1">
      <c r="B140" s="23"/>
      <c r="AA140" s="211"/>
      <c r="AB140" s="212"/>
      <c r="AC140" s="212"/>
      <c r="AD140" s="212"/>
      <c r="AE140" s="212"/>
      <c r="AF140" s="212"/>
      <c r="AG140" s="212"/>
      <c r="AH140" s="212"/>
      <c r="AI140" s="212"/>
      <c r="AJ140" s="212"/>
      <c r="AK140" s="212"/>
      <c r="AL140" s="212"/>
      <c r="AM140" s="212"/>
      <c r="AN140" s="212"/>
      <c r="AO140" s="213"/>
      <c r="AP140" s="24"/>
    </row>
    <row r="141" spans="2:42" ht="19.899999999999999" customHeight="1">
      <c r="B141" s="23"/>
      <c r="AA141" s="211"/>
      <c r="AB141" s="212"/>
      <c r="AC141" s="212"/>
      <c r="AD141" s="212"/>
      <c r="AE141" s="212"/>
      <c r="AF141" s="212"/>
      <c r="AG141" s="212"/>
      <c r="AH141" s="212"/>
      <c r="AI141" s="212"/>
      <c r="AJ141" s="212"/>
      <c r="AK141" s="212"/>
      <c r="AL141" s="212"/>
      <c r="AM141" s="212"/>
      <c r="AN141" s="212"/>
      <c r="AO141" s="213"/>
      <c r="AP141" s="24"/>
    </row>
    <row r="142" spans="2:42" ht="19.899999999999999" customHeight="1">
      <c r="B142" s="23"/>
      <c r="AA142" s="211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3"/>
      <c r="AP142" s="24"/>
    </row>
    <row r="143" spans="2:42" ht="19.899999999999999" customHeight="1">
      <c r="B143" s="23"/>
      <c r="AA143" s="211"/>
      <c r="AB143" s="212"/>
      <c r="AC143" s="212"/>
      <c r="AD143" s="212"/>
      <c r="AE143" s="212"/>
      <c r="AF143" s="212"/>
      <c r="AG143" s="212"/>
      <c r="AH143" s="212"/>
      <c r="AI143" s="212"/>
      <c r="AJ143" s="212"/>
      <c r="AK143" s="212"/>
      <c r="AL143" s="212"/>
      <c r="AM143" s="212"/>
      <c r="AN143" s="212"/>
      <c r="AO143" s="213"/>
      <c r="AP143" s="24"/>
    </row>
    <row r="144" spans="2:42" ht="19.899999999999999" customHeight="1" thickBot="1">
      <c r="B144" s="23"/>
      <c r="AA144" s="214"/>
      <c r="AB144" s="215"/>
      <c r="AC144" s="215"/>
      <c r="AD144" s="215"/>
      <c r="AE144" s="215"/>
      <c r="AF144" s="215"/>
      <c r="AG144" s="215"/>
      <c r="AH144" s="215"/>
      <c r="AI144" s="215"/>
      <c r="AJ144" s="215"/>
      <c r="AK144" s="215"/>
      <c r="AL144" s="215"/>
      <c r="AM144" s="215"/>
      <c r="AN144" s="215"/>
      <c r="AO144" s="216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17" t="s">
        <v>4</v>
      </c>
      <c r="AB147" s="218"/>
      <c r="AC147" s="218"/>
      <c r="AD147" s="218"/>
      <c r="AE147" s="218"/>
      <c r="AF147" s="218"/>
      <c r="AG147" s="218"/>
      <c r="AH147" s="218"/>
      <c r="AI147" s="218"/>
      <c r="AJ147" s="218"/>
      <c r="AK147" s="218"/>
      <c r="AL147" s="218"/>
      <c r="AM147" s="218"/>
      <c r="AN147" s="218"/>
      <c r="AO147" s="219"/>
      <c r="AP147" s="24"/>
    </row>
    <row r="148" spans="2:42" ht="19.899999999999999" customHeight="1">
      <c r="B148" s="23"/>
      <c r="AA148" s="220"/>
      <c r="AB148" s="221"/>
      <c r="AC148" s="221"/>
      <c r="AD148" s="221"/>
      <c r="AE148" s="221"/>
      <c r="AF148" s="221"/>
      <c r="AG148" s="221"/>
      <c r="AH148" s="221"/>
      <c r="AI148" s="221"/>
      <c r="AJ148" s="221"/>
      <c r="AK148" s="221"/>
      <c r="AL148" s="221"/>
      <c r="AM148" s="221"/>
      <c r="AN148" s="221"/>
      <c r="AO148" s="222"/>
      <c r="AP148" s="24"/>
    </row>
    <row r="149" spans="2:42" ht="19.899999999999999" customHeight="1">
      <c r="B149" s="23"/>
      <c r="AA149" s="211" t="str">
        <f>'JUSTIFICATIVA DE USINA'!$BJ$3</f>
        <v>- Estratégia direcionamento ativos para US-1  (dado à baixa produtividade do PEN 2 pela elevão no nível da pilha de Pebble).</v>
      </c>
      <c r="AB149" s="212"/>
      <c r="AC149" s="212"/>
      <c r="AD149" s="212"/>
      <c r="AE149" s="212"/>
      <c r="AF149" s="212"/>
      <c r="AG149" s="212"/>
      <c r="AH149" s="212"/>
      <c r="AI149" s="212"/>
      <c r="AJ149" s="212"/>
      <c r="AK149" s="212"/>
      <c r="AL149" s="212"/>
      <c r="AM149" s="212"/>
      <c r="AN149" s="212"/>
      <c r="AO149" s="213"/>
      <c r="AP149" s="24"/>
    </row>
    <row r="150" spans="2:42" ht="19.899999999999999" customHeight="1">
      <c r="B150" s="23"/>
      <c r="AA150" s="211"/>
      <c r="AB150" s="212"/>
      <c r="AC150" s="212"/>
      <c r="AD150" s="212"/>
      <c r="AE150" s="212"/>
      <c r="AF150" s="212"/>
      <c r="AG150" s="212"/>
      <c r="AH150" s="212"/>
      <c r="AI150" s="212"/>
      <c r="AJ150" s="212"/>
      <c r="AK150" s="212"/>
      <c r="AL150" s="212"/>
      <c r="AM150" s="212"/>
      <c r="AN150" s="212"/>
      <c r="AO150" s="213"/>
      <c r="AP150" s="24"/>
    </row>
    <row r="151" spans="2:42" ht="19.899999999999999" customHeight="1">
      <c r="B151" s="23"/>
      <c r="AA151" s="211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3"/>
      <c r="AP151" s="24"/>
    </row>
    <row r="152" spans="2:42" ht="19.899999999999999" customHeight="1">
      <c r="B152" s="23"/>
      <c r="AA152" s="211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3"/>
      <c r="AP152" s="24"/>
    </row>
    <row r="153" spans="2:42" ht="19.899999999999999" customHeight="1">
      <c r="B153" s="23"/>
      <c r="AA153" s="211"/>
      <c r="AB153" s="212"/>
      <c r="AC153" s="212"/>
      <c r="AD153" s="212"/>
      <c r="AE153" s="212"/>
      <c r="AF153" s="212"/>
      <c r="AG153" s="212"/>
      <c r="AH153" s="212"/>
      <c r="AI153" s="212"/>
      <c r="AJ153" s="212"/>
      <c r="AK153" s="212"/>
      <c r="AL153" s="212"/>
      <c r="AM153" s="212"/>
      <c r="AN153" s="212"/>
      <c r="AO153" s="213"/>
      <c r="AP153" s="24"/>
    </row>
    <row r="154" spans="2:42" ht="19.899999999999999" customHeight="1">
      <c r="B154" s="23"/>
      <c r="AA154" s="211"/>
      <c r="AB154" s="212"/>
      <c r="AC154" s="212"/>
      <c r="AD154" s="212"/>
      <c r="AE154" s="212"/>
      <c r="AF154" s="212"/>
      <c r="AG154" s="212"/>
      <c r="AH154" s="212"/>
      <c r="AI154" s="212"/>
      <c r="AJ154" s="212"/>
      <c r="AK154" s="212"/>
      <c r="AL154" s="212"/>
      <c r="AM154" s="212"/>
      <c r="AN154" s="212"/>
      <c r="AO154" s="213"/>
      <c r="AP154" s="24"/>
    </row>
    <row r="155" spans="2:42" ht="19.899999999999999" customHeight="1">
      <c r="B155" s="23"/>
      <c r="AA155" s="211"/>
      <c r="AB155" s="212"/>
      <c r="AC155" s="212"/>
      <c r="AD155" s="212"/>
      <c r="AE155" s="212"/>
      <c r="AF155" s="212"/>
      <c r="AG155" s="212"/>
      <c r="AH155" s="212"/>
      <c r="AI155" s="212"/>
      <c r="AJ155" s="212"/>
      <c r="AK155" s="212"/>
      <c r="AL155" s="212"/>
      <c r="AM155" s="212"/>
      <c r="AN155" s="212"/>
      <c r="AO155" s="213"/>
      <c r="AP155" s="24"/>
    </row>
    <row r="156" spans="2:42" ht="19.899999999999999" customHeight="1">
      <c r="B156" s="23"/>
      <c r="AA156" s="211"/>
      <c r="AB156" s="212"/>
      <c r="AC156" s="212"/>
      <c r="AD156" s="212"/>
      <c r="AE156" s="212"/>
      <c r="AF156" s="212"/>
      <c r="AG156" s="212"/>
      <c r="AH156" s="212"/>
      <c r="AI156" s="212"/>
      <c r="AJ156" s="212"/>
      <c r="AK156" s="212"/>
      <c r="AL156" s="212"/>
      <c r="AM156" s="212"/>
      <c r="AN156" s="212"/>
      <c r="AO156" s="213"/>
      <c r="AP156" s="24"/>
    </row>
    <row r="157" spans="2:42" ht="19.899999999999999" customHeight="1">
      <c r="B157" s="23"/>
      <c r="AA157" s="211"/>
      <c r="AB157" s="212"/>
      <c r="AC157" s="212"/>
      <c r="AD157" s="212"/>
      <c r="AE157" s="212"/>
      <c r="AF157" s="212"/>
      <c r="AG157" s="212"/>
      <c r="AH157" s="212"/>
      <c r="AI157" s="212"/>
      <c r="AJ157" s="212"/>
      <c r="AK157" s="212"/>
      <c r="AL157" s="212"/>
      <c r="AM157" s="212"/>
      <c r="AN157" s="212"/>
      <c r="AO157" s="213"/>
      <c r="AP157" s="24"/>
    </row>
    <row r="158" spans="2:42" ht="19.899999999999999" customHeight="1">
      <c r="B158" s="23"/>
      <c r="AA158" s="211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3"/>
      <c r="AP158" s="24"/>
    </row>
    <row r="159" spans="2:42" ht="19.899999999999999" customHeight="1">
      <c r="B159" s="23"/>
      <c r="AA159" s="211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3"/>
      <c r="AP159" s="24"/>
    </row>
    <row r="160" spans="2:42" ht="19.899999999999999" customHeight="1">
      <c r="B160" s="23"/>
      <c r="AA160" s="211"/>
      <c r="AB160" s="212"/>
      <c r="AC160" s="212"/>
      <c r="AD160" s="212"/>
      <c r="AE160" s="212"/>
      <c r="AF160" s="212"/>
      <c r="AG160" s="212"/>
      <c r="AH160" s="212"/>
      <c r="AI160" s="212"/>
      <c r="AJ160" s="212"/>
      <c r="AK160" s="212"/>
      <c r="AL160" s="212"/>
      <c r="AM160" s="212"/>
      <c r="AN160" s="212"/>
      <c r="AO160" s="213"/>
      <c r="AP160" s="24"/>
    </row>
    <row r="161" spans="2:42" ht="19.899999999999999" customHeight="1">
      <c r="B161" s="23"/>
      <c r="AA161" s="211"/>
      <c r="AB161" s="212"/>
      <c r="AC161" s="212"/>
      <c r="AD161" s="212"/>
      <c r="AE161" s="212"/>
      <c r="AF161" s="212"/>
      <c r="AG161" s="212"/>
      <c r="AH161" s="212"/>
      <c r="AI161" s="212"/>
      <c r="AJ161" s="212"/>
      <c r="AK161" s="212"/>
      <c r="AL161" s="212"/>
      <c r="AM161" s="212"/>
      <c r="AN161" s="212"/>
      <c r="AO161" s="213"/>
      <c r="AP161" s="24"/>
    </row>
    <row r="162" spans="2:42" ht="19.899999999999999" customHeight="1" thickBot="1">
      <c r="B162" s="23"/>
      <c r="AA162" s="214"/>
      <c r="AB162" s="215"/>
      <c r="AC162" s="215"/>
      <c r="AD162" s="215"/>
      <c r="AE162" s="215"/>
      <c r="AF162" s="215"/>
      <c r="AG162" s="215"/>
      <c r="AH162" s="215"/>
      <c r="AI162" s="215"/>
      <c r="AJ162" s="215"/>
      <c r="AK162" s="215"/>
      <c r="AL162" s="215"/>
      <c r="AM162" s="215"/>
      <c r="AN162" s="215"/>
      <c r="AO162" s="216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/>
  <mergeCells count="218"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56c044-f2f6-4825-ae61-b726c90d87ff" xsi:nil="true"/>
    <lcf76f155ced4ddcb4097134ff3c332f xmlns="aeb33b5f-5f61-415b-8043-6c30ca4c72e5">
      <Terms xmlns="http://schemas.microsoft.com/office/infopath/2007/PartnerControls"/>
    </lcf76f155ced4ddcb4097134ff3c332f>
    <_Flow_SignoffStatus xmlns="aeb33b5f-5f61-415b-8043-6c30ca4c72e5" xsi:nil="true"/>
    <TranslatedLang xmlns="aeb33b5f-5f61-415b-8043-6c30ca4c72e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IP21ConfigWorkBook xmlns:xsd="http://www.w3.org/2001/XMLSchema" xmlns:xsi="http://www.w3.org/2001/XMLSchema-instance" xmlns="http://www.aspentech.com/ProcessData/ExcelAddIn/IP21ConfigWorkBook">
  <WorkBookName>Informações COI - Usina.xlsm</WorkBookName>
  <MappingTemplateName/>
  <ColumnMaps/>
  <IP21DatabaseSchema>
    <SchemaName>carajas</SchemaName>
    <DefinitionRecords/>
  </IP21DatabaseSchema>
</IP21ConfigWorkBook>
</file>

<file path=customXml/item5.xml>�� 
</file>

<file path=customXml/itemProps1.xml><?xml version="1.0" encoding="utf-8"?>
<ds:datastoreItem xmlns:ds="http://schemas.openxmlformats.org/officeDocument/2006/customXml" ds:itemID="{C63DBF8E-5707-40FA-96E4-64517593B263}"/>
</file>

<file path=customXml/itemProps2.xml><?xml version="1.0" encoding="utf-8"?>
<ds:datastoreItem xmlns:ds="http://schemas.openxmlformats.org/officeDocument/2006/customXml" ds:itemID="{279B3EFF-2EFE-48E0-A08D-3A52953C32A9}"/>
</file>

<file path=customXml/itemProps3.xml><?xml version="1.0" encoding="utf-8"?>
<ds:datastoreItem xmlns:ds="http://schemas.openxmlformats.org/officeDocument/2006/customXml" ds:itemID="{E565A7CD-91CA-4EC9-8D4C-978D19461325}"/>
</file>

<file path=customXml/itemProps4.xml><?xml version="1.0" encoding="utf-8"?>
<ds:datastoreItem xmlns:ds="http://schemas.openxmlformats.org/officeDocument/2006/customXml" ds:itemID="{AB318482-5875-4265-9722-2D212A319A6B}"/>
</file>

<file path=customXml/itemProps5.xml><?xml version="1.0" encoding="utf-8"?>
<ds:datastoreItem xmlns:ds="http://schemas.openxmlformats.org/officeDocument/2006/customXml" ds:itemID="{267C7FD7-CE4B-44A3-9B31-2945E6FB341A}"/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Júlia Marques Mendes das Neves</cp:lastModifiedBy>
  <cp:revision/>
  <dcterms:created xsi:type="dcterms:W3CDTF">2015-03-17T16:33:08Z</dcterms:created>
  <dcterms:modified xsi:type="dcterms:W3CDTF">2024-07-15T15:14:23Z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