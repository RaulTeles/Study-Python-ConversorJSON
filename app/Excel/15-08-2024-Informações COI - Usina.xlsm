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716A9B18-EB2D-497C-BAA6-77E7BA3E05E8}" xr6:coauthVersionLast="47" xr6:coauthVersionMax="47" xr10:uidLastSave="{00000000-0000-0000-0000-000000000000}"/>
  <bookViews>
    <workbookView xWindow="-120" yWindow="-120" windowWidth="29040" windowHeight="15720" tabRatio="706" activeTab="1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functionGroups builtInGroupCount="19"/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_xlnm.Extract">#REF!</definedName>
    <definedName name="_xlnm.Print_Area" localSheetId="1">'ACOMPANHAMENTO USINA'!$A$1:$AP$165</definedName>
    <definedName name="_xlnm.Print_Area" localSheetId="0">'JUSTIFICATIVA DE USINA'!$B$1:$BS$49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_xlnm.Database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_xlnm.Recorder">#REF!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 iterate="1"/>
  <customWorkbookViews>
    <customWorkbookView name="Francidalva Wanzeler - Modo de exibição pessoal" guid="{A48B32F7-E2A2-4C99-BCD4-798D3792245C}" mergeInterval="0" personalView="1" maximized="1" xWindow="-8" yWindow="-8" windowWidth="1382" windowHeight="744" tabRatio="390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Agno Santos - Modo de exibição pessoal" guid="{BA8EEAB2-EE73-4147-AF90-4E46DD1C1569}" mergeInterval="0" personalView="1" maximized="1" xWindow="-8" yWindow="-8" windowWidth="1936" windowHeight="1056" tabRatio="70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7" i="17"/>
  <c r="CG4" i="17"/>
  <c r="CG3" i="17"/>
  <c r="CG2" i="17"/>
  <c r="CG9" i="17"/>
  <c r="CG8" i="17"/>
  <c r="CG5" i="17"/>
  <c r="CG6" i="17"/>
  <c r="W2" i="19" l="1"/>
  <c r="F45" i="18" l="1"/>
  <c r="P39" i="18" l="1"/>
  <c r="F38" i="18" l="1"/>
  <c r="F50" i="18" l="1"/>
  <c r="F34" i="18"/>
  <c r="F35" i="18" l="1"/>
  <c r="AJ50" i="18" l="1"/>
  <c r="F46" i="18"/>
  <c r="P35" i="18" l="1"/>
  <c r="P34" i="18"/>
  <c r="P45" i="18" l="1"/>
  <c r="Q24" i="27" l="1" a="1"/>
  <c r="Q24" i="27" s="1"/>
  <c r="F37" i="18" l="1"/>
  <c r="AJ40" i="18" l="1"/>
  <c r="P36" i="18"/>
  <c r="P37" i="18"/>
  <c r="F41" i="18"/>
  <c r="F42" i="18"/>
  <c r="F43" i="18"/>
  <c r="F44" i="18"/>
  <c r="F47" i="18"/>
  <c r="F48" i="18"/>
  <c r="F49" i="18"/>
  <c r="F51" i="18"/>
  <c r="F52" i="18"/>
  <c r="F53" i="18"/>
  <c r="F54" i="18"/>
  <c r="F55" i="18"/>
  <c r="F56" i="18"/>
  <c r="F57" i="18"/>
  <c r="F36" i="18"/>
  <c r="F39" i="18"/>
  <c r="F40" i="18"/>
  <c r="Z34" i="18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40" i="18"/>
  <c r="P41" i="18"/>
  <c r="O9" i="26"/>
  <c r="O7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C8" i="19" s="1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<sst xmlns="http://schemas.openxmlformats.org/spreadsheetml/2006/main" count="390" uniqueCount="165">
  <si>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</si>
  <si>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</si>
  <si>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</si>
  <si>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</si>
  <si>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</si>
  <si>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</si>
  <si>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</si>
  <si>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</si>
  <si>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</si>
  <si>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</si>
  <si>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</si>
  <si>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</si>
  <si>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</si>
  <si>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</si>
  <si>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</si>
  <si>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</si>
  <si>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3h</t>
  </si>
  <si>
    <t>6h</t>
  </si>
  <si>
    <t>7h</t>
  </si>
  <si>
    <t xml:space="preserve"> 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</si>
  <si>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</si>
  <si>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</si>
  <si>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</si>
  <si>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</si>
  <si>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</si>
  <si>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</si>
  <si>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</si>
  <si>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</si>
  <si>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</si>
  <si>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</si>
  <si>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</si>
  <si>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</si>
  <si>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</si>
  <si>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</si>
  <si>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</si>
  <si>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</si>
  <si>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</si>
  <si>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</si>
  <si>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</si>
  <si>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</si>
  <si>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</si>
  <si>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</si>
  <si>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</si>
  <si>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</si>
  <si>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</si>
  <si>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</si>
  <si>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</si>
  <si>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</si>
  <si>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</si>
  <si>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</si>
  <si>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</si>
  <si>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</si>
  <si>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</si>
  <si>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</si>
  <si>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</si>
  <si>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</si>
  <si>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</si>
  <si>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</si>
  <si>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</si>
  <si>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</si>
  <si>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</si>
  <si>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</si>
  <si>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</si>
  <si>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</si>
  <si>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</si>
  <si>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</si>
  <si>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</si>
  <si>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</si>
  <si>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</si>
  <si>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</si>
  <si>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</si>
  <si>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</si>
  <si>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</si>
  <si>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</si>
  <si>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</si>
  <si>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</si>
  <si>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BSM 02</t>
  </si>
  <si>
    <t>BSM 2</t>
  </si>
  <si>
    <t>Real</t>
  </si>
  <si>
    <t>BSM 3</t>
  </si>
  <si>
    <t>BSM 6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</si>
  <si>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</si>
  <si>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</si>
  <si>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</si>
  <si>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</si>
  <si>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</si>
  <si>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</si>
  <si>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</si>
  <si>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</si>
  <si>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</si>
  <si>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</si>
  <si>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</si>
  <si>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</si>
  <si>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</si>
  <si>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</si>
  <si>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</si>
  <si>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</si>
  <si>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</si>
  <si>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</si>
  <si>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</si>
  <si>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</si>
  <si>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</si>
  <si>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</si>
  <si>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</si>
  <si>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</si>
  <si>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</si>
  <si>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</si>
  <si>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</si>
  <si>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</si>
  <si>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</si>
  <si>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</si>
  <si>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</si>
  <si>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</si>
  <si>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</si>
  <si>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</si>
  <si>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</si>
  <si>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</si>
  <si>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</si>
  <si>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</si>
  <si>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</si>
  <si>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</si>
  <si>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</si>
  <si>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</si>
  <si>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</si>
  <si>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</si>
  <si>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</si>
  <si>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</si>
  <si>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</si>
  <si>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</si>
  <si>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</si>
  <si>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</si>
  <si>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</si>
  <si>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</si>
  <si>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</si>
  <si>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</si>
  <si>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</si>
  <si>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</si>
  <si>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</si>
  <si>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</si>
  <si>
    <t>8h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</si>
  <si>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</t>
  </si>
  <si>
    <t>'- Aderente a massa programada.</t>
  </si>
  <si>
    <r>
      <t>Impacto Principal: -</t>
    </r>
    <r>
      <rPr>
        <sz val="14"/>
        <color theme="1"/>
        <rFont val="Calibri"/>
        <family val="2"/>
        <scheme val="minor"/>
      </rPr>
      <t xml:space="preserve"> REP 02: baixa oferta de ROM, material do PUL BSM 07 fora da granulometria, REP 06: baixa oferta de ROM, DF da ESC 0901 manutenção corretiva;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</si>
  <si>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TR 3011/24: Classificação: atraso de manutenção preventiva,  falha no conversor de profhibus;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</si>
  <si>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 REP 06: baixa oferta de ROM,  ESC 0901 priorizando alimentação para US1 correção do blend;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</si>
  <si>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 REP 06: baixa produtividade,  ESC 0901 priorizando alimentação para US1 correção do blend;</t>
    </r>
  </si>
  <si>
    <r>
      <t xml:space="preserve">- Aderente ao programada.
Ocorrências:*
</t>
    </r>
    <r>
      <rPr>
        <sz val="12"/>
        <color theme="1"/>
        <rFont val="Arial"/>
        <family val="2"/>
      </rPr>
      <t xml:space="preserve">- Baixa oferta de ROM,  ESC 0901 correção de praça, das 00:32 às 01:35;
- PEN 02: baixa produtividade, material úmido e argiloso PUL 680 JAC e ESC 1002, a partir 01:00h, como ação para corrigir o blend foi direcionada ESC 0901 para priorizar alimentação só para US1, a partir 02:30;
</t>
    </r>
    <r>
      <rPr>
        <b/>
        <sz val="12"/>
        <color theme="1"/>
        <rFont val="Arial"/>
        <family val="2"/>
      </rPr>
      <t xml:space="preserve">
*Ponto de Atenção:
</t>
    </r>
    <r>
      <rPr>
        <sz val="12"/>
        <color theme="1"/>
        <rFont val="Arial"/>
        <family val="2"/>
      </rPr>
      <t>-</t>
    </r>
    <r>
      <rPr>
        <b/>
        <sz val="12"/>
        <color theme="1"/>
        <rFont val="Arial"/>
        <family val="2"/>
      </rPr>
      <t xml:space="preserve">
*</t>
    </r>
    <r>
      <rPr>
        <sz val="12"/>
        <color theme="1"/>
        <rFont val="Arial"/>
        <family val="2"/>
      </rPr>
      <t>-</t>
    </r>
  </si>
  <si>
    <r>
      <rPr>
        <b/>
        <sz val="12"/>
        <color theme="1"/>
        <rFont val="Arial"/>
        <family val="2"/>
      </rPr>
      <t xml:space="preserve">- Abaixo ao programada.
- Impactos:
</t>
    </r>
    <r>
      <rPr>
        <sz val="12"/>
        <color theme="1"/>
        <rFont val="Arial"/>
        <family val="2"/>
      </rPr>
      <t xml:space="preserve">- REP 06: Baixa oferta de ROM, ESC 0901 correções de praça, das 00:32 às 01:35;
- REP 02: Baixa oferta de ROM, material do PUL BSM 07 não atende ( fora da granulometria), das 00:00 às 02:00h;
- REP 06:  Baixa produtividade, ESC 0901 priorizando alimentação par US1, a partir 02:30;
</t>
    </r>
    <r>
      <rPr>
        <b/>
        <sz val="12"/>
        <color theme="1"/>
        <rFont val="Arial"/>
        <family val="2"/>
      </rPr>
      <t xml:space="preserve">
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 xml:space="preserve">
*Pontos de Atenção:*
- LN’s 1230- 20/21/REP 02, manutenção preventiva, Previsão17/08 às 23h59.</t>
    </r>
    <r>
      <rPr>
        <sz val="12"/>
        <color theme="1"/>
        <rFont val="Arial"/>
        <family val="2"/>
      </rPr>
      <t xml:space="preserve">
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</si>
  <si>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BSM5 atraso de preventiva (TR 2030-02 falha no sensor de rasgo e BR 2010KN01 com Falha no contactor);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</si>
  <si>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BSM5 PUL-N4WN-NW2-600-A PM em locomoção;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</si>
  <si>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Classificação/Si08 falha na sonda;</t>
    </r>
  </si>
  <si>
    <r>
      <t>Impacto Principal: -</t>
    </r>
    <r>
      <rPr>
        <sz val="14"/>
        <color theme="1"/>
        <rFont val="Calibri"/>
        <family val="2"/>
        <scheme val="minor"/>
      </rPr>
      <t>BSM5/TR 2030-02 desalinhamento e PN 2030-10 falha no inversor;</t>
    </r>
  </si>
  <si>
    <r>
      <t>Impacto Principal: -</t>
    </r>
    <r>
      <rPr>
        <sz val="14"/>
        <color theme="1"/>
        <rFont val="Calibri"/>
        <family val="2"/>
        <scheme val="minor"/>
      </rPr>
      <t>Classificação/DP3011-02 rolamento danificado alimentando somente Bloco B (TR 3011-19 obstrução);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</si>
  <si>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REP6 baixa oferta ESC 0901 corretiiva;</t>
    </r>
  </si>
  <si>
    <r>
      <t xml:space="preserve">Impacto Principal: - </t>
    </r>
    <r>
      <rPr>
        <sz val="14"/>
        <color theme="1"/>
        <rFont val="Calibri"/>
        <family val="2"/>
        <scheme val="minor"/>
      </rPr>
      <t>BSM2 e 06 Insdisponibilidade de Retro (grelha obstruida);</t>
    </r>
  </si>
  <si>
    <r>
      <t xml:space="preserve">Impacto Principal: - </t>
    </r>
    <r>
      <rPr>
        <sz val="14"/>
        <color theme="1"/>
        <rFont val="Calibri"/>
        <family val="2"/>
        <scheme val="minor"/>
      </rPr>
      <t xml:space="preserve"> Baixa oferta ESC 1002 reposicionamento e ESC 0901 corretiva.</t>
    </r>
  </si>
  <si>
    <r>
      <t xml:space="preserve">Impacto Principal: - </t>
    </r>
    <r>
      <rPr>
        <sz val="14"/>
        <color theme="1"/>
        <rFont val="Calibri"/>
        <family val="2"/>
        <scheme val="minor"/>
      </rPr>
      <t xml:space="preserve"> Baixa oferta  ESC 0901 corretiva.</t>
    </r>
  </si>
  <si>
    <r>
      <t xml:space="preserve">Impacto Principal: - </t>
    </r>
    <r>
      <rPr>
        <sz val="14"/>
        <color theme="1"/>
        <rFont val="Calibri"/>
        <family val="2"/>
        <scheme val="minor"/>
      </rPr>
      <t xml:space="preserve"> EIXO N5 Baixa DF de transporte;</t>
    </r>
  </si>
  <si>
    <r>
      <t xml:space="preserve">Impacto Principal: - </t>
    </r>
    <r>
      <rPr>
        <sz val="14"/>
        <color theme="1"/>
        <rFont val="Calibri"/>
        <family val="2"/>
        <scheme val="minor"/>
      </rPr>
      <t xml:space="preserve"> EIXO N5 Baixa DF de transporte, BSM2 DF da Retro 1121;</t>
    </r>
  </si>
  <si>
    <r>
      <t xml:space="preserve">Impacto Principal: - </t>
    </r>
    <r>
      <rPr>
        <sz val="14"/>
        <color theme="1"/>
        <rFont val="Calibri"/>
        <family val="2"/>
        <scheme val="minor"/>
      </rPr>
      <t>TR 3011-19/Classificação: Obstrução no chute de descarga;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</si>
  <si>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REP 02,06: Troca de turno;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</si>
  <si>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REP6 baixa oferta ESC 0901 reposicionamento;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</si>
  <si>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REP6 baixa oferta ESC 0901 reposicionamento, REP 02: Baixa oferta, DF da PC 8109 PUL BSM 07;</t>
    </r>
  </si>
  <si>
    <r>
      <t>Impacto Principal: -</t>
    </r>
    <r>
      <rPr>
        <sz val="14"/>
        <color theme="1"/>
        <rFont val="Calibri"/>
        <family val="2"/>
        <scheme val="minor"/>
      </rPr>
      <t xml:space="preserve"> REP 03: recompondo pulmão;</t>
    </r>
  </si>
  <si>
    <r>
      <rPr>
        <b/>
        <sz val="12"/>
        <color theme="1"/>
        <rFont val="Arial"/>
        <family val="2"/>
      </rPr>
      <t xml:space="preserve">   -Abaixo da programação</t>
    </r>
    <r>
      <rPr>
        <sz val="12"/>
        <color theme="1"/>
        <rFont val="Arial"/>
        <family val="2"/>
      </rPr>
      <t xml:space="preserve">
- </t>
    </r>
    <r>
      <rPr>
        <b/>
        <sz val="12"/>
        <color theme="1"/>
        <rFont val="Arial"/>
        <family val="2"/>
      </rPr>
      <t>Impactos:</t>
    </r>
    <r>
      <rPr>
        <sz val="12"/>
        <color theme="1"/>
        <rFont val="Arial"/>
        <family val="2"/>
      </rPr>
      <t xml:space="preserve">
- TR 3011-24/Classificação: ocorreram diversas paradas devido a falhas na partida do motor de acionamento da TR 3011-024. durante a inspeção, foi identificado que o conversor de rede do M2 apresentou falha de comunicação na rede Profibus, sendo substituído, das 00: 15 às 05:00;
- BSM 5 permanece parada, devido atraso na manutenção preventiva, BR 2010KN01 com Falha no contactor, não está aceitando permissão de comando em modo manutenção (liberado), TR.2030KN-02 Com defeito no sensor de rasgo.
Equipe elétrica em campo verificando as falhas.
 PN 2030-10 fala no inverosr, das 13:09 às 13:25;
- TR 3011-19/Classificação,Bloco B, chave de nivel alto, desde  13:08 (vigente);
- SI 3011-03/Classificação: Eco na sonda, das 15:27 às 16:20, das 18:07 às 18:20; 
</t>
    </r>
    <r>
      <rPr>
        <b/>
        <sz val="12"/>
        <color theme="1"/>
        <rFont val="Arial"/>
        <family val="2"/>
      </rPr>
      <t>Ocorrências:</t>
    </r>
    <r>
      <rPr>
        <sz val="12"/>
        <color theme="1"/>
        <rFont val="Arial"/>
        <family val="2"/>
      </rPr>
      <t xml:space="preserve">
 - Início da alimentação da Classificação às 23h35 com material ensilado para início da PGU. O modo de operação em "anti-avalanche", ativando uma linha por vez.
 -  Alimentação da RC 3011-01 iniciada à retomada às 00h40.
-  TR 3011-18/Classificação: recorrentes paradas por detector de metal;
</t>
    </r>
    <r>
      <rPr>
        <b/>
        <sz val="12"/>
        <color theme="1"/>
        <rFont val="Arial"/>
        <family val="2"/>
      </rPr>
      <t>*Ponto de Atenção:*</t>
    </r>
    <r>
      <rPr>
        <sz val="12"/>
        <color theme="1"/>
        <rFont val="Arial"/>
        <family val="2"/>
      </rPr>
      <t xml:space="preserve">
- BR 3030-03,05: atraso de manutenção preventiva;
- RC 3011-01: Vazamento no chute da roda 02, a partir 03:50.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</si>
</sst>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"/>
    <numFmt numFmtId="167" formatCode="&quot;Cr$&quot;#,##0;[Red]&quot;Cr$&quot;#,##0&quot;-&quot;"/>
    <numFmt numFmtId="168" formatCode="General_)"/>
    <numFmt numFmtId="169" formatCode="0.00%;[Red]\-0.00%"/>
    <numFmt numFmtId="170" formatCode="0.000;[Red]\-0.000"/>
    <numFmt numFmtId="171" formatCode="&quot;R$&quot;\ #,##0.00_);[Red]\(&quot;R$&quot;\ #,##0.00\)"/>
    <numFmt numFmtId="172" formatCode="[$-416]d\-mmm;@"/>
    <numFmt numFmtId="173" formatCode="_(* #,##0_);_(* \(#,##0\);_(* &quot;-&quot;??_);_(@_)"/>
    <numFmt numFmtId="174" formatCode="0&quot;h&quot;"/>
    <numFmt numFmtId="175" formatCode="[$-F400]h:mm:ss\ AM/PM"/>
    <numFmt numFmtId="176" formatCode="d/m/yy\ h:mm;@"/>
    <numFmt numFmtId="177" formatCode="0.0"/>
    <numFmt numFmtId="178" formatCode="#,##0.0_ ;\-#,##0.0\ "/>
    <numFmt numFmtId="179" formatCode="#,##0.0"/>
    <numFmt numFmtId="180" formatCode="#,##0_ ;[Red]\-#,##0\ "/>
    <numFmt numFmtId="181" formatCode="[$-F800]dddd\,\ mmmm\ dd\,\ yyyy"/>
  </numFmts>
  <fonts count="1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2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164" fontId="6" fillId="0" borderId="0" applyFont="0" applyFill="0" applyBorder="0" applyAlignment="0" applyProtection="0"/>
    <xf numFmtId="172" fontId="12" fillId="0" borderId="0" applyNumberFormat="0" applyFill="0" applyBorder="0" applyAlignment="0" applyProtection="0">
      <alignment vertical="top"/>
      <protection locked="0"/>
    </xf>
    <xf numFmtId="172" fontId="8" fillId="0" borderId="0"/>
    <xf numFmtId="172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" fillId="0" borderId="0" applyFont="0" applyFill="0" applyBorder="0" applyAlignment="0" applyProtection="0"/>
    <xf numFmtId="172" fontId="6" fillId="0" borderId="0"/>
    <xf numFmtId="172" fontId="8" fillId="0" borderId="0"/>
    <xf numFmtId="172" fontId="6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2" fillId="0" borderId="0"/>
    <xf numFmtId="172" fontId="28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72" fontId="6" fillId="5" borderId="0" applyNumberFormat="0" applyBorder="0" applyAlignment="0" applyProtection="0"/>
    <xf numFmtId="172" fontId="6" fillId="6" borderId="0" applyNumberFormat="0" applyBorder="0" applyAlignment="0" applyProtection="0"/>
    <xf numFmtId="172" fontId="6" fillId="7" borderId="0" applyNumberFormat="0" applyBorder="0" applyAlignment="0" applyProtection="0"/>
    <xf numFmtId="172" fontId="6" fillId="8" borderId="0" applyNumberFormat="0" applyBorder="0" applyAlignment="0" applyProtection="0"/>
    <xf numFmtId="172" fontId="6" fillId="9" borderId="0" applyNumberFormat="0" applyBorder="0" applyAlignment="0" applyProtection="0"/>
    <xf numFmtId="172" fontId="6" fillId="10" borderId="0" applyNumberFormat="0" applyBorder="0" applyAlignment="0" applyProtection="0"/>
    <xf numFmtId="172" fontId="6" fillId="11" borderId="0" applyNumberFormat="0" applyBorder="0" applyAlignment="0" applyProtection="0"/>
    <xf numFmtId="172" fontId="6" fillId="12" borderId="0" applyNumberFormat="0" applyBorder="0" applyAlignment="0" applyProtection="0"/>
    <xf numFmtId="172" fontId="6" fillId="13" borderId="0" applyNumberFormat="0" applyBorder="0" applyAlignment="0" applyProtection="0"/>
    <xf numFmtId="172" fontId="6" fillId="8" borderId="0" applyNumberFormat="0" applyBorder="0" applyAlignment="0" applyProtection="0"/>
    <xf numFmtId="172" fontId="6" fillId="11" borderId="0" applyNumberFormat="0" applyBorder="0" applyAlignment="0" applyProtection="0"/>
    <xf numFmtId="172" fontId="6" fillId="14" borderId="0" applyNumberFormat="0" applyBorder="0" applyAlignment="0" applyProtection="0"/>
    <xf numFmtId="172" fontId="14" fillId="15" borderId="0" applyNumberFormat="0" applyBorder="0" applyAlignment="0" applyProtection="0"/>
    <xf numFmtId="172" fontId="14" fillId="12" borderId="0" applyNumberFormat="0" applyBorder="0" applyAlignment="0" applyProtection="0"/>
    <xf numFmtId="172" fontId="14" fillId="13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2" fontId="15" fillId="7" borderId="0" applyNumberFormat="0" applyBorder="0" applyAlignment="0" applyProtection="0"/>
    <xf numFmtId="172" fontId="8" fillId="0" borderId="0"/>
    <xf numFmtId="172" fontId="16" fillId="19" borderId="4" applyNumberFormat="0" applyAlignment="0" applyProtection="0"/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66" fontId="8" fillId="4" borderId="6">
      <alignment horizontal="right" vertical="center"/>
    </xf>
    <xf numFmtId="10" fontId="8" fillId="4" borderId="6">
      <alignment horizontal="right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35" fillId="25" borderId="10">
      <alignment horizontal="centerContinuous" vertical="center"/>
    </xf>
    <xf numFmtId="166" fontId="9" fillId="3" borderId="3"/>
    <xf numFmtId="166" fontId="9" fillId="19" borderId="5"/>
    <xf numFmtId="172" fontId="9" fillId="3" borderId="3">
      <alignment horizontal="left"/>
    </xf>
    <xf numFmtId="10" fontId="9" fillId="3" borderId="3"/>
    <xf numFmtId="169" fontId="9" fillId="19" borderId="5"/>
    <xf numFmtId="10" fontId="9" fillId="19" borderId="5"/>
    <xf numFmtId="170" fontId="9" fillId="19" borderId="5"/>
    <xf numFmtId="10" fontId="8" fillId="4" borderId="6" applyBorder="0">
      <alignment horizontal="right" vertical="center"/>
    </xf>
    <xf numFmtId="172" fontId="8" fillId="26" borderId="5">
      <alignment vertical="top" wrapText="1"/>
    </xf>
    <xf numFmtId="10" fontId="8" fillId="27" borderId="5" applyFont="0" applyAlignment="0" applyProtection="0"/>
    <xf numFmtId="166" fontId="8" fillId="27" borderId="5" applyFont="0" applyAlignment="0" applyProtection="0"/>
    <xf numFmtId="10" fontId="36" fillId="0" borderId="5" applyAlignment="0" applyProtection="0"/>
    <xf numFmtId="166" fontId="36" fillId="0" borderId="5" applyAlignment="0" applyProtection="0"/>
    <xf numFmtId="10" fontId="11" fillId="0" borderId="5" applyAlignment="0" applyProtection="0"/>
    <xf numFmtId="166" fontId="11" fillId="0" borderId="5" applyAlignment="0" applyProtection="0"/>
    <xf numFmtId="10" fontId="37" fillId="0" borderId="5" applyAlignment="0" applyProtection="0"/>
    <xf numFmtId="166" fontId="37" fillId="0" borderId="5" applyAlignment="0" applyProtection="0"/>
    <xf numFmtId="172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2" fontId="4" fillId="27" borderId="11" applyNumberFormat="0" applyAlignment="0" applyProtection="0"/>
    <xf numFmtId="172" fontId="17" fillId="0" borderId="12" applyNumberFormat="0" applyFill="0" applyAlignment="0" applyProtection="0"/>
    <xf numFmtId="172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14" fillId="31" borderId="0" applyNumberFormat="0" applyBorder="0" applyAlignment="0" applyProtection="0"/>
    <xf numFmtId="172" fontId="14" fillId="26" borderId="0" applyNumberFormat="0" applyBorder="0" applyAlignment="0" applyProtection="0"/>
    <xf numFmtId="172" fontId="14" fillId="32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33" borderId="0" applyNumberFormat="0" applyBorder="0" applyAlignment="0" applyProtection="0"/>
    <xf numFmtId="172" fontId="18" fillId="10" borderId="4" applyNumberFormat="0" applyAlignment="0" applyProtection="0"/>
    <xf numFmtId="172" fontId="7" fillId="0" borderId="0"/>
    <xf numFmtId="171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19" fillId="6" borderId="0" applyNumberFormat="0" applyBorder="0" applyAlignment="0" applyProtection="0"/>
    <xf numFmtId="167" fontId="29" fillId="0" borderId="0" applyFont="0" applyFill="0" applyBorder="0" applyAlignment="0" applyProtection="0"/>
    <xf numFmtId="172" fontId="20" fillId="34" borderId="0" applyNumberFormat="0" applyBorder="0" applyAlignment="0" applyProtection="0"/>
    <xf numFmtId="172" fontId="8" fillId="0" borderId="0"/>
    <xf numFmtId="172" fontId="8" fillId="0" borderId="0"/>
    <xf numFmtId="168" fontId="43" fillId="0" borderId="1">
      <alignment horizontal="center"/>
    </xf>
    <xf numFmtId="172" fontId="6" fillId="35" borderId="2" applyNumberFormat="0" applyFont="0" applyAlignment="0" applyProtection="0"/>
    <xf numFmtId="172" fontId="29" fillId="0" borderId="0">
      <alignment textRotation="255"/>
    </xf>
    <xf numFmtId="171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2" fontId="21" fillId="19" borderId="13" applyNumberFormat="0" applyAlignment="0" applyProtection="0"/>
    <xf numFmtId="38" fontId="29" fillId="0" borderId="0" applyFont="0" applyFill="0" applyBorder="0" applyAlignment="0" applyProtection="0"/>
    <xf numFmtId="172" fontId="29" fillId="0" borderId="0"/>
    <xf numFmtId="172" fontId="22" fillId="0" borderId="0" applyNumberFormat="0" applyFill="0" applyBorder="0" applyAlignment="0" applyProtection="0"/>
    <xf numFmtId="172" fontId="23" fillId="0" borderId="0" applyNumberFormat="0" applyFill="0" applyBorder="0" applyAlignment="0" applyProtection="0"/>
    <xf numFmtId="172" fontId="25" fillId="0" borderId="14" applyNumberFormat="0" applyFill="0" applyAlignment="0" applyProtection="0"/>
    <xf numFmtId="172" fontId="26" fillId="0" borderId="15" applyNumberFormat="0" applyFill="0" applyAlignment="0" applyProtection="0"/>
    <xf numFmtId="172" fontId="27" fillId="0" borderId="16" applyNumberFormat="0" applyFill="0" applyAlignment="0" applyProtection="0"/>
    <xf numFmtId="172" fontId="27" fillId="0" borderId="0" applyNumberFormat="0" applyFill="0" applyBorder="0" applyAlignment="0" applyProtection="0"/>
    <xf numFmtId="172" fontId="24" fillId="0" borderId="0" applyNumberFormat="0" applyFill="0" applyBorder="0" applyAlignment="0" applyProtection="0"/>
    <xf numFmtId="172" fontId="5" fillId="0" borderId="17" applyNumberFormat="0" applyFill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8" fillId="0" borderId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72" fontId="28" fillId="0" borderId="0" applyNumberFormat="0" applyFill="0" applyBorder="0" applyAlignment="0" applyProtection="0">
      <alignment vertical="top"/>
      <protection locked="0"/>
    </xf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9" fillId="3" borderId="3">
      <alignment horizontal="left"/>
    </xf>
    <xf numFmtId="172" fontId="8" fillId="26" borderId="5">
      <alignment vertical="top" wrapText="1"/>
    </xf>
    <xf numFmtId="172" fontId="38" fillId="28" borderId="3">
      <alignment horizontal="left"/>
    </xf>
    <xf numFmtId="172" fontId="39" fillId="0" borderId="0" applyNumberFormat="0" applyFill="0" applyBorder="0" applyAlignment="0" applyProtection="0">
      <alignment vertical="top"/>
      <protection locked="0"/>
    </xf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7" fillId="0" borderId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8" fillId="0" borderId="0"/>
    <xf numFmtId="172" fontId="29" fillId="0" borderId="0">
      <alignment textRotation="255"/>
    </xf>
    <xf numFmtId="164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7" fillId="0" borderId="0" applyFill="0" applyProtection="0"/>
    <xf numFmtId="164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164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2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72" fontId="3" fillId="0" borderId="0"/>
    <xf numFmtId="172" fontId="3" fillId="0" borderId="0"/>
    <xf numFmtId="172" fontId="3" fillId="5" borderId="0" applyNumberFormat="0" applyBorder="0" applyAlignment="0" applyProtection="0"/>
    <xf numFmtId="172" fontId="3" fillId="6" borderId="0" applyNumberFormat="0" applyBorder="0" applyAlignment="0" applyProtection="0"/>
    <xf numFmtId="172" fontId="3" fillId="7" borderId="0" applyNumberFormat="0" applyBorder="0" applyAlignment="0" applyProtection="0"/>
    <xf numFmtId="172" fontId="3" fillId="8" borderId="0" applyNumberFormat="0" applyBorder="0" applyAlignment="0" applyProtection="0"/>
    <xf numFmtId="172" fontId="3" fillId="9" borderId="0" applyNumberFormat="0" applyBorder="0" applyAlignment="0" applyProtection="0"/>
    <xf numFmtId="172" fontId="3" fillId="10" borderId="0" applyNumberFormat="0" applyBorder="0" applyAlignment="0" applyProtection="0"/>
    <xf numFmtId="172" fontId="3" fillId="11" borderId="0" applyNumberFormat="0" applyBorder="0" applyAlignment="0" applyProtection="0"/>
    <xf numFmtId="172" fontId="3" fillId="12" borderId="0" applyNumberFormat="0" applyBorder="0" applyAlignment="0" applyProtection="0"/>
    <xf numFmtId="172" fontId="3" fillId="13" borderId="0" applyNumberFormat="0" applyBorder="0" applyAlignment="0" applyProtection="0"/>
    <xf numFmtId="172" fontId="3" fillId="8" borderId="0" applyNumberFormat="0" applyBorder="0" applyAlignment="0" applyProtection="0"/>
    <xf numFmtId="172" fontId="3" fillId="11" borderId="0" applyNumberFormat="0" applyBorder="0" applyAlignment="0" applyProtection="0"/>
    <xf numFmtId="172" fontId="3" fillId="14" borderId="0" applyNumberFormat="0" applyBorder="0" applyAlignment="0" applyProtection="0"/>
    <xf numFmtId="172" fontId="31" fillId="21" borderId="20">
      <alignment horizontal="center" textRotation="90"/>
    </xf>
    <xf numFmtId="166" fontId="9" fillId="3" borderId="20"/>
    <xf numFmtId="172" fontId="9" fillId="3" borderId="20">
      <alignment horizontal="left"/>
    </xf>
    <xf numFmtId="10" fontId="9" fillId="3" borderId="20"/>
    <xf numFmtId="172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8" fontId="43" fillId="0" borderId="19">
      <alignment horizontal="center"/>
    </xf>
    <xf numFmtId="172" fontId="3" fillId="35" borderId="18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3" fillId="0" borderId="0"/>
    <xf numFmtId="172" fontId="31" fillId="21" borderId="20">
      <alignment horizontal="center" textRotation="90"/>
    </xf>
    <xf numFmtId="172" fontId="9" fillId="3" borderId="20">
      <alignment horizontal="left"/>
    </xf>
    <xf numFmtId="172" fontId="38" fillId="28" borderId="20">
      <alignment horizontal="left"/>
    </xf>
    <xf numFmtId="164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164" fontId="8" fillId="0" borderId="0" applyFont="0" applyFill="0" applyBorder="0" applyAlignment="0" applyProtection="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55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4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3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4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3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4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3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3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7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8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7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9" fontId="104" fillId="0" borderId="0" xfId="193" applyNumberFormat="1" applyFont="1"/>
    <xf numFmtId="180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8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8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8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7" fontId="104" fillId="36" borderId="56" xfId="193" applyNumberFormat="1" applyFont="1" applyFill="1" applyBorder="1" applyAlignment="1">
      <alignment horizontal="center"/>
    </xf>
    <xf numFmtId="178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8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164" fontId="0" fillId="0" borderId="0" xfId="0" applyNumberFormat="1"/>
    <xf numFmtId="0" fontId="110" fillId="0" borderId="0" xfId="0" applyFont="1" applyAlignment="1">
      <alignment horizontal="center" vertical="center"/>
    </xf>
    <xf numFmtId="173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3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4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4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5" fontId="110" fillId="36" borderId="0" xfId="0" applyNumberFormat="1" applyFont="1" applyFill="1" applyAlignment="1">
      <alignment vertical="center"/>
    </xf>
    <xf numFmtId="181" fontId="115" fillId="36" borderId="0" xfId="0" applyNumberFormat="1" applyFont="1" applyFill="1" applyAlignment="1">
      <alignment horizontal="left" vertical="center"/>
    </xf>
    <xf numFmtId="175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117" fillId="0" borderId="39" xfId="0" quotePrefix="1" applyFont="1" applyBorder="1" applyAlignment="1">
      <alignment horizontal="left" vertical="top" wrapText="1"/>
    </xf>
    <xf numFmtId="173" fontId="103" fillId="0" borderId="0" xfId="210" applyNumberFormat="1" applyFont="1" applyAlignment="1">
      <alignment horizontal="center" vertical="center"/>
    </xf>
    <xf numFmtId="0" fontId="118" fillId="0" borderId="39" xfId="0" quotePrefix="1" applyFont="1" applyBorder="1" applyAlignment="1">
      <alignment horizontal="left" vertical="top" wrapText="1"/>
    </xf>
    <xf numFmtId="173" fontId="97" fillId="45" borderId="22" xfId="210" applyNumberFormat="1" applyFont="1" applyFill="1" applyBorder="1" applyAlignment="1">
      <alignment horizontal="center" vertical="center"/>
    </xf>
    <xf numFmtId="173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3" fontId="81" fillId="0" borderId="36" xfId="0" applyNumberFormat="1" applyFont="1" applyBorder="1" applyAlignment="1">
      <alignment horizontal="center" vertical="center"/>
    </xf>
    <xf numFmtId="175" fontId="78" fillId="37" borderId="26" xfId="0" applyNumberFormat="1" applyFont="1" applyFill="1" applyBorder="1" applyAlignment="1">
      <alignment horizontal="left" vertical="center"/>
    </xf>
    <xf numFmtId="175" fontId="78" fillId="37" borderId="27" xfId="0" applyNumberFormat="1" applyFont="1" applyFill="1" applyBorder="1" applyAlignment="1">
      <alignment horizontal="left" vertical="center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49" fontId="0" fillId="0" borderId="36" xfId="0" quotePrefix="1" applyNumberFormat="1" applyBorder="1" applyAlignment="1">
      <alignment horizontal="left" vertical="center" wrapText="1" readingOrder="1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8" fillId="37" borderId="26" xfId="0" applyFont="1" applyFill="1" applyBorder="1" applyAlignment="1">
      <alignment horizontal="right" vertical="center"/>
    </xf>
    <xf numFmtId="14" fontId="78" fillId="37" borderId="26" xfId="0" applyNumberFormat="1" applyFont="1" applyFill="1" applyBorder="1" applyAlignment="1">
      <alignment horizontal="right" vertical="center"/>
    </xf>
    <xf numFmtId="49" fontId="0" fillId="0" borderId="37" xfId="0" quotePrefix="1" applyNumberFormat="1" applyBorder="1" applyAlignment="1">
      <alignment horizontal="left" vertical="center" wrapText="1" readingOrder="1"/>
    </xf>
    <xf numFmtId="49" fontId="0" fillId="0" borderId="64" xfId="0" quotePrefix="1" applyNumberFormat="1" applyBorder="1" applyAlignment="1">
      <alignment horizontal="left" vertical="center" wrapText="1" readingOrder="1"/>
    </xf>
    <xf numFmtId="49" fontId="0" fillId="0" borderId="38" xfId="0" quotePrefix="1" applyNumberFormat="1" applyBorder="1" applyAlignment="1">
      <alignment horizontal="left" vertical="center" wrapText="1" readingOrder="1"/>
    </xf>
    <xf numFmtId="175" fontId="78" fillId="37" borderId="26" xfId="0" applyNumberFormat="1" applyFont="1" applyFill="1" applyBorder="1" applyAlignment="1">
      <alignment horizontal="right" vertical="center"/>
    </xf>
    <xf numFmtId="175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0" fontId="87" fillId="50" borderId="0" xfId="0" applyFont="1" applyFill="1" applyAlignment="1">
      <alignment horizontal="center" vertical="center" wrapText="1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5" fontId="78" fillId="37" borderId="26" xfId="0" applyNumberFormat="1" applyFont="1" applyFill="1" applyBorder="1" applyAlignment="1" applyProtection="1">
      <alignment horizontal="left" vertical="center"/>
      <protection locked="0"/>
    </xf>
    <xf numFmtId="175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" xfId="210" builtinId="3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13</c:v>
                </c:pt>
                <c:pt idx="1">
                  <c:v>14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</c:numCache>
            </c:num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1629.4111546151453</c:v>
                </c:pt>
                <c:pt idx="1">
                  <c:v>1430.8994910808997</c:v>
                </c:pt>
                <c:pt idx="2">
                  <c:v>1282.7487857966898</c:v>
                </c:pt>
                <c:pt idx="3">
                  <c:v>1154.4055328199793</c:v>
                </c:pt>
                <c:pt idx="4">
                  <c:v>782.35572788125319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15</c:v>
                </c:pt>
                <c:pt idx="1">
                  <c:v>16</c:v>
                </c:pt>
                <c:pt idx="2">
                  <c:v>8h</c:v>
                </c:pt>
                <c:pt idx="3">
                  <c:v>10</c:v>
                </c:pt>
                <c:pt idx="4">
                  <c:v>7h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4963.8</c:v>
                </c:pt>
                <c:pt idx="1">
                  <c:v>4912.8</c:v>
                </c:pt>
                <c:pt idx="2">
                  <c:v>4786.08</c:v>
                </c:pt>
                <c:pt idx="3">
                  <c:v>4600.8</c:v>
                </c:pt>
                <c:pt idx="4">
                  <c:v>4496.88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19</c:v>
                </c:pt>
                <c:pt idx="1">
                  <c:v>2</c:v>
                </c:pt>
                <c:pt idx="2">
                  <c:v>1</c:v>
                </c:pt>
                <c:pt idx="3">
                  <c:v>14</c:v>
                </c:pt>
                <c:pt idx="4">
                  <c:v>12</c:v>
                </c:pt>
              </c:numCache>
            </c:num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1659.7475999999999</c:v>
                </c:pt>
                <c:pt idx="1">
                  <c:v>1392.1032</c:v>
                </c:pt>
                <c:pt idx="2">
                  <c:v>946.14159999999947</c:v>
                </c:pt>
                <c:pt idx="3">
                  <c:v>889.4692</c:v>
                </c:pt>
                <c:pt idx="4">
                  <c:v>832.76399999999967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14</c:v>
                </c:pt>
                <c:pt idx="4">
                  <c:v>20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138.95833333333331</c:v>
                </c:pt>
                <c:pt idx="4">
                  <c:v>89.958333333333314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14</c:v>
                </c:pt>
                <c:pt idx="4">
                  <c:v>20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138.95833333333331</c:v>
                </c:pt>
                <c:pt idx="4">
                  <c:v>89.958333333333314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262008</c:v>
                </c:pt>
                <c:pt idx="1">
                  <c:v>269496</c:v>
                </c:pt>
                <c:pt idx="2">
                  <c:v>259192</c:v>
                </c:pt>
                <c:pt idx="3">
                  <c:v>275742</c:v>
                </c:pt>
                <c:pt idx="4">
                  <c:v>281044.80000000005</c:v>
                </c:pt>
                <c:pt idx="5">
                  <c:v>288608</c:v>
                </c:pt>
                <c:pt idx="6">
                  <c:v>282020.91428571427</c:v>
                </c:pt>
                <c:pt idx="7">
                  <c:v>279316.2</c:v>
                </c:pt>
                <c:pt idx="8">
                  <c:v>274062.93333333335</c:v>
                </c:pt>
                <c:pt idx="9">
                  <c:v>266497.19999999995</c:v>
                </c:pt>
                <c:pt idx="10">
                  <c:v>270023.7818181818</c:v>
                </c:pt>
                <c:pt idx="11">
                  <c:v>273138.59999999998</c:v>
                </c:pt>
                <c:pt idx="12">
                  <c:v>274934.03076923074</c:v>
                </c:pt>
                <c:pt idx="13">
                  <c:v>271109.31428571424</c:v>
                </c:pt>
                <c:pt idx="14">
                  <c:v>268513.75999999995</c:v>
                </c:pt>
                <c:pt idx="15">
                  <c:v>268112.55</c:v>
                </c:pt>
                <c:pt idx="16">
                  <c:v>269621.50588235294</c:v>
                </c:pt>
                <c:pt idx="17">
                  <c:v>269330.39999999997</c:v>
                </c:pt>
                <c:pt idx="18">
                  <c:v>269354.27368421049</c:v>
                </c:pt>
                <c:pt idx="19">
                  <c:v>270748.55999999994</c:v>
                </c:pt>
                <c:pt idx="20">
                  <c:v>274944.91428571427</c:v>
                </c:pt>
                <c:pt idx="21">
                  <c:v>280908.87272727274</c:v>
                </c:pt>
                <c:pt idx="22">
                  <c:v>286868.66086956521</c:v>
                </c:pt>
                <c:pt idx="23">
                  <c:v>306516.31304347824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316667.35628371645</c:v>
                </c:pt>
                <c:pt idx="1">
                  <c:v>319864.88292809331</c:v>
                </c:pt>
                <c:pt idx="2">
                  <c:v>324815.80933438562</c:v>
                </c:pt>
                <c:pt idx="3">
                  <c:v>329077.49424001307</c:v>
                </c:pt>
                <c:pt idx="4">
                  <c:v>332419.11170608376</c:v>
                </c:pt>
                <c:pt idx="5">
                  <c:v>331152.0010644829</c:v>
                </c:pt>
                <c:pt idx="6">
                  <c:v>333080.22154116468</c:v>
                </c:pt>
                <c:pt idx="7">
                  <c:v>334766.82270884677</c:v>
                </c:pt>
                <c:pt idx="8">
                  <c:v>334119.87670443603</c:v>
                </c:pt>
                <c:pt idx="9">
                  <c:v>332796.1672399044</c:v>
                </c:pt>
                <c:pt idx="10">
                  <c:v>334766.63173544116</c:v>
                </c:pt>
                <c:pt idx="11">
                  <c:v>337850.86815646105</c:v>
                </c:pt>
                <c:pt idx="12">
                  <c:v>341979.22627602279</c:v>
                </c:pt>
                <c:pt idx="13">
                  <c:v>344636.45929815981</c:v>
                </c:pt>
                <c:pt idx="14">
                  <c:v>346648.12425079447</c:v>
                </c:pt>
                <c:pt idx="15">
                  <c:v>347146.50377067755</c:v>
                </c:pt>
                <c:pt idx="16">
                  <c:v>345545.28799968451</c:v>
                </c:pt>
                <c:pt idx="17">
                  <c:v>342574.85152693721</c:v>
                </c:pt>
                <c:pt idx="18">
                  <c:v>340219.54111452308</c:v>
                </c:pt>
                <c:pt idx="19">
                  <c:v>340022.87381035544</c:v>
                </c:pt>
                <c:pt idx="20">
                  <c:v>339243.33591439098</c:v>
                </c:pt>
                <c:pt idx="21">
                  <c:v>338343.36668847577</c:v>
                </c:pt>
                <c:pt idx="22">
                  <c:v>338352.28651613183</c:v>
                </c:pt>
                <c:pt idx="23">
                  <c:v>337479.31091248163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316667.35628371645</c:v>
                </c:pt>
                <c:pt idx="1">
                  <c:v>319864.88292809331</c:v>
                </c:pt>
                <c:pt idx="2">
                  <c:v>324815.80933438562</c:v>
                </c:pt>
                <c:pt idx="3">
                  <c:v>329077.49424001307</c:v>
                </c:pt>
                <c:pt idx="4">
                  <c:v>332419.11170608376</c:v>
                </c:pt>
                <c:pt idx="5">
                  <c:v>331152.0010644829</c:v>
                </c:pt>
                <c:pt idx="6">
                  <c:v>333080.22154116468</c:v>
                </c:pt>
                <c:pt idx="7">
                  <c:v>334766.82270884677</c:v>
                </c:pt>
                <c:pt idx="8">
                  <c:v>334119.87670443603</c:v>
                </c:pt>
                <c:pt idx="9">
                  <c:v>332796.1672399044</c:v>
                </c:pt>
                <c:pt idx="10">
                  <c:v>334766.63173544116</c:v>
                </c:pt>
                <c:pt idx="11">
                  <c:v>337850.86815646105</c:v>
                </c:pt>
                <c:pt idx="12">
                  <c:v>341979.22627602279</c:v>
                </c:pt>
                <c:pt idx="13">
                  <c:v>344636.45929815981</c:v>
                </c:pt>
                <c:pt idx="14">
                  <c:v>346648.12425079447</c:v>
                </c:pt>
                <c:pt idx="15">
                  <c:v>347146.50377067755</c:v>
                </c:pt>
                <c:pt idx="16">
                  <c:v>345545.28799968451</c:v>
                </c:pt>
                <c:pt idx="17">
                  <c:v>342574.85152693721</c:v>
                </c:pt>
                <c:pt idx="18">
                  <c:v>340219.54111452308</c:v>
                </c:pt>
                <c:pt idx="19">
                  <c:v>340022.87381035544</c:v>
                </c:pt>
                <c:pt idx="20">
                  <c:v>339243.33591439098</c:v>
                </c:pt>
                <c:pt idx="21">
                  <c:v>338343.36668847577</c:v>
                </c:pt>
                <c:pt idx="22">
                  <c:v>338352.28651613183</c:v>
                </c:pt>
                <c:pt idx="23">
                  <c:v>337479.31091248163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262008</c:v>
                </c:pt>
                <c:pt idx="1">
                  <c:v>269496</c:v>
                </c:pt>
                <c:pt idx="2">
                  <c:v>259192</c:v>
                </c:pt>
                <c:pt idx="3">
                  <c:v>275742</c:v>
                </c:pt>
                <c:pt idx="4">
                  <c:v>281044.80000000005</c:v>
                </c:pt>
                <c:pt idx="5">
                  <c:v>288608</c:v>
                </c:pt>
                <c:pt idx="6">
                  <c:v>282020.91428571427</c:v>
                </c:pt>
                <c:pt idx="7">
                  <c:v>279316.2</c:v>
                </c:pt>
                <c:pt idx="8">
                  <c:v>274062.93333333335</c:v>
                </c:pt>
                <c:pt idx="9">
                  <c:v>266497.19999999995</c:v>
                </c:pt>
                <c:pt idx="10">
                  <c:v>270023.7818181818</c:v>
                </c:pt>
                <c:pt idx="11">
                  <c:v>273138.59999999998</c:v>
                </c:pt>
                <c:pt idx="12">
                  <c:v>274934.03076923074</c:v>
                </c:pt>
                <c:pt idx="13">
                  <c:v>271109.31428571424</c:v>
                </c:pt>
                <c:pt idx="14">
                  <c:v>268513.75999999995</c:v>
                </c:pt>
                <c:pt idx="15">
                  <c:v>268112.55</c:v>
                </c:pt>
                <c:pt idx="16">
                  <c:v>269621.50588235294</c:v>
                </c:pt>
                <c:pt idx="17">
                  <c:v>269330.39999999997</c:v>
                </c:pt>
                <c:pt idx="18">
                  <c:v>269354.27368421049</c:v>
                </c:pt>
                <c:pt idx="19">
                  <c:v>270748.55999999994</c:v>
                </c:pt>
                <c:pt idx="20">
                  <c:v>274944.91428571427</c:v>
                </c:pt>
                <c:pt idx="21">
                  <c:v>280908.87272727274</c:v>
                </c:pt>
                <c:pt idx="22">
                  <c:v>286868.66086956521</c:v>
                </c:pt>
                <c:pt idx="23">
                  <c:v>306516.31304347824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391836295896412E-2"/>
          <c:y val="0.2711369827117096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203294.71788371645</c:v>
                </c:pt>
                <c:pt idx="1">
                  <c:v>204324.06532809336</c:v>
                </c:pt>
                <c:pt idx="2">
                  <c:v>200096.35493438563</c:v>
                </c:pt>
                <c:pt idx="3">
                  <c:v>197771.44144001312</c:v>
                </c:pt>
                <c:pt idx="4">
                  <c:v>197763.72834608387</c:v>
                </c:pt>
                <c:pt idx="5">
                  <c:v>198506.522664483</c:v>
                </c:pt>
                <c:pt idx="6">
                  <c:v>199829.23479830756</c:v>
                </c:pt>
                <c:pt idx="7">
                  <c:v>200733.26950884683</c:v>
                </c:pt>
                <c:pt idx="8">
                  <c:v>200665.72150443605</c:v>
                </c:pt>
                <c:pt idx="9">
                  <c:v>200578.30643990453</c:v>
                </c:pt>
                <c:pt idx="10">
                  <c:v>202239.87260816855</c:v>
                </c:pt>
                <c:pt idx="11">
                  <c:v>202024.16095646113</c:v>
                </c:pt>
                <c:pt idx="12">
                  <c:v>203279.61532217666</c:v>
                </c:pt>
                <c:pt idx="13">
                  <c:v>203923.18478387417</c:v>
                </c:pt>
                <c:pt idx="14">
                  <c:v>203638.39465079454</c:v>
                </c:pt>
                <c:pt idx="15">
                  <c:v>203259.30777067767</c:v>
                </c:pt>
                <c:pt idx="16">
                  <c:v>201416.18767027283</c:v>
                </c:pt>
                <c:pt idx="17">
                  <c:v>199335.79712693737</c:v>
                </c:pt>
                <c:pt idx="18">
                  <c:v>196271.89050399687</c:v>
                </c:pt>
                <c:pt idx="19">
                  <c:v>195184.89045035554</c:v>
                </c:pt>
                <c:pt idx="20">
                  <c:v>194011.09111439105</c:v>
                </c:pt>
                <c:pt idx="21">
                  <c:v>192511.17512483953</c:v>
                </c:pt>
                <c:pt idx="22">
                  <c:v>191993.480463958</c:v>
                </c:pt>
                <c:pt idx="23">
                  <c:v>191367.11931248172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203640</c:v>
                </c:pt>
                <c:pt idx="1">
                  <c:v>212592</c:v>
                </c:pt>
                <c:pt idx="2">
                  <c:v>210224</c:v>
                </c:pt>
                <c:pt idx="3">
                  <c:v>207246</c:v>
                </c:pt>
                <c:pt idx="4">
                  <c:v>209016</c:v>
                </c:pt>
                <c:pt idx="5">
                  <c:v>215836</c:v>
                </c:pt>
                <c:pt idx="6">
                  <c:v>216250.62857142853</c:v>
                </c:pt>
                <c:pt idx="7">
                  <c:v>215080.19999999998</c:v>
                </c:pt>
                <c:pt idx="8">
                  <c:v>211332.26666666666</c:v>
                </c:pt>
                <c:pt idx="9">
                  <c:v>207099.59999999995</c:v>
                </c:pt>
                <c:pt idx="10">
                  <c:v>207477.59999999995</c:v>
                </c:pt>
                <c:pt idx="11">
                  <c:v>204516.59999999998</c:v>
                </c:pt>
                <c:pt idx="12">
                  <c:v>202572.18461538461</c:v>
                </c:pt>
                <c:pt idx="13">
                  <c:v>200813.31428571424</c:v>
                </c:pt>
                <c:pt idx="14">
                  <c:v>200568.15999999997</c:v>
                </c:pt>
                <c:pt idx="15">
                  <c:v>200941.05</c:v>
                </c:pt>
                <c:pt idx="16">
                  <c:v>201595.62352941174</c:v>
                </c:pt>
                <c:pt idx="17">
                  <c:v>200770.39999999997</c:v>
                </c:pt>
                <c:pt idx="18">
                  <c:v>200796.37894736842</c:v>
                </c:pt>
                <c:pt idx="19">
                  <c:v>199935.35999999999</c:v>
                </c:pt>
                <c:pt idx="20">
                  <c:v>201331.19999999998</c:v>
                </c:pt>
                <c:pt idx="21">
                  <c:v>203396.50909090909</c:v>
                </c:pt>
                <c:pt idx="22">
                  <c:v>206187.96521739132</c:v>
                </c:pt>
                <c:pt idx="23">
                  <c:v>219149.00869565213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59394.240000000005</c:v>
                </c:pt>
                <c:pt idx="1">
                  <c:v>57170.879999999997</c:v>
                </c:pt>
                <c:pt idx="2">
                  <c:v>73739.51999999999</c:v>
                </c:pt>
                <c:pt idx="3">
                  <c:v>84021.119999999995</c:v>
                </c:pt>
                <c:pt idx="4">
                  <c:v>90793.728000000003</c:v>
                </c:pt>
                <c:pt idx="5">
                  <c:v>91901.760000000009</c:v>
                </c:pt>
                <c:pt idx="6">
                  <c:v>94190.81142857144</c:v>
                </c:pt>
                <c:pt idx="7">
                  <c:v>96775.200000000012</c:v>
                </c:pt>
                <c:pt idx="8">
                  <c:v>98210.880000000005</c:v>
                </c:pt>
                <c:pt idx="9">
                  <c:v>99431.712</c:v>
                </c:pt>
                <c:pt idx="10">
                  <c:v>101092.71272727274</c:v>
                </c:pt>
                <c:pt idx="11">
                  <c:v>102300.72</c:v>
                </c:pt>
                <c:pt idx="12">
                  <c:v>103403.51999999999</c:v>
                </c:pt>
                <c:pt idx="13">
                  <c:v>104539.88571428572</c:v>
                </c:pt>
                <c:pt idx="14">
                  <c:v>105512.63999999998</c:v>
                </c:pt>
                <c:pt idx="15">
                  <c:v>106363.79999999999</c:v>
                </c:pt>
                <c:pt idx="16">
                  <c:v>106937.27999999998</c:v>
                </c:pt>
                <c:pt idx="17">
                  <c:v>106715.99999999997</c:v>
                </c:pt>
                <c:pt idx="18">
                  <c:v>107069.75999999998</c:v>
                </c:pt>
                <c:pt idx="19">
                  <c:v>107450.49599999998</c:v>
                </c:pt>
                <c:pt idx="20">
                  <c:v>107220.06857142856</c:v>
                </c:pt>
                <c:pt idx="21">
                  <c:v>107252.11636363636</c:v>
                </c:pt>
                <c:pt idx="22">
                  <c:v>107312.80695652173</c:v>
                </c:pt>
                <c:pt idx="23">
                  <c:v>106530.95999999999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23568</c:v>
                </c:pt>
                <c:pt idx="1">
                  <c:v>24084</c:v>
                </c:pt>
                <c:pt idx="2">
                  <c:v>18056</c:v>
                </c:pt>
                <c:pt idx="3">
                  <c:v>36966</c:v>
                </c:pt>
                <c:pt idx="4">
                  <c:v>35352</c:v>
                </c:pt>
                <c:pt idx="5">
                  <c:v>35364</c:v>
                </c:pt>
                <c:pt idx="6">
                  <c:v>30312</c:v>
                </c:pt>
                <c:pt idx="7">
                  <c:v>26523</c:v>
                </c:pt>
                <c:pt idx="8">
                  <c:v>25106.666666666664</c:v>
                </c:pt>
                <c:pt idx="9">
                  <c:v>22596</c:v>
                </c:pt>
                <c:pt idx="10">
                  <c:v>25069.090909090908</c:v>
                </c:pt>
                <c:pt idx="11">
                  <c:v>30714</c:v>
                </c:pt>
                <c:pt idx="12">
                  <c:v>33690.461538461539</c:v>
                </c:pt>
                <c:pt idx="13">
                  <c:v>32751.428571428572</c:v>
                </c:pt>
                <c:pt idx="14">
                  <c:v>30568</c:v>
                </c:pt>
                <c:pt idx="15">
                  <c:v>28734</c:v>
                </c:pt>
                <c:pt idx="16">
                  <c:v>28678.588235294119</c:v>
                </c:pt>
                <c:pt idx="17">
                  <c:v>28889.333333333332</c:v>
                </c:pt>
                <c:pt idx="18">
                  <c:v>30975.15789473684</c:v>
                </c:pt>
                <c:pt idx="19">
                  <c:v>33438</c:v>
                </c:pt>
                <c:pt idx="20">
                  <c:v>36348.571428571435</c:v>
                </c:pt>
                <c:pt idx="21">
                  <c:v>40366.909090909088</c:v>
                </c:pt>
                <c:pt idx="22">
                  <c:v>43868.869565217392</c:v>
                </c:pt>
                <c:pt idx="23">
                  <c:v>48107.478260869568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59394.240000000005</c:v>
                </c:pt>
                <c:pt idx="1">
                  <c:v>57170.879999999997</c:v>
                </c:pt>
                <c:pt idx="2">
                  <c:v>73739.51999999999</c:v>
                </c:pt>
                <c:pt idx="3">
                  <c:v>84021.119999999995</c:v>
                </c:pt>
                <c:pt idx="4">
                  <c:v>90793.728000000003</c:v>
                </c:pt>
                <c:pt idx="5">
                  <c:v>91901.760000000009</c:v>
                </c:pt>
                <c:pt idx="6">
                  <c:v>94190.81142857144</c:v>
                </c:pt>
                <c:pt idx="7">
                  <c:v>96775.200000000012</c:v>
                </c:pt>
                <c:pt idx="8">
                  <c:v>98210.880000000005</c:v>
                </c:pt>
                <c:pt idx="9">
                  <c:v>99431.712</c:v>
                </c:pt>
                <c:pt idx="10">
                  <c:v>101092.71272727274</c:v>
                </c:pt>
                <c:pt idx="11">
                  <c:v>102300.72</c:v>
                </c:pt>
                <c:pt idx="12">
                  <c:v>103403.51999999999</c:v>
                </c:pt>
                <c:pt idx="13">
                  <c:v>104539.88571428572</c:v>
                </c:pt>
                <c:pt idx="14">
                  <c:v>105512.63999999998</c:v>
                </c:pt>
                <c:pt idx="15">
                  <c:v>106363.79999999999</c:v>
                </c:pt>
                <c:pt idx="16">
                  <c:v>106937.27999999998</c:v>
                </c:pt>
                <c:pt idx="17">
                  <c:v>106715.99999999997</c:v>
                </c:pt>
                <c:pt idx="18">
                  <c:v>107069.75999999998</c:v>
                </c:pt>
                <c:pt idx="19">
                  <c:v>107450.49599999998</c:v>
                </c:pt>
                <c:pt idx="20">
                  <c:v>107220.06857142856</c:v>
                </c:pt>
                <c:pt idx="21">
                  <c:v>107252.11636363636</c:v>
                </c:pt>
                <c:pt idx="22">
                  <c:v>107312.80695652173</c:v>
                </c:pt>
                <c:pt idx="23">
                  <c:v>106530.95999999999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23568</c:v>
                </c:pt>
                <c:pt idx="1">
                  <c:v>24084</c:v>
                </c:pt>
                <c:pt idx="2">
                  <c:v>18056</c:v>
                </c:pt>
                <c:pt idx="3">
                  <c:v>36966</c:v>
                </c:pt>
                <c:pt idx="4">
                  <c:v>35352</c:v>
                </c:pt>
                <c:pt idx="5">
                  <c:v>35364</c:v>
                </c:pt>
                <c:pt idx="6">
                  <c:v>30312</c:v>
                </c:pt>
                <c:pt idx="7">
                  <c:v>26523</c:v>
                </c:pt>
                <c:pt idx="8">
                  <c:v>25106.666666666664</c:v>
                </c:pt>
                <c:pt idx="9">
                  <c:v>22596</c:v>
                </c:pt>
                <c:pt idx="10">
                  <c:v>25069.090909090908</c:v>
                </c:pt>
                <c:pt idx="11">
                  <c:v>30714</c:v>
                </c:pt>
                <c:pt idx="12">
                  <c:v>33690.461538461539</c:v>
                </c:pt>
                <c:pt idx="13">
                  <c:v>32751.428571428572</c:v>
                </c:pt>
                <c:pt idx="14">
                  <c:v>30568</c:v>
                </c:pt>
                <c:pt idx="15">
                  <c:v>28734</c:v>
                </c:pt>
                <c:pt idx="16">
                  <c:v>28678.588235294119</c:v>
                </c:pt>
                <c:pt idx="17">
                  <c:v>28889.333333333332</c:v>
                </c:pt>
                <c:pt idx="18">
                  <c:v>30975.15789473684</c:v>
                </c:pt>
                <c:pt idx="19">
                  <c:v>33438</c:v>
                </c:pt>
                <c:pt idx="20">
                  <c:v>36348.571428571435</c:v>
                </c:pt>
                <c:pt idx="21">
                  <c:v>40366.909090909088</c:v>
                </c:pt>
                <c:pt idx="22">
                  <c:v>43868.869565217392</c:v>
                </c:pt>
                <c:pt idx="23">
                  <c:v>48107.478260869568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54938.93759999999</c:v>
                </c:pt>
                <c:pt idx="2">
                  <c:v>47548.934399999998</c:v>
                </c:pt>
                <c:pt idx="3">
                  <c:v>43853.932799999995</c:v>
                </c:pt>
                <c:pt idx="4">
                  <c:v>40430.65535999999</c:v>
                </c:pt>
                <c:pt idx="5">
                  <c:v>37312.718399999998</c:v>
                </c:pt>
                <c:pt idx="6">
                  <c:v>35629.175314285705</c:v>
                </c:pt>
                <c:pt idx="7">
                  <c:v>33827.353199999998</c:v>
                </c:pt>
                <c:pt idx="8">
                  <c:v>31812.275199999993</c:v>
                </c:pt>
                <c:pt idx="9">
                  <c:v>29355.148799999995</c:v>
                </c:pt>
                <c:pt idx="10">
                  <c:v>28003.046399999999</c:v>
                </c:pt>
                <c:pt idx="11">
                  <c:v>30094.987199999996</c:v>
                </c:pt>
                <c:pt idx="12">
                  <c:v>31865.090953846149</c:v>
                </c:pt>
                <c:pt idx="13">
                  <c:v>32742.388799999993</c:v>
                </c:pt>
                <c:pt idx="14">
                  <c:v>34066.089599999992</c:v>
                </c:pt>
                <c:pt idx="15">
                  <c:v>34092.395999999993</c:v>
                </c:pt>
                <c:pt idx="16">
                  <c:v>33760.820329411756</c:v>
                </c:pt>
                <c:pt idx="17">
                  <c:v>33092.054399999994</c:v>
                </c:pt>
                <c:pt idx="18">
                  <c:v>33446.890610526309</c:v>
                </c:pt>
                <c:pt idx="19">
                  <c:v>33956.487359999999</c:v>
                </c:pt>
                <c:pt idx="20">
                  <c:v>34581.176228571421</c:v>
                </c:pt>
                <c:pt idx="21">
                  <c:v>35149.075199999992</c:v>
                </c:pt>
                <c:pt idx="22">
                  <c:v>35614.999095652172</c:v>
                </c:pt>
                <c:pt idx="23">
                  <c:v>36150.231599999992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27840</c:v>
                </c:pt>
                <c:pt idx="1">
                  <c:v>26880</c:v>
                </c:pt>
                <c:pt idx="2">
                  <c:v>24160</c:v>
                </c:pt>
                <c:pt idx="3">
                  <c:v>25140</c:v>
                </c:pt>
                <c:pt idx="4">
                  <c:v>29856</c:v>
                </c:pt>
                <c:pt idx="5">
                  <c:v>31080</c:v>
                </c:pt>
                <c:pt idx="6">
                  <c:v>30034.28571428571</c:v>
                </c:pt>
                <c:pt idx="7">
                  <c:v>32340</c:v>
                </c:pt>
                <c:pt idx="8">
                  <c:v>32080</c:v>
                </c:pt>
                <c:pt idx="9">
                  <c:v>30960</c:v>
                </c:pt>
                <c:pt idx="10">
                  <c:v>31352.727272727272</c:v>
                </c:pt>
                <c:pt idx="11">
                  <c:v>31500</c:v>
                </c:pt>
                <c:pt idx="12">
                  <c:v>32030.769230769227</c:v>
                </c:pt>
                <c:pt idx="13">
                  <c:v>31371.428571428572</c:v>
                </c:pt>
                <c:pt idx="14">
                  <c:v>31616</c:v>
                </c:pt>
                <c:pt idx="15">
                  <c:v>32820</c:v>
                </c:pt>
                <c:pt idx="16">
                  <c:v>33557.647058823532</c:v>
                </c:pt>
                <c:pt idx="17">
                  <c:v>33626.666666666664</c:v>
                </c:pt>
                <c:pt idx="18">
                  <c:v>31856.84210526316</c:v>
                </c:pt>
                <c:pt idx="19">
                  <c:v>31872</c:v>
                </c:pt>
                <c:pt idx="20">
                  <c:v>31782.857142857141</c:v>
                </c:pt>
                <c:pt idx="21">
                  <c:v>31701.818181818184</c:v>
                </c:pt>
                <c:pt idx="22">
                  <c:v>31471.304347826088</c:v>
                </c:pt>
                <c:pt idx="23">
                  <c:v>33641.739130434784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6960</c:v>
                </c:pt>
                <c:pt idx="1">
                  <c:v>5940</c:v>
                </c:pt>
                <c:pt idx="2">
                  <c:v>6752</c:v>
                </c:pt>
                <c:pt idx="3">
                  <c:v>6390</c:v>
                </c:pt>
                <c:pt idx="4">
                  <c:v>6820.7999999999993</c:v>
                </c:pt>
                <c:pt idx="5">
                  <c:v>6328</c:v>
                </c:pt>
                <c:pt idx="6">
                  <c:v>5424</c:v>
                </c:pt>
                <c:pt idx="7">
                  <c:v>5373</c:v>
                </c:pt>
                <c:pt idx="8">
                  <c:v>5544</c:v>
                </c:pt>
                <c:pt idx="9">
                  <c:v>5841.6</c:v>
                </c:pt>
                <c:pt idx="10">
                  <c:v>6124.363636363636</c:v>
                </c:pt>
                <c:pt idx="11">
                  <c:v>6408</c:v>
                </c:pt>
                <c:pt idx="12">
                  <c:v>6640.6153846153848</c:v>
                </c:pt>
                <c:pt idx="13">
                  <c:v>6173.1428571428569</c:v>
                </c:pt>
                <c:pt idx="14">
                  <c:v>5761.6</c:v>
                </c:pt>
                <c:pt idx="15">
                  <c:v>5617.5</c:v>
                </c:pt>
                <c:pt idx="16">
                  <c:v>5789.6470588235297</c:v>
                </c:pt>
                <c:pt idx="17">
                  <c:v>6044</c:v>
                </c:pt>
                <c:pt idx="18">
                  <c:v>5725.894736842105</c:v>
                </c:pt>
                <c:pt idx="19">
                  <c:v>5503.2000000000007</c:v>
                </c:pt>
                <c:pt idx="20">
                  <c:v>5482.2857142857138</c:v>
                </c:pt>
                <c:pt idx="21">
                  <c:v>5443.636363636364</c:v>
                </c:pt>
                <c:pt idx="22">
                  <c:v>5340.521739130435</c:v>
                </c:pt>
                <c:pt idx="23">
                  <c:v>5618.086956521739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13194.473178488186</c:v>
                </c:pt>
                <c:pt idx="1">
                  <c:v>13460.933732186259</c:v>
                </c:pt>
                <c:pt idx="2">
                  <c:v>13946.569256123759</c:v>
                </c:pt>
                <c:pt idx="3">
                  <c:v>14244.272873203978</c:v>
                </c:pt>
                <c:pt idx="4">
                  <c:v>14407.73256543195</c:v>
                </c:pt>
                <c:pt idx="5">
                  <c:v>13534.018660686606</c:v>
                </c:pt>
                <c:pt idx="6">
                  <c:v>14360.397683385634</c:v>
                </c:pt>
                <c:pt idx="7">
                  <c:v>14440.542953442562</c:v>
                </c:pt>
                <c:pt idx="8">
                  <c:v>13706.012861214587</c:v>
                </c:pt>
                <c:pt idx="9">
                  <c:v>13370.115919130023</c:v>
                </c:pt>
                <c:pt idx="10">
                  <c:v>14769.636528783694</c:v>
                </c:pt>
                <c:pt idx="11">
                  <c:v>15490.727866153315</c:v>
                </c:pt>
                <c:pt idx="12">
                  <c:v>16313.313487948477</c:v>
                </c:pt>
                <c:pt idx="13">
                  <c:v>15799.187024414232</c:v>
                </c:pt>
                <c:pt idx="14">
                  <c:v>15617.143066153314</c:v>
                </c:pt>
                <c:pt idx="15">
                  <c:v>14775.924857038506</c:v>
                </c:pt>
                <c:pt idx="16">
                  <c:v>13330.243152658164</c:v>
                </c:pt>
                <c:pt idx="17">
                  <c:v>12169.892978759757</c:v>
                </c:pt>
                <c:pt idx="18">
                  <c:v>12409.331403794502</c:v>
                </c:pt>
                <c:pt idx="19">
                  <c:v>14011.924792965394</c:v>
                </c:pt>
                <c:pt idx="20">
                  <c:v>13485.524083129219</c:v>
                </c:pt>
                <c:pt idx="21">
                  <c:v>13310.16720601075</c:v>
                </c:pt>
                <c:pt idx="22">
                  <c:v>14106.188446856848</c:v>
                </c:pt>
                <c:pt idx="23">
                  <c:v>13225.036334521976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10917</c:v>
                </c:pt>
                <c:pt idx="1">
                  <c:v>11541</c:v>
                </c:pt>
                <c:pt idx="2">
                  <c:v>9941</c:v>
                </c:pt>
                <c:pt idx="3">
                  <c:v>13558</c:v>
                </c:pt>
                <c:pt idx="4">
                  <c:v>12594</c:v>
                </c:pt>
                <c:pt idx="5">
                  <c:v>13601</c:v>
                </c:pt>
                <c:pt idx="6">
                  <c:v>10104.1</c:v>
                </c:pt>
                <c:pt idx="7">
                  <c:v>10849.3</c:v>
                </c:pt>
                <c:pt idx="8">
                  <c:v>9668.2000000000007</c:v>
                </c:pt>
                <c:pt idx="9">
                  <c:v>8266.9</c:v>
                </c:pt>
                <c:pt idx="10">
                  <c:v>12720.4</c:v>
                </c:pt>
                <c:pt idx="11">
                  <c:v>12808.400000000001</c:v>
                </c:pt>
                <c:pt idx="12">
                  <c:v>12353.3</c:v>
                </c:pt>
                <c:pt idx="13">
                  <c:v>9224.5</c:v>
                </c:pt>
                <c:pt idx="14">
                  <c:v>9674</c:v>
                </c:pt>
                <c:pt idx="15">
                  <c:v>10920.6</c:v>
                </c:pt>
                <c:pt idx="16">
                  <c:v>12240.2</c:v>
                </c:pt>
                <c:pt idx="17">
                  <c:v>11015.9</c:v>
                </c:pt>
                <c:pt idx="18">
                  <c:v>11241</c:v>
                </c:pt>
                <c:pt idx="19">
                  <c:v>12385</c:v>
                </c:pt>
                <c:pt idx="20">
                  <c:v>14953</c:v>
                </c:pt>
                <c:pt idx="21">
                  <c:v>16923</c:v>
                </c:pt>
                <c:pt idx="22">
                  <c:v>17416</c:v>
                </c:pt>
                <c:pt idx="23">
                  <c:v>18829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323373.12246562477</c:v>
                </c:pt>
                <c:pt idx="26">
                  <c:v>337479.31091248168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293744.8</c:v>
                </c:pt>
                <c:pt idx="26">
                  <c:v>287000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13</c:v>
                </c:pt>
                <c:pt idx="1">
                  <c:v>14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</c:numCache>
            </c:num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1629.4111546151453</c:v>
                </c:pt>
                <c:pt idx="1">
                  <c:v>1430.8994910808997</c:v>
                </c:pt>
                <c:pt idx="2">
                  <c:v>1282.7487857966898</c:v>
                </c:pt>
                <c:pt idx="3">
                  <c:v>1154.4055328199793</c:v>
                </c:pt>
                <c:pt idx="4">
                  <c:v>782.35572788125319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15</c:v>
                </c:pt>
                <c:pt idx="1">
                  <c:v>16</c:v>
                </c:pt>
                <c:pt idx="2">
                  <c:v>8h</c:v>
                </c:pt>
                <c:pt idx="3">
                  <c:v>10</c:v>
                </c:pt>
                <c:pt idx="4">
                  <c:v>7h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4963.8</c:v>
                </c:pt>
                <c:pt idx="1">
                  <c:v>4912.8</c:v>
                </c:pt>
                <c:pt idx="2">
                  <c:v>4786.08</c:v>
                </c:pt>
                <c:pt idx="3">
                  <c:v>4600.8</c:v>
                </c:pt>
                <c:pt idx="4">
                  <c:v>4496.88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19</c:v>
                </c:pt>
                <c:pt idx="1">
                  <c:v>2</c:v>
                </c:pt>
                <c:pt idx="2">
                  <c:v>1</c:v>
                </c:pt>
                <c:pt idx="3">
                  <c:v>14</c:v>
                </c:pt>
                <c:pt idx="4">
                  <c:v>12</c:v>
                </c:pt>
              </c:numCache>
            </c:num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1659.7475999999999</c:v>
                </c:pt>
                <c:pt idx="1">
                  <c:v>1392.1032</c:v>
                </c:pt>
                <c:pt idx="2">
                  <c:v>946.14159999999947</c:v>
                </c:pt>
                <c:pt idx="3">
                  <c:v>889.4692</c:v>
                </c:pt>
                <c:pt idx="4">
                  <c:v>832.76399999999967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14</c:v>
                </c:pt>
                <c:pt idx="4">
                  <c:v>20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138.95833333333331</c:v>
                </c:pt>
                <c:pt idx="4">
                  <c:v>89.958333333333314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8470.6132451548528</c:v>
                </c:pt>
                <c:pt idx="1">
                  <c:v>8556.3921988529255</c:v>
                </c:pt>
                <c:pt idx="2">
                  <c:v>7985.0389227904261</c:v>
                </c:pt>
                <c:pt idx="3">
                  <c:v>7949.8625398706454</c:v>
                </c:pt>
                <c:pt idx="4">
                  <c:v>8238.8698320986168</c:v>
                </c:pt>
                <c:pt idx="5">
                  <c:v>8425.8539273532715</c:v>
                </c:pt>
                <c:pt idx="6">
                  <c:v>8656.8961500523019</c:v>
                </c:pt>
                <c:pt idx="7">
                  <c:v>8627.5630201092281</c:v>
                </c:pt>
                <c:pt idx="8">
                  <c:v>8338.5557278812539</c:v>
                </c:pt>
                <c:pt idx="9">
                  <c:v>8324.6487857966895</c:v>
                </c:pt>
                <c:pt idx="10">
                  <c:v>9118.9805954503609</c:v>
                </c:pt>
                <c:pt idx="11">
                  <c:v>8318.8055328199807</c:v>
                </c:pt>
                <c:pt idx="12">
                  <c:v>9097.7111546151446</c:v>
                </c:pt>
                <c:pt idx="13">
                  <c:v>8845.3994910808997</c:v>
                </c:pt>
                <c:pt idx="14">
                  <c:v>8318.8055328199807</c:v>
                </c:pt>
                <c:pt idx="15">
                  <c:v>8232.2085237051706</c:v>
                </c:pt>
                <c:pt idx="16">
                  <c:v>7163.5944193248288</c:v>
                </c:pt>
                <c:pt idx="17">
                  <c:v>6832.0482454264211</c:v>
                </c:pt>
                <c:pt idx="18">
                  <c:v>5880.0654704611679</c:v>
                </c:pt>
                <c:pt idx="19">
                  <c:v>7272.1620596320599</c:v>
                </c:pt>
                <c:pt idx="20">
                  <c:v>7105.6293497958859</c:v>
                </c:pt>
                <c:pt idx="21">
                  <c:v>6708.872472677418</c:v>
                </c:pt>
                <c:pt idx="22">
                  <c:v>7525.1749135235132</c:v>
                </c:pt>
                <c:pt idx="23">
                  <c:v>7373.367201188642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8485</c:v>
                </c:pt>
                <c:pt idx="1">
                  <c:v>9231</c:v>
                </c:pt>
                <c:pt idx="2">
                  <c:v>8562</c:v>
                </c:pt>
                <c:pt idx="3">
                  <c:v>8263</c:v>
                </c:pt>
                <c:pt idx="4">
                  <c:v>9004</c:v>
                </c:pt>
                <c:pt idx="5">
                  <c:v>10414</c:v>
                </c:pt>
                <c:pt idx="6">
                  <c:v>9114.1</c:v>
                </c:pt>
                <c:pt idx="7">
                  <c:v>8620.2999999999993</c:v>
                </c:pt>
                <c:pt idx="8">
                  <c:v>7556.2000000000007</c:v>
                </c:pt>
                <c:pt idx="9">
                  <c:v>7041.9</c:v>
                </c:pt>
                <c:pt idx="10">
                  <c:v>8802.4</c:v>
                </c:pt>
                <c:pt idx="11">
                  <c:v>7164.4000000000015</c:v>
                </c:pt>
                <c:pt idx="12">
                  <c:v>7468.2999999999993</c:v>
                </c:pt>
                <c:pt idx="13">
                  <c:v>7414.5</c:v>
                </c:pt>
                <c:pt idx="14">
                  <c:v>8214</c:v>
                </c:pt>
                <c:pt idx="15">
                  <c:v>8605.6</c:v>
                </c:pt>
                <c:pt idx="16">
                  <c:v>8836.2000000000007</c:v>
                </c:pt>
                <c:pt idx="17">
                  <c:v>7780.9</c:v>
                </c:pt>
                <c:pt idx="18">
                  <c:v>8386</c:v>
                </c:pt>
                <c:pt idx="19">
                  <c:v>7649</c:v>
                </c:pt>
                <c:pt idx="20">
                  <c:v>9552</c:v>
                </c:pt>
                <c:pt idx="21">
                  <c:v>10282</c:v>
                </c:pt>
                <c:pt idx="22">
                  <c:v>11150</c:v>
                </c:pt>
                <c:pt idx="23">
                  <c:v>12421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191367.11931248172</c:v>
                </c:pt>
                <c:pt idx="26">
                  <c:v>191367.11931248172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210017.8</c:v>
                </c:pt>
                <c:pt idx="26">
                  <c:v>205000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2474.7600000000002</c:v>
                </c:pt>
                <c:pt idx="1">
                  <c:v>2289.48</c:v>
                </c:pt>
                <c:pt idx="2">
                  <c:v>4453.2</c:v>
                </c:pt>
                <c:pt idx="3">
                  <c:v>4786.08</c:v>
                </c:pt>
                <c:pt idx="4">
                  <c:v>4911.84</c:v>
                </c:pt>
                <c:pt idx="5">
                  <c:v>4060.08</c:v>
                </c:pt>
                <c:pt idx="6">
                  <c:v>4496.88</c:v>
                </c:pt>
                <c:pt idx="7">
                  <c:v>4786.08</c:v>
                </c:pt>
                <c:pt idx="8">
                  <c:v>4570.68</c:v>
                </c:pt>
                <c:pt idx="9">
                  <c:v>4600.8</c:v>
                </c:pt>
                <c:pt idx="10">
                  <c:v>4904.28</c:v>
                </c:pt>
                <c:pt idx="11">
                  <c:v>4816.2</c:v>
                </c:pt>
                <c:pt idx="12">
                  <c:v>4859.88</c:v>
                </c:pt>
                <c:pt idx="13">
                  <c:v>4971.3599999999997</c:v>
                </c:pt>
                <c:pt idx="14">
                  <c:v>4963.8</c:v>
                </c:pt>
                <c:pt idx="15">
                  <c:v>4963.8</c:v>
                </c:pt>
                <c:pt idx="16">
                  <c:v>4838.04</c:v>
                </c:pt>
                <c:pt idx="17">
                  <c:v>4289.76</c:v>
                </c:pt>
                <c:pt idx="18">
                  <c:v>4726.5599999999995</c:v>
                </c:pt>
                <c:pt idx="19">
                  <c:v>4778.5199999999995</c:v>
                </c:pt>
                <c:pt idx="20">
                  <c:v>4275.4800000000005</c:v>
                </c:pt>
                <c:pt idx="21">
                  <c:v>4496.88</c:v>
                </c:pt>
                <c:pt idx="22">
                  <c:v>4527</c:v>
                </c:pt>
                <c:pt idx="23">
                  <c:v>3689.52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982</c:v>
                </c:pt>
                <c:pt idx="1">
                  <c:v>1025</c:v>
                </c:pt>
                <c:pt idx="2">
                  <c:v>250</c:v>
                </c:pt>
                <c:pt idx="3">
                  <c:v>3904</c:v>
                </c:pt>
                <c:pt idx="4">
                  <c:v>1204</c:v>
                </c:pt>
                <c:pt idx="5">
                  <c:v>1476</c:v>
                </c:pt>
                <c:pt idx="6">
                  <c:v>0</c:v>
                </c:pt>
                <c:pt idx="7">
                  <c:v>0</c:v>
                </c:pt>
                <c:pt idx="8">
                  <c:v>574</c:v>
                </c:pt>
                <c:pt idx="9">
                  <c:v>0</c:v>
                </c:pt>
                <c:pt idx="10">
                  <c:v>2075</c:v>
                </c:pt>
                <c:pt idx="11">
                  <c:v>3867</c:v>
                </c:pt>
                <c:pt idx="12">
                  <c:v>2892</c:v>
                </c:pt>
                <c:pt idx="13">
                  <c:v>856</c:v>
                </c:pt>
                <c:pt idx="14">
                  <c:v>0</c:v>
                </c:pt>
                <c:pt idx="15">
                  <c:v>51</c:v>
                </c:pt>
                <c:pt idx="16">
                  <c:v>1158</c:v>
                </c:pt>
                <c:pt idx="17">
                  <c:v>1353</c:v>
                </c:pt>
                <c:pt idx="18">
                  <c:v>2855</c:v>
                </c:pt>
                <c:pt idx="19">
                  <c:v>3343</c:v>
                </c:pt>
                <c:pt idx="20">
                  <c:v>3940</c:v>
                </c:pt>
                <c:pt idx="21">
                  <c:v>5198</c:v>
                </c:pt>
                <c:pt idx="22">
                  <c:v>5038</c:v>
                </c:pt>
                <c:pt idx="23">
                  <c:v>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106530.95999999999</c:v>
                </c:pt>
                <c:pt idx="26">
                  <c:v>106530.95999999999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46103</c:v>
                </c:pt>
                <c:pt idx="26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2106.1415999999995</c:v>
                </c:pt>
                <c:pt idx="1">
                  <c:v>2472.1032</c:v>
                </c:pt>
                <c:pt idx="2">
                  <c:v>1365.3719999999998</c:v>
                </c:pt>
                <c:pt idx="3">
                  <c:v>1365.3719999999998</c:v>
                </c:pt>
                <c:pt idx="4">
                  <c:v>1114.0644</c:v>
                </c:pt>
                <c:pt idx="5">
                  <c:v>905.1264000000001</c:v>
                </c:pt>
                <c:pt idx="6">
                  <c:v>1063.6632</c:v>
                </c:pt>
                <c:pt idx="7">
                  <c:v>883.94159999999999</c:v>
                </c:pt>
                <c:pt idx="8">
                  <c:v>653.8187999999999</c:v>
                </c:pt>
                <c:pt idx="9">
                  <c:v>301.7088</c:v>
                </c:pt>
                <c:pt idx="10">
                  <c:v>603.41759999999999</c:v>
                </c:pt>
                <c:pt idx="11">
                  <c:v>2212.7639999999997</c:v>
                </c:pt>
                <c:pt idx="12">
                  <c:v>2212.7639999999997</c:v>
                </c:pt>
                <c:pt idx="13">
                  <c:v>1839.4692</c:v>
                </c:pt>
                <c:pt idx="14">
                  <c:v>2191.5791999999997</c:v>
                </c:pt>
                <c:pt idx="15">
                  <c:v>1436.9580000000001</c:v>
                </c:pt>
                <c:pt idx="16">
                  <c:v>1185.6504</c:v>
                </c:pt>
                <c:pt idx="17">
                  <c:v>905.1264000000001</c:v>
                </c:pt>
                <c:pt idx="18">
                  <c:v>1659.7475999999999</c:v>
                </c:pt>
                <c:pt idx="19">
                  <c:v>1818.2844</c:v>
                </c:pt>
                <c:pt idx="20">
                  <c:v>1961.4563999999998</c:v>
                </c:pt>
                <c:pt idx="21">
                  <c:v>1961.4563999999998</c:v>
                </c:pt>
                <c:pt idx="22">
                  <c:v>1911.0551999999998</c:v>
                </c:pt>
                <c:pt idx="23">
                  <c:v>2019.1907999999999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1160</c:v>
                </c:pt>
                <c:pt idx="1">
                  <c:v>1080</c:v>
                </c:pt>
                <c:pt idx="2">
                  <c:v>780</c:v>
                </c:pt>
                <c:pt idx="3">
                  <c:v>1170</c:v>
                </c:pt>
                <c:pt idx="4">
                  <c:v>2030</c:v>
                </c:pt>
                <c:pt idx="5">
                  <c:v>1550</c:v>
                </c:pt>
                <c:pt idx="6">
                  <c:v>990</c:v>
                </c:pt>
                <c:pt idx="7">
                  <c:v>2020</c:v>
                </c:pt>
                <c:pt idx="8">
                  <c:v>1250</c:v>
                </c:pt>
                <c:pt idx="9">
                  <c:v>870</c:v>
                </c:pt>
                <c:pt idx="10">
                  <c:v>1470</c:v>
                </c:pt>
                <c:pt idx="11">
                  <c:v>1380</c:v>
                </c:pt>
                <c:pt idx="12">
                  <c:v>1600</c:v>
                </c:pt>
                <c:pt idx="13">
                  <c:v>950</c:v>
                </c:pt>
                <c:pt idx="14">
                  <c:v>1460</c:v>
                </c:pt>
                <c:pt idx="15">
                  <c:v>2120</c:v>
                </c:pt>
                <c:pt idx="16">
                  <c:v>1890</c:v>
                </c:pt>
                <c:pt idx="17">
                  <c:v>1450</c:v>
                </c:pt>
                <c:pt idx="18">
                  <c:v>0</c:v>
                </c:pt>
                <c:pt idx="19">
                  <c:v>1340</c:v>
                </c:pt>
                <c:pt idx="20">
                  <c:v>1250</c:v>
                </c:pt>
                <c:pt idx="21">
                  <c:v>1250</c:v>
                </c:pt>
                <c:pt idx="22">
                  <c:v>1100</c:v>
                </c:pt>
                <c:pt idx="23">
                  <c:v>2080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36150.231599999992</c:v>
                </c:pt>
                <c:pt idx="26">
                  <c:v>36150.231599999992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32240</c:v>
                </c:pt>
                <c:pt idx="26">
                  <c:v>31000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290</c:v>
                </c:pt>
                <c:pt idx="1">
                  <c:v>205</c:v>
                </c:pt>
                <c:pt idx="2">
                  <c:v>349</c:v>
                </c:pt>
                <c:pt idx="3">
                  <c:v>221</c:v>
                </c:pt>
                <c:pt idx="4">
                  <c:v>356</c:v>
                </c:pt>
                <c:pt idx="5">
                  <c:v>161</c:v>
                </c:pt>
                <c:pt idx="6">
                  <c:v>0</c:v>
                </c:pt>
                <c:pt idx="7">
                  <c:v>209</c:v>
                </c:pt>
                <c:pt idx="8">
                  <c:v>288</c:v>
                </c:pt>
                <c:pt idx="9">
                  <c:v>355</c:v>
                </c:pt>
                <c:pt idx="10">
                  <c:v>373</c:v>
                </c:pt>
                <c:pt idx="11">
                  <c:v>397</c:v>
                </c:pt>
                <c:pt idx="12">
                  <c:v>393</c:v>
                </c:pt>
                <c:pt idx="13">
                  <c:v>4</c:v>
                </c:pt>
                <c:pt idx="14">
                  <c:v>0</c:v>
                </c:pt>
                <c:pt idx="15">
                  <c:v>144</c:v>
                </c:pt>
                <c:pt idx="16">
                  <c:v>356</c:v>
                </c:pt>
                <c:pt idx="17">
                  <c:v>432</c:v>
                </c:pt>
                <c:pt idx="18">
                  <c:v>0</c:v>
                </c:pt>
                <c:pt idx="19">
                  <c:v>53</c:v>
                </c:pt>
                <c:pt idx="20">
                  <c:v>211</c:v>
                </c:pt>
                <c:pt idx="21">
                  <c:v>193</c:v>
                </c:pt>
                <c:pt idx="22">
                  <c:v>128</c:v>
                </c:pt>
                <c:pt idx="23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5384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13194.473178488186</c:v>
                </c:pt>
                <c:pt idx="1">
                  <c:v>13460.933732186259</c:v>
                </c:pt>
                <c:pt idx="2">
                  <c:v>13946.569256123759</c:v>
                </c:pt>
                <c:pt idx="3">
                  <c:v>14244.272873203978</c:v>
                </c:pt>
                <c:pt idx="4">
                  <c:v>14407.73256543195</c:v>
                </c:pt>
                <c:pt idx="5">
                  <c:v>13534.018660686606</c:v>
                </c:pt>
                <c:pt idx="6">
                  <c:v>14360.397683385634</c:v>
                </c:pt>
                <c:pt idx="7">
                  <c:v>14440.542953442562</c:v>
                </c:pt>
                <c:pt idx="8">
                  <c:v>13706.012861214587</c:v>
                </c:pt>
                <c:pt idx="9">
                  <c:v>13370.115919130023</c:v>
                </c:pt>
                <c:pt idx="10">
                  <c:v>14769.636528783694</c:v>
                </c:pt>
                <c:pt idx="11">
                  <c:v>15490.727866153315</c:v>
                </c:pt>
                <c:pt idx="12">
                  <c:v>16313.313487948477</c:v>
                </c:pt>
                <c:pt idx="13">
                  <c:v>15799.187024414232</c:v>
                </c:pt>
                <c:pt idx="14">
                  <c:v>15617.143066153314</c:v>
                </c:pt>
                <c:pt idx="15">
                  <c:v>14775.924857038506</c:v>
                </c:pt>
                <c:pt idx="16">
                  <c:v>13330.243152658164</c:v>
                </c:pt>
                <c:pt idx="17">
                  <c:v>12169.892978759757</c:v>
                </c:pt>
                <c:pt idx="18">
                  <c:v>12409.331403794502</c:v>
                </c:pt>
                <c:pt idx="19">
                  <c:v>14011.924792965394</c:v>
                </c:pt>
                <c:pt idx="20">
                  <c:v>13485.524083129219</c:v>
                </c:pt>
                <c:pt idx="21">
                  <c:v>13310.16720601075</c:v>
                </c:pt>
                <c:pt idx="22">
                  <c:v>14106.188446856848</c:v>
                </c:pt>
                <c:pt idx="23">
                  <c:v>13225.036334521976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10917</c:v>
                </c:pt>
                <c:pt idx="1">
                  <c:v>11541</c:v>
                </c:pt>
                <c:pt idx="2">
                  <c:v>9941</c:v>
                </c:pt>
                <c:pt idx="3">
                  <c:v>13558</c:v>
                </c:pt>
                <c:pt idx="4">
                  <c:v>12594</c:v>
                </c:pt>
                <c:pt idx="5">
                  <c:v>13601</c:v>
                </c:pt>
                <c:pt idx="6">
                  <c:v>10104.1</c:v>
                </c:pt>
                <c:pt idx="7">
                  <c:v>10849.3</c:v>
                </c:pt>
                <c:pt idx="8">
                  <c:v>9668.2000000000007</c:v>
                </c:pt>
                <c:pt idx="9">
                  <c:v>8266.9</c:v>
                </c:pt>
                <c:pt idx="10">
                  <c:v>12720.4</c:v>
                </c:pt>
                <c:pt idx="11">
                  <c:v>12808.400000000001</c:v>
                </c:pt>
                <c:pt idx="12">
                  <c:v>12353.3</c:v>
                </c:pt>
                <c:pt idx="13">
                  <c:v>9224.5</c:v>
                </c:pt>
                <c:pt idx="14">
                  <c:v>9674</c:v>
                </c:pt>
                <c:pt idx="15">
                  <c:v>10920.6</c:v>
                </c:pt>
                <c:pt idx="16">
                  <c:v>12240.2</c:v>
                </c:pt>
                <c:pt idx="17">
                  <c:v>11015.9</c:v>
                </c:pt>
                <c:pt idx="18">
                  <c:v>11241</c:v>
                </c:pt>
                <c:pt idx="19">
                  <c:v>12385</c:v>
                </c:pt>
                <c:pt idx="20">
                  <c:v>14953</c:v>
                </c:pt>
                <c:pt idx="21">
                  <c:v>16923</c:v>
                </c:pt>
                <c:pt idx="22">
                  <c:v>17416</c:v>
                </c:pt>
                <c:pt idx="23">
                  <c:v>18829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323373.12246562477</c:v>
                </c:pt>
                <c:pt idx="26">
                  <c:v>337479.31091248168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293744.8</c:v>
                </c:pt>
                <c:pt idx="26">
                  <c:v>287000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8470.6132451548528</c:v>
                </c:pt>
                <c:pt idx="1">
                  <c:v>8556.3921988529255</c:v>
                </c:pt>
                <c:pt idx="2">
                  <c:v>7985.0389227904261</c:v>
                </c:pt>
                <c:pt idx="3">
                  <c:v>7949.8625398706454</c:v>
                </c:pt>
                <c:pt idx="4">
                  <c:v>8238.8698320986168</c:v>
                </c:pt>
                <c:pt idx="5">
                  <c:v>8425.8539273532715</c:v>
                </c:pt>
                <c:pt idx="6">
                  <c:v>8656.8961500523019</c:v>
                </c:pt>
                <c:pt idx="7">
                  <c:v>8627.5630201092281</c:v>
                </c:pt>
                <c:pt idx="8">
                  <c:v>8338.5557278812539</c:v>
                </c:pt>
                <c:pt idx="9">
                  <c:v>8324.6487857966895</c:v>
                </c:pt>
                <c:pt idx="10">
                  <c:v>9118.9805954503609</c:v>
                </c:pt>
                <c:pt idx="11">
                  <c:v>8318.8055328199807</c:v>
                </c:pt>
                <c:pt idx="12">
                  <c:v>9097.7111546151446</c:v>
                </c:pt>
                <c:pt idx="13">
                  <c:v>8845.3994910808997</c:v>
                </c:pt>
                <c:pt idx="14">
                  <c:v>8318.8055328199807</c:v>
                </c:pt>
                <c:pt idx="15">
                  <c:v>8232.2085237051706</c:v>
                </c:pt>
                <c:pt idx="16">
                  <c:v>7163.5944193248288</c:v>
                </c:pt>
                <c:pt idx="17">
                  <c:v>6832.0482454264211</c:v>
                </c:pt>
                <c:pt idx="18">
                  <c:v>5880.0654704611679</c:v>
                </c:pt>
                <c:pt idx="19">
                  <c:v>7272.1620596320599</c:v>
                </c:pt>
                <c:pt idx="20">
                  <c:v>7105.6293497958859</c:v>
                </c:pt>
                <c:pt idx="21">
                  <c:v>6708.872472677418</c:v>
                </c:pt>
                <c:pt idx="22">
                  <c:v>7525.1749135235132</c:v>
                </c:pt>
                <c:pt idx="23">
                  <c:v>7373.367201188642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8485</c:v>
                </c:pt>
                <c:pt idx="1">
                  <c:v>9231</c:v>
                </c:pt>
                <c:pt idx="2">
                  <c:v>8562</c:v>
                </c:pt>
                <c:pt idx="3">
                  <c:v>8263</c:v>
                </c:pt>
                <c:pt idx="4">
                  <c:v>9004</c:v>
                </c:pt>
                <c:pt idx="5">
                  <c:v>10414</c:v>
                </c:pt>
                <c:pt idx="6">
                  <c:v>9114.1</c:v>
                </c:pt>
                <c:pt idx="7">
                  <c:v>8620.2999999999993</c:v>
                </c:pt>
                <c:pt idx="8">
                  <c:v>7556.2000000000007</c:v>
                </c:pt>
                <c:pt idx="9">
                  <c:v>7041.9</c:v>
                </c:pt>
                <c:pt idx="10">
                  <c:v>8802.4</c:v>
                </c:pt>
                <c:pt idx="11">
                  <c:v>7164.4000000000015</c:v>
                </c:pt>
                <c:pt idx="12">
                  <c:v>7468.2999999999993</c:v>
                </c:pt>
                <c:pt idx="13">
                  <c:v>7414.5</c:v>
                </c:pt>
                <c:pt idx="14">
                  <c:v>8214</c:v>
                </c:pt>
                <c:pt idx="15">
                  <c:v>8605.6</c:v>
                </c:pt>
                <c:pt idx="16">
                  <c:v>8836.2000000000007</c:v>
                </c:pt>
                <c:pt idx="17">
                  <c:v>7780.9</c:v>
                </c:pt>
                <c:pt idx="18">
                  <c:v>8386</c:v>
                </c:pt>
                <c:pt idx="19">
                  <c:v>7649</c:v>
                </c:pt>
                <c:pt idx="20">
                  <c:v>9552</c:v>
                </c:pt>
                <c:pt idx="21">
                  <c:v>10282</c:v>
                </c:pt>
                <c:pt idx="22">
                  <c:v>11150</c:v>
                </c:pt>
                <c:pt idx="23">
                  <c:v>12421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191367.11931248172</c:v>
                </c:pt>
                <c:pt idx="26">
                  <c:v>191367.11931248172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210017.8</c:v>
                </c:pt>
                <c:pt idx="26">
                  <c:v>205000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2474.7600000000002</c:v>
                </c:pt>
                <c:pt idx="1">
                  <c:v>2289.48</c:v>
                </c:pt>
                <c:pt idx="2">
                  <c:v>4453.2</c:v>
                </c:pt>
                <c:pt idx="3">
                  <c:v>4786.08</c:v>
                </c:pt>
                <c:pt idx="4">
                  <c:v>4911.84</c:v>
                </c:pt>
                <c:pt idx="5">
                  <c:v>4060.08</c:v>
                </c:pt>
                <c:pt idx="6">
                  <c:v>4496.88</c:v>
                </c:pt>
                <c:pt idx="7">
                  <c:v>4786.08</c:v>
                </c:pt>
                <c:pt idx="8">
                  <c:v>4570.68</c:v>
                </c:pt>
                <c:pt idx="9">
                  <c:v>4600.8</c:v>
                </c:pt>
                <c:pt idx="10">
                  <c:v>4904.28</c:v>
                </c:pt>
                <c:pt idx="11">
                  <c:v>4816.2</c:v>
                </c:pt>
                <c:pt idx="12">
                  <c:v>4859.88</c:v>
                </c:pt>
                <c:pt idx="13">
                  <c:v>4971.3599999999997</c:v>
                </c:pt>
                <c:pt idx="14">
                  <c:v>4963.8</c:v>
                </c:pt>
                <c:pt idx="15">
                  <c:v>4963.8</c:v>
                </c:pt>
                <c:pt idx="16">
                  <c:v>4838.04</c:v>
                </c:pt>
                <c:pt idx="17">
                  <c:v>4289.76</c:v>
                </c:pt>
                <c:pt idx="18">
                  <c:v>4726.5599999999995</c:v>
                </c:pt>
                <c:pt idx="19">
                  <c:v>4778.5199999999995</c:v>
                </c:pt>
                <c:pt idx="20">
                  <c:v>4275.4800000000005</c:v>
                </c:pt>
                <c:pt idx="21">
                  <c:v>4496.88</c:v>
                </c:pt>
                <c:pt idx="22">
                  <c:v>4527</c:v>
                </c:pt>
                <c:pt idx="23">
                  <c:v>3689.52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982</c:v>
                </c:pt>
                <c:pt idx="1">
                  <c:v>1025</c:v>
                </c:pt>
                <c:pt idx="2">
                  <c:v>250</c:v>
                </c:pt>
                <c:pt idx="3">
                  <c:v>3904</c:v>
                </c:pt>
                <c:pt idx="4">
                  <c:v>1204</c:v>
                </c:pt>
                <c:pt idx="5">
                  <c:v>1476</c:v>
                </c:pt>
                <c:pt idx="6">
                  <c:v>0</c:v>
                </c:pt>
                <c:pt idx="7">
                  <c:v>0</c:v>
                </c:pt>
                <c:pt idx="8">
                  <c:v>574</c:v>
                </c:pt>
                <c:pt idx="9">
                  <c:v>0</c:v>
                </c:pt>
                <c:pt idx="10">
                  <c:v>2075</c:v>
                </c:pt>
                <c:pt idx="11">
                  <c:v>3867</c:v>
                </c:pt>
                <c:pt idx="12">
                  <c:v>2892</c:v>
                </c:pt>
                <c:pt idx="13">
                  <c:v>856</c:v>
                </c:pt>
                <c:pt idx="14">
                  <c:v>0</c:v>
                </c:pt>
                <c:pt idx="15">
                  <c:v>51</c:v>
                </c:pt>
                <c:pt idx="16">
                  <c:v>1158</c:v>
                </c:pt>
                <c:pt idx="17">
                  <c:v>1353</c:v>
                </c:pt>
                <c:pt idx="18">
                  <c:v>2855</c:v>
                </c:pt>
                <c:pt idx="19">
                  <c:v>3343</c:v>
                </c:pt>
                <c:pt idx="20">
                  <c:v>3940</c:v>
                </c:pt>
                <c:pt idx="21">
                  <c:v>5198</c:v>
                </c:pt>
                <c:pt idx="22">
                  <c:v>5038</c:v>
                </c:pt>
                <c:pt idx="23">
                  <c:v>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106530.95999999999</c:v>
                </c:pt>
                <c:pt idx="26">
                  <c:v>106530.95999999999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46103</c:v>
                </c:pt>
                <c:pt idx="26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2106.1415999999995</c:v>
                </c:pt>
                <c:pt idx="1">
                  <c:v>2472.1032</c:v>
                </c:pt>
                <c:pt idx="2">
                  <c:v>1365.3719999999998</c:v>
                </c:pt>
                <c:pt idx="3">
                  <c:v>1365.3719999999998</c:v>
                </c:pt>
                <c:pt idx="4">
                  <c:v>1114.0644</c:v>
                </c:pt>
                <c:pt idx="5">
                  <c:v>905.1264000000001</c:v>
                </c:pt>
                <c:pt idx="6">
                  <c:v>1063.6632</c:v>
                </c:pt>
                <c:pt idx="7">
                  <c:v>883.94159999999999</c:v>
                </c:pt>
                <c:pt idx="8">
                  <c:v>653.8187999999999</c:v>
                </c:pt>
                <c:pt idx="9">
                  <c:v>301.7088</c:v>
                </c:pt>
                <c:pt idx="10">
                  <c:v>603.41759999999999</c:v>
                </c:pt>
                <c:pt idx="11">
                  <c:v>2212.7639999999997</c:v>
                </c:pt>
                <c:pt idx="12">
                  <c:v>2212.7639999999997</c:v>
                </c:pt>
                <c:pt idx="13">
                  <c:v>1839.4692</c:v>
                </c:pt>
                <c:pt idx="14">
                  <c:v>2191.5791999999997</c:v>
                </c:pt>
                <c:pt idx="15">
                  <c:v>1436.9580000000001</c:v>
                </c:pt>
                <c:pt idx="16">
                  <c:v>1185.6504</c:v>
                </c:pt>
                <c:pt idx="17">
                  <c:v>905.1264000000001</c:v>
                </c:pt>
                <c:pt idx="18">
                  <c:v>1659.7475999999999</c:v>
                </c:pt>
                <c:pt idx="19">
                  <c:v>1818.2844</c:v>
                </c:pt>
                <c:pt idx="20">
                  <c:v>1961.4563999999998</c:v>
                </c:pt>
                <c:pt idx="21">
                  <c:v>1961.4563999999998</c:v>
                </c:pt>
                <c:pt idx="22">
                  <c:v>1911.0551999999998</c:v>
                </c:pt>
                <c:pt idx="23">
                  <c:v>2019.1907999999999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1160</c:v>
                </c:pt>
                <c:pt idx="1">
                  <c:v>1080</c:v>
                </c:pt>
                <c:pt idx="2">
                  <c:v>780</c:v>
                </c:pt>
                <c:pt idx="3">
                  <c:v>1170</c:v>
                </c:pt>
                <c:pt idx="4">
                  <c:v>2030</c:v>
                </c:pt>
                <c:pt idx="5">
                  <c:v>1550</c:v>
                </c:pt>
                <c:pt idx="6">
                  <c:v>990</c:v>
                </c:pt>
                <c:pt idx="7">
                  <c:v>2020</c:v>
                </c:pt>
                <c:pt idx="8">
                  <c:v>1250</c:v>
                </c:pt>
                <c:pt idx="9">
                  <c:v>870</c:v>
                </c:pt>
                <c:pt idx="10">
                  <c:v>1470</c:v>
                </c:pt>
                <c:pt idx="11">
                  <c:v>1380</c:v>
                </c:pt>
                <c:pt idx="12">
                  <c:v>1600</c:v>
                </c:pt>
                <c:pt idx="13">
                  <c:v>950</c:v>
                </c:pt>
                <c:pt idx="14">
                  <c:v>1460</c:v>
                </c:pt>
                <c:pt idx="15">
                  <c:v>2120</c:v>
                </c:pt>
                <c:pt idx="16">
                  <c:v>1890</c:v>
                </c:pt>
                <c:pt idx="17">
                  <c:v>1450</c:v>
                </c:pt>
                <c:pt idx="18">
                  <c:v>0</c:v>
                </c:pt>
                <c:pt idx="19">
                  <c:v>1340</c:v>
                </c:pt>
                <c:pt idx="20">
                  <c:v>1250</c:v>
                </c:pt>
                <c:pt idx="21">
                  <c:v>1250</c:v>
                </c:pt>
                <c:pt idx="22">
                  <c:v>1100</c:v>
                </c:pt>
                <c:pt idx="23">
                  <c:v>2080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36150.231599999992</c:v>
                </c:pt>
                <c:pt idx="26">
                  <c:v>36150.231599999992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32240</c:v>
                </c:pt>
                <c:pt idx="26">
                  <c:v>31000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290</c:v>
                </c:pt>
                <c:pt idx="1">
                  <c:v>205</c:v>
                </c:pt>
                <c:pt idx="2">
                  <c:v>349</c:v>
                </c:pt>
                <c:pt idx="3">
                  <c:v>221</c:v>
                </c:pt>
                <c:pt idx="4">
                  <c:v>356</c:v>
                </c:pt>
                <c:pt idx="5">
                  <c:v>161</c:v>
                </c:pt>
                <c:pt idx="6">
                  <c:v>0</c:v>
                </c:pt>
                <c:pt idx="7">
                  <c:v>209</c:v>
                </c:pt>
                <c:pt idx="8">
                  <c:v>288</c:v>
                </c:pt>
                <c:pt idx="9">
                  <c:v>355</c:v>
                </c:pt>
                <c:pt idx="10">
                  <c:v>373</c:v>
                </c:pt>
                <c:pt idx="11">
                  <c:v>397</c:v>
                </c:pt>
                <c:pt idx="12">
                  <c:v>393</c:v>
                </c:pt>
                <c:pt idx="13">
                  <c:v>4</c:v>
                </c:pt>
                <c:pt idx="14">
                  <c:v>0</c:v>
                </c:pt>
                <c:pt idx="15">
                  <c:v>144</c:v>
                </c:pt>
                <c:pt idx="16">
                  <c:v>356</c:v>
                </c:pt>
                <c:pt idx="17">
                  <c:v>432</c:v>
                </c:pt>
                <c:pt idx="18">
                  <c:v>0</c:v>
                </c:pt>
                <c:pt idx="19">
                  <c:v>53</c:v>
                </c:pt>
                <c:pt idx="20">
                  <c:v>211</c:v>
                </c:pt>
                <c:pt idx="21">
                  <c:v>193</c:v>
                </c:pt>
                <c:pt idx="22">
                  <c:v>128</c:v>
                </c:pt>
                <c:pt idx="23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5384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269</c:v>
                </c:pt>
                <c:pt idx="1">
                  <c:v>927</c:v>
                </c:pt>
                <c:pt idx="2">
                  <c:v>1348</c:v>
                </c:pt>
                <c:pt idx="3">
                  <c:v>1092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24</c:v>
                </c:pt>
                <c:pt idx="16">
                  <c:v>525</c:v>
                </c:pt>
                <c:pt idx="17">
                  <c:v>1182</c:v>
                </c:pt>
                <c:pt idx="18">
                  <c:v>620</c:v>
                </c:pt>
                <c:pt idx="19">
                  <c:v>996</c:v>
                </c:pt>
                <c:pt idx="20">
                  <c:v>651</c:v>
                </c:pt>
                <c:pt idx="21">
                  <c:v>829</c:v>
                </c:pt>
                <c:pt idx="22">
                  <c:v>688</c:v>
                </c:pt>
                <c:pt idx="23">
                  <c:v>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9685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BSM 3</c:v>
                </c:pt>
                <c:pt idx="4">
                  <c:v>BSM 2</c:v>
                </c:pt>
                <c:pt idx="5">
                  <c:v>REP 02</c:v>
                </c:pt>
                <c:pt idx="6">
                  <c:v>REP 06</c:v>
                </c:pt>
                <c:pt idx="7">
                  <c:v>BRIT 1</c:v>
                </c:pt>
                <c:pt idx="8">
                  <c:v>BSM 7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339122.4</c:v>
                </c:pt>
                <c:pt idx="2">
                  <c:v>268282.88</c:v>
                </c:pt>
                <c:pt idx="3">
                  <c:v>250364.96</c:v>
                </c:pt>
                <c:pt idx="4">
                  <c:v>241407.12</c:v>
                </c:pt>
                <c:pt idx="5">
                  <c:v>235290.56</c:v>
                </c:pt>
                <c:pt idx="6">
                  <c:v>231301.84</c:v>
                </c:pt>
                <c:pt idx="7">
                  <c:v>231301.84</c:v>
                </c:pt>
                <c:pt idx="8">
                  <c:v>234058.4</c:v>
                </c:pt>
                <c:pt idx="9">
                  <c:v>241481.8</c:v>
                </c:pt>
                <c:pt idx="10">
                  <c:v>290925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BSM 3</c:v>
                </c:pt>
                <c:pt idx="4">
                  <c:v>BSM 2</c:v>
                </c:pt>
                <c:pt idx="5">
                  <c:v>REP 02</c:v>
                </c:pt>
                <c:pt idx="6">
                  <c:v>REP 06</c:v>
                </c:pt>
                <c:pt idx="7">
                  <c:v>BRIT 1</c:v>
                </c:pt>
                <c:pt idx="8">
                  <c:v>BSM 7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340299.84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BSM 3</c:v>
                </c:pt>
                <c:pt idx="4">
                  <c:v>BSM 2</c:v>
                </c:pt>
                <c:pt idx="5">
                  <c:v>REP 02</c:v>
                </c:pt>
                <c:pt idx="6">
                  <c:v>REP 06</c:v>
                </c:pt>
                <c:pt idx="7">
                  <c:v>BRIT 1</c:v>
                </c:pt>
                <c:pt idx="8">
                  <c:v>BSM 7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2756.5600000000013</c:v>
                </c:pt>
                <c:pt idx="8">
                  <c:v>7423.4000000000087</c:v>
                </c:pt>
                <c:pt idx="9">
                  <c:v>49443.199999999997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5</c:v>
                </c:pt>
                <c:pt idx="3">
                  <c:v>BSM 3</c:v>
                </c:pt>
                <c:pt idx="4">
                  <c:v>BSM 2</c:v>
                </c:pt>
                <c:pt idx="5">
                  <c:v>REP 02</c:v>
                </c:pt>
                <c:pt idx="6">
                  <c:v>REP 06</c:v>
                </c:pt>
                <c:pt idx="7">
                  <c:v>BRIT 1</c:v>
                </c:pt>
                <c:pt idx="8">
                  <c:v>BSM 7</c:v>
                </c:pt>
                <c:pt idx="9">
                  <c:v>BSM 6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72016.959999999992</c:v>
                </c:pt>
                <c:pt idx="3">
                  <c:v>17917.920000000013</c:v>
                </c:pt>
                <c:pt idx="4">
                  <c:v>8957.84</c:v>
                </c:pt>
                <c:pt idx="5">
                  <c:v>6116.5599999999977</c:v>
                </c:pt>
                <c:pt idx="6">
                  <c:v>3988.7200000000012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49374.84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pt-BR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262008</c:v>
                </c:pt>
                <c:pt idx="1">
                  <c:v>269496</c:v>
                </c:pt>
                <c:pt idx="2">
                  <c:v>259192</c:v>
                </c:pt>
                <c:pt idx="3">
                  <c:v>275742</c:v>
                </c:pt>
                <c:pt idx="4">
                  <c:v>281044.80000000005</c:v>
                </c:pt>
                <c:pt idx="5">
                  <c:v>288608</c:v>
                </c:pt>
                <c:pt idx="6">
                  <c:v>282020.91428571427</c:v>
                </c:pt>
                <c:pt idx="7">
                  <c:v>279316.2</c:v>
                </c:pt>
                <c:pt idx="8">
                  <c:v>274062.93333333335</c:v>
                </c:pt>
                <c:pt idx="9">
                  <c:v>266497.19999999995</c:v>
                </c:pt>
                <c:pt idx="10">
                  <c:v>270023.7818181818</c:v>
                </c:pt>
                <c:pt idx="11">
                  <c:v>273138.59999999998</c:v>
                </c:pt>
                <c:pt idx="12">
                  <c:v>274934.03076923074</c:v>
                </c:pt>
                <c:pt idx="13">
                  <c:v>271109.31428571424</c:v>
                </c:pt>
                <c:pt idx="14">
                  <c:v>268513.75999999995</c:v>
                </c:pt>
                <c:pt idx="15">
                  <c:v>268112.55</c:v>
                </c:pt>
                <c:pt idx="16">
                  <c:v>269621.50588235294</c:v>
                </c:pt>
                <c:pt idx="17">
                  <c:v>269330.39999999997</c:v>
                </c:pt>
                <c:pt idx="18">
                  <c:v>269354.27368421049</c:v>
                </c:pt>
                <c:pt idx="19">
                  <c:v>270748.55999999994</c:v>
                </c:pt>
                <c:pt idx="20">
                  <c:v>274944.91428571427</c:v>
                </c:pt>
                <c:pt idx="21">
                  <c:v>280908.87272727274</c:v>
                </c:pt>
                <c:pt idx="22">
                  <c:v>286868.66086956521</c:v>
                </c:pt>
                <c:pt idx="23">
                  <c:v>306516.31304347824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316667.35628371645</c:v>
                </c:pt>
                <c:pt idx="1">
                  <c:v>319864.88292809331</c:v>
                </c:pt>
                <c:pt idx="2">
                  <c:v>324815.80933438562</c:v>
                </c:pt>
                <c:pt idx="3">
                  <c:v>329077.49424001307</c:v>
                </c:pt>
                <c:pt idx="4">
                  <c:v>332419.11170608376</c:v>
                </c:pt>
                <c:pt idx="5">
                  <c:v>331152.0010644829</c:v>
                </c:pt>
                <c:pt idx="6">
                  <c:v>333080.22154116468</c:v>
                </c:pt>
                <c:pt idx="7">
                  <c:v>334766.82270884677</c:v>
                </c:pt>
                <c:pt idx="8">
                  <c:v>334119.87670443603</c:v>
                </c:pt>
                <c:pt idx="9">
                  <c:v>332796.1672399044</c:v>
                </c:pt>
                <c:pt idx="10">
                  <c:v>334766.63173544116</c:v>
                </c:pt>
                <c:pt idx="11">
                  <c:v>337850.86815646105</c:v>
                </c:pt>
                <c:pt idx="12">
                  <c:v>341979.22627602279</c:v>
                </c:pt>
                <c:pt idx="13">
                  <c:v>344636.45929815981</c:v>
                </c:pt>
                <c:pt idx="14">
                  <c:v>346648.12425079447</c:v>
                </c:pt>
                <c:pt idx="15">
                  <c:v>347146.50377067755</c:v>
                </c:pt>
                <c:pt idx="16">
                  <c:v>345545.28799968451</c:v>
                </c:pt>
                <c:pt idx="17">
                  <c:v>342574.85152693721</c:v>
                </c:pt>
                <c:pt idx="18">
                  <c:v>340219.54111452308</c:v>
                </c:pt>
                <c:pt idx="19">
                  <c:v>340022.87381035544</c:v>
                </c:pt>
                <c:pt idx="20">
                  <c:v>339243.33591439098</c:v>
                </c:pt>
                <c:pt idx="21">
                  <c:v>338343.36668847577</c:v>
                </c:pt>
                <c:pt idx="22">
                  <c:v>338352.28651613183</c:v>
                </c:pt>
                <c:pt idx="23">
                  <c:v>337479.31091248163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316667.35628371645</c:v>
                </c:pt>
                <c:pt idx="1">
                  <c:v>319864.88292809331</c:v>
                </c:pt>
                <c:pt idx="2">
                  <c:v>324815.80933438562</c:v>
                </c:pt>
                <c:pt idx="3">
                  <c:v>329077.49424001307</c:v>
                </c:pt>
                <c:pt idx="4">
                  <c:v>332419.11170608376</c:v>
                </c:pt>
                <c:pt idx="5">
                  <c:v>331152.0010644829</c:v>
                </c:pt>
                <c:pt idx="6">
                  <c:v>333080.22154116468</c:v>
                </c:pt>
                <c:pt idx="7">
                  <c:v>334766.82270884677</c:v>
                </c:pt>
                <c:pt idx="8">
                  <c:v>334119.87670443603</c:v>
                </c:pt>
                <c:pt idx="9">
                  <c:v>332796.1672399044</c:v>
                </c:pt>
                <c:pt idx="10">
                  <c:v>334766.63173544116</c:v>
                </c:pt>
                <c:pt idx="11">
                  <c:v>337850.86815646105</c:v>
                </c:pt>
                <c:pt idx="12">
                  <c:v>341979.22627602279</c:v>
                </c:pt>
                <c:pt idx="13">
                  <c:v>344636.45929815981</c:v>
                </c:pt>
                <c:pt idx="14">
                  <c:v>346648.12425079447</c:v>
                </c:pt>
                <c:pt idx="15">
                  <c:v>347146.50377067755</c:v>
                </c:pt>
                <c:pt idx="16">
                  <c:v>345545.28799968451</c:v>
                </c:pt>
                <c:pt idx="17">
                  <c:v>342574.85152693721</c:v>
                </c:pt>
                <c:pt idx="18">
                  <c:v>340219.54111452308</c:v>
                </c:pt>
                <c:pt idx="19">
                  <c:v>340022.87381035544</c:v>
                </c:pt>
                <c:pt idx="20">
                  <c:v>339243.33591439098</c:v>
                </c:pt>
                <c:pt idx="21">
                  <c:v>338343.36668847577</c:v>
                </c:pt>
                <c:pt idx="22">
                  <c:v>338352.28651613183</c:v>
                </c:pt>
                <c:pt idx="23">
                  <c:v>337479.31091248163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262008</c:v>
                </c:pt>
                <c:pt idx="1">
                  <c:v>269496</c:v>
                </c:pt>
                <c:pt idx="2">
                  <c:v>259192</c:v>
                </c:pt>
                <c:pt idx="3">
                  <c:v>275742</c:v>
                </c:pt>
                <c:pt idx="4">
                  <c:v>281044.80000000005</c:v>
                </c:pt>
                <c:pt idx="5">
                  <c:v>288608</c:v>
                </c:pt>
                <c:pt idx="6">
                  <c:v>282020.91428571427</c:v>
                </c:pt>
                <c:pt idx="7">
                  <c:v>279316.2</c:v>
                </c:pt>
                <c:pt idx="8">
                  <c:v>274062.93333333335</c:v>
                </c:pt>
                <c:pt idx="9">
                  <c:v>266497.19999999995</c:v>
                </c:pt>
                <c:pt idx="10">
                  <c:v>270023.7818181818</c:v>
                </c:pt>
                <c:pt idx="11">
                  <c:v>273138.59999999998</c:v>
                </c:pt>
                <c:pt idx="12">
                  <c:v>274934.03076923074</c:v>
                </c:pt>
                <c:pt idx="13">
                  <c:v>271109.31428571424</c:v>
                </c:pt>
                <c:pt idx="14">
                  <c:v>268513.75999999995</c:v>
                </c:pt>
                <c:pt idx="15">
                  <c:v>268112.55</c:v>
                </c:pt>
                <c:pt idx="16">
                  <c:v>269621.50588235294</c:v>
                </c:pt>
                <c:pt idx="17">
                  <c:v>269330.39999999997</c:v>
                </c:pt>
                <c:pt idx="18">
                  <c:v>269354.27368421049</c:v>
                </c:pt>
                <c:pt idx="19">
                  <c:v>270748.55999999994</c:v>
                </c:pt>
                <c:pt idx="20">
                  <c:v>274944.91428571427</c:v>
                </c:pt>
                <c:pt idx="21">
                  <c:v>280908.87272727274</c:v>
                </c:pt>
                <c:pt idx="22">
                  <c:v>286868.66086956521</c:v>
                </c:pt>
                <c:pt idx="23">
                  <c:v>306516.31304347824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203294.71788371645</c:v>
                </c:pt>
                <c:pt idx="1">
                  <c:v>204324.06532809336</c:v>
                </c:pt>
                <c:pt idx="2">
                  <c:v>200096.35493438563</c:v>
                </c:pt>
                <c:pt idx="3">
                  <c:v>197771.44144001312</c:v>
                </c:pt>
                <c:pt idx="4">
                  <c:v>197763.72834608387</c:v>
                </c:pt>
                <c:pt idx="5">
                  <c:v>198506.522664483</c:v>
                </c:pt>
                <c:pt idx="6">
                  <c:v>199829.23479830756</c:v>
                </c:pt>
                <c:pt idx="7">
                  <c:v>200733.26950884683</c:v>
                </c:pt>
                <c:pt idx="8">
                  <c:v>200665.72150443605</c:v>
                </c:pt>
                <c:pt idx="9">
                  <c:v>200578.30643990453</c:v>
                </c:pt>
                <c:pt idx="10">
                  <c:v>202239.87260816855</c:v>
                </c:pt>
                <c:pt idx="11">
                  <c:v>202024.16095646113</c:v>
                </c:pt>
                <c:pt idx="12">
                  <c:v>203279.61532217666</c:v>
                </c:pt>
                <c:pt idx="13">
                  <c:v>203923.18478387417</c:v>
                </c:pt>
                <c:pt idx="14">
                  <c:v>203638.39465079454</c:v>
                </c:pt>
                <c:pt idx="15">
                  <c:v>203259.30777067767</c:v>
                </c:pt>
                <c:pt idx="16">
                  <c:v>201416.18767027283</c:v>
                </c:pt>
                <c:pt idx="17">
                  <c:v>199335.79712693737</c:v>
                </c:pt>
                <c:pt idx="18">
                  <c:v>196271.89050399687</c:v>
                </c:pt>
                <c:pt idx="19">
                  <c:v>195184.89045035554</c:v>
                </c:pt>
                <c:pt idx="20">
                  <c:v>194011.09111439105</c:v>
                </c:pt>
                <c:pt idx="21">
                  <c:v>192511.17512483953</c:v>
                </c:pt>
                <c:pt idx="22">
                  <c:v>191993.480463958</c:v>
                </c:pt>
                <c:pt idx="23">
                  <c:v>191367.11931248172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203640</c:v>
                </c:pt>
                <c:pt idx="1">
                  <c:v>212592</c:v>
                </c:pt>
                <c:pt idx="2">
                  <c:v>210224</c:v>
                </c:pt>
                <c:pt idx="3">
                  <c:v>207246</c:v>
                </c:pt>
                <c:pt idx="4">
                  <c:v>209016</c:v>
                </c:pt>
                <c:pt idx="5">
                  <c:v>215836</c:v>
                </c:pt>
                <c:pt idx="6">
                  <c:v>216250.62857142853</c:v>
                </c:pt>
                <c:pt idx="7">
                  <c:v>215080.19999999998</c:v>
                </c:pt>
                <c:pt idx="8">
                  <c:v>211332.26666666666</c:v>
                </c:pt>
                <c:pt idx="9">
                  <c:v>207099.59999999995</c:v>
                </c:pt>
                <c:pt idx="10">
                  <c:v>207477.59999999995</c:v>
                </c:pt>
                <c:pt idx="11">
                  <c:v>204516.59999999998</c:v>
                </c:pt>
                <c:pt idx="12">
                  <c:v>202572.18461538461</c:v>
                </c:pt>
                <c:pt idx="13">
                  <c:v>200813.31428571424</c:v>
                </c:pt>
                <c:pt idx="14">
                  <c:v>200568.15999999997</c:v>
                </c:pt>
                <c:pt idx="15">
                  <c:v>200941.05</c:v>
                </c:pt>
                <c:pt idx="16">
                  <c:v>201595.62352941174</c:v>
                </c:pt>
                <c:pt idx="17">
                  <c:v>200770.39999999997</c:v>
                </c:pt>
                <c:pt idx="18">
                  <c:v>200796.37894736842</c:v>
                </c:pt>
                <c:pt idx="19">
                  <c:v>199935.35999999999</c:v>
                </c:pt>
                <c:pt idx="20">
                  <c:v>201331.19999999998</c:v>
                </c:pt>
                <c:pt idx="21">
                  <c:v>203396.50909090909</c:v>
                </c:pt>
                <c:pt idx="22">
                  <c:v>206187.96521739132</c:v>
                </c:pt>
                <c:pt idx="23">
                  <c:v>219149.00869565213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59394.240000000005</c:v>
                </c:pt>
                <c:pt idx="1">
                  <c:v>57170.879999999997</c:v>
                </c:pt>
                <c:pt idx="2">
                  <c:v>73739.51999999999</c:v>
                </c:pt>
                <c:pt idx="3">
                  <c:v>84021.119999999995</c:v>
                </c:pt>
                <c:pt idx="4">
                  <c:v>90793.728000000003</c:v>
                </c:pt>
                <c:pt idx="5">
                  <c:v>91901.760000000009</c:v>
                </c:pt>
                <c:pt idx="6">
                  <c:v>94190.81142857144</c:v>
                </c:pt>
                <c:pt idx="7">
                  <c:v>96775.200000000012</c:v>
                </c:pt>
                <c:pt idx="8">
                  <c:v>98210.880000000005</c:v>
                </c:pt>
                <c:pt idx="9">
                  <c:v>99431.712</c:v>
                </c:pt>
                <c:pt idx="10">
                  <c:v>101092.71272727274</c:v>
                </c:pt>
                <c:pt idx="11">
                  <c:v>102300.72</c:v>
                </c:pt>
                <c:pt idx="12">
                  <c:v>103403.51999999999</c:v>
                </c:pt>
                <c:pt idx="13">
                  <c:v>104539.88571428572</c:v>
                </c:pt>
                <c:pt idx="14">
                  <c:v>105512.63999999998</c:v>
                </c:pt>
                <c:pt idx="15">
                  <c:v>106363.79999999999</c:v>
                </c:pt>
                <c:pt idx="16">
                  <c:v>106937.27999999998</c:v>
                </c:pt>
                <c:pt idx="17">
                  <c:v>106715.99999999997</c:v>
                </c:pt>
                <c:pt idx="18">
                  <c:v>107069.75999999998</c:v>
                </c:pt>
                <c:pt idx="19">
                  <c:v>107450.49599999998</c:v>
                </c:pt>
                <c:pt idx="20">
                  <c:v>107220.06857142856</c:v>
                </c:pt>
                <c:pt idx="21">
                  <c:v>107252.11636363636</c:v>
                </c:pt>
                <c:pt idx="22">
                  <c:v>107312.80695652173</c:v>
                </c:pt>
                <c:pt idx="23">
                  <c:v>106530.95999999999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23568</c:v>
                </c:pt>
                <c:pt idx="1">
                  <c:v>24084</c:v>
                </c:pt>
                <c:pt idx="2">
                  <c:v>18056</c:v>
                </c:pt>
                <c:pt idx="3">
                  <c:v>36966</c:v>
                </c:pt>
                <c:pt idx="4">
                  <c:v>35352</c:v>
                </c:pt>
                <c:pt idx="5">
                  <c:v>35364</c:v>
                </c:pt>
                <c:pt idx="6">
                  <c:v>30312</c:v>
                </c:pt>
                <c:pt idx="7">
                  <c:v>26523</c:v>
                </c:pt>
                <c:pt idx="8">
                  <c:v>25106.666666666664</c:v>
                </c:pt>
                <c:pt idx="9">
                  <c:v>22596</c:v>
                </c:pt>
                <c:pt idx="10">
                  <c:v>25069.090909090908</c:v>
                </c:pt>
                <c:pt idx="11">
                  <c:v>30714</c:v>
                </c:pt>
                <c:pt idx="12">
                  <c:v>33690.461538461539</c:v>
                </c:pt>
                <c:pt idx="13">
                  <c:v>32751.428571428572</c:v>
                </c:pt>
                <c:pt idx="14">
                  <c:v>30568</c:v>
                </c:pt>
                <c:pt idx="15">
                  <c:v>28734</c:v>
                </c:pt>
                <c:pt idx="16">
                  <c:v>28678.588235294119</c:v>
                </c:pt>
                <c:pt idx="17">
                  <c:v>28889.333333333332</c:v>
                </c:pt>
                <c:pt idx="18">
                  <c:v>30975.15789473684</c:v>
                </c:pt>
                <c:pt idx="19">
                  <c:v>33438</c:v>
                </c:pt>
                <c:pt idx="20">
                  <c:v>36348.571428571435</c:v>
                </c:pt>
                <c:pt idx="21">
                  <c:v>40366.909090909088</c:v>
                </c:pt>
                <c:pt idx="22">
                  <c:v>43868.869565217392</c:v>
                </c:pt>
                <c:pt idx="23">
                  <c:v>48107.478260869568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59394.240000000005</c:v>
                </c:pt>
                <c:pt idx="1">
                  <c:v>57170.879999999997</c:v>
                </c:pt>
                <c:pt idx="2">
                  <c:v>73739.51999999999</c:v>
                </c:pt>
                <c:pt idx="3">
                  <c:v>84021.119999999995</c:v>
                </c:pt>
                <c:pt idx="4">
                  <c:v>90793.728000000003</c:v>
                </c:pt>
                <c:pt idx="5">
                  <c:v>91901.760000000009</c:v>
                </c:pt>
                <c:pt idx="6">
                  <c:v>94190.81142857144</c:v>
                </c:pt>
                <c:pt idx="7">
                  <c:v>96775.200000000012</c:v>
                </c:pt>
                <c:pt idx="8">
                  <c:v>98210.880000000005</c:v>
                </c:pt>
                <c:pt idx="9">
                  <c:v>99431.712</c:v>
                </c:pt>
                <c:pt idx="10">
                  <c:v>101092.71272727274</c:v>
                </c:pt>
                <c:pt idx="11">
                  <c:v>102300.72</c:v>
                </c:pt>
                <c:pt idx="12">
                  <c:v>103403.51999999999</c:v>
                </c:pt>
                <c:pt idx="13">
                  <c:v>104539.88571428572</c:v>
                </c:pt>
                <c:pt idx="14">
                  <c:v>105512.63999999998</c:v>
                </c:pt>
                <c:pt idx="15">
                  <c:v>106363.79999999999</c:v>
                </c:pt>
                <c:pt idx="16">
                  <c:v>106937.27999999998</c:v>
                </c:pt>
                <c:pt idx="17">
                  <c:v>106715.99999999997</c:v>
                </c:pt>
                <c:pt idx="18">
                  <c:v>107069.75999999998</c:v>
                </c:pt>
                <c:pt idx="19">
                  <c:v>107450.49599999998</c:v>
                </c:pt>
                <c:pt idx="20">
                  <c:v>107220.06857142856</c:v>
                </c:pt>
                <c:pt idx="21">
                  <c:v>107252.11636363636</c:v>
                </c:pt>
                <c:pt idx="22">
                  <c:v>107312.80695652173</c:v>
                </c:pt>
                <c:pt idx="23">
                  <c:v>106530.95999999999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23568</c:v>
                </c:pt>
                <c:pt idx="1">
                  <c:v>24084</c:v>
                </c:pt>
                <c:pt idx="2">
                  <c:v>18056</c:v>
                </c:pt>
                <c:pt idx="3">
                  <c:v>36966</c:v>
                </c:pt>
                <c:pt idx="4">
                  <c:v>35352</c:v>
                </c:pt>
                <c:pt idx="5">
                  <c:v>35364</c:v>
                </c:pt>
                <c:pt idx="6">
                  <c:v>30312</c:v>
                </c:pt>
                <c:pt idx="7">
                  <c:v>26523</c:v>
                </c:pt>
                <c:pt idx="8">
                  <c:v>25106.666666666664</c:v>
                </c:pt>
                <c:pt idx="9">
                  <c:v>22596</c:v>
                </c:pt>
                <c:pt idx="10">
                  <c:v>25069.090909090908</c:v>
                </c:pt>
                <c:pt idx="11">
                  <c:v>30714</c:v>
                </c:pt>
                <c:pt idx="12">
                  <c:v>33690.461538461539</c:v>
                </c:pt>
                <c:pt idx="13">
                  <c:v>32751.428571428572</c:v>
                </c:pt>
                <c:pt idx="14">
                  <c:v>30568</c:v>
                </c:pt>
                <c:pt idx="15">
                  <c:v>28734</c:v>
                </c:pt>
                <c:pt idx="16">
                  <c:v>28678.588235294119</c:v>
                </c:pt>
                <c:pt idx="17">
                  <c:v>28889.333333333332</c:v>
                </c:pt>
                <c:pt idx="18">
                  <c:v>30975.15789473684</c:v>
                </c:pt>
                <c:pt idx="19">
                  <c:v>33438</c:v>
                </c:pt>
                <c:pt idx="20">
                  <c:v>36348.571428571435</c:v>
                </c:pt>
                <c:pt idx="21">
                  <c:v>40366.909090909088</c:v>
                </c:pt>
                <c:pt idx="22">
                  <c:v>43868.869565217392</c:v>
                </c:pt>
                <c:pt idx="23">
                  <c:v>48107.478260869568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54938.93759999999</c:v>
                </c:pt>
                <c:pt idx="2">
                  <c:v>47548.934399999998</c:v>
                </c:pt>
                <c:pt idx="3">
                  <c:v>43853.932799999995</c:v>
                </c:pt>
                <c:pt idx="4">
                  <c:v>40430.65535999999</c:v>
                </c:pt>
                <c:pt idx="5">
                  <c:v>37312.718399999998</c:v>
                </c:pt>
                <c:pt idx="6">
                  <c:v>35629.175314285705</c:v>
                </c:pt>
                <c:pt idx="7">
                  <c:v>33827.353199999998</c:v>
                </c:pt>
                <c:pt idx="8">
                  <c:v>31812.275199999993</c:v>
                </c:pt>
                <c:pt idx="9">
                  <c:v>29355.148799999995</c:v>
                </c:pt>
                <c:pt idx="10">
                  <c:v>28003.046399999999</c:v>
                </c:pt>
                <c:pt idx="11">
                  <c:v>30094.987199999996</c:v>
                </c:pt>
                <c:pt idx="12">
                  <c:v>31865.090953846149</c:v>
                </c:pt>
                <c:pt idx="13">
                  <c:v>32742.388799999993</c:v>
                </c:pt>
                <c:pt idx="14">
                  <c:v>34066.089599999992</c:v>
                </c:pt>
                <c:pt idx="15">
                  <c:v>34092.395999999993</c:v>
                </c:pt>
                <c:pt idx="16">
                  <c:v>33760.820329411756</c:v>
                </c:pt>
                <c:pt idx="17">
                  <c:v>33092.054399999994</c:v>
                </c:pt>
                <c:pt idx="18">
                  <c:v>33446.890610526309</c:v>
                </c:pt>
                <c:pt idx="19">
                  <c:v>33956.487359999999</c:v>
                </c:pt>
                <c:pt idx="20">
                  <c:v>34581.176228571421</c:v>
                </c:pt>
                <c:pt idx="21">
                  <c:v>35149.075199999992</c:v>
                </c:pt>
                <c:pt idx="22">
                  <c:v>35614.999095652172</c:v>
                </c:pt>
                <c:pt idx="23">
                  <c:v>36150.231599999992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27840</c:v>
                </c:pt>
                <c:pt idx="1">
                  <c:v>26880</c:v>
                </c:pt>
                <c:pt idx="2">
                  <c:v>24160</c:v>
                </c:pt>
                <c:pt idx="3">
                  <c:v>25140</c:v>
                </c:pt>
                <c:pt idx="4">
                  <c:v>29856</c:v>
                </c:pt>
                <c:pt idx="5">
                  <c:v>31080</c:v>
                </c:pt>
                <c:pt idx="6">
                  <c:v>30034.28571428571</c:v>
                </c:pt>
                <c:pt idx="7">
                  <c:v>32340</c:v>
                </c:pt>
                <c:pt idx="8">
                  <c:v>32080</c:v>
                </c:pt>
                <c:pt idx="9">
                  <c:v>30960</c:v>
                </c:pt>
                <c:pt idx="10">
                  <c:v>31352.727272727272</c:v>
                </c:pt>
                <c:pt idx="11">
                  <c:v>31500</c:v>
                </c:pt>
                <c:pt idx="12">
                  <c:v>32030.769230769227</c:v>
                </c:pt>
                <c:pt idx="13">
                  <c:v>31371.428571428572</c:v>
                </c:pt>
                <c:pt idx="14">
                  <c:v>31616</c:v>
                </c:pt>
                <c:pt idx="15">
                  <c:v>32820</c:v>
                </c:pt>
                <c:pt idx="16">
                  <c:v>33557.647058823532</c:v>
                </c:pt>
                <c:pt idx="17">
                  <c:v>33626.666666666664</c:v>
                </c:pt>
                <c:pt idx="18">
                  <c:v>31856.84210526316</c:v>
                </c:pt>
                <c:pt idx="19">
                  <c:v>31872</c:v>
                </c:pt>
                <c:pt idx="20">
                  <c:v>31782.857142857141</c:v>
                </c:pt>
                <c:pt idx="21">
                  <c:v>31701.818181818184</c:v>
                </c:pt>
                <c:pt idx="22">
                  <c:v>31471.304347826088</c:v>
                </c:pt>
                <c:pt idx="23">
                  <c:v>33641.739130434784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6960</c:v>
                </c:pt>
                <c:pt idx="1">
                  <c:v>5940</c:v>
                </c:pt>
                <c:pt idx="2">
                  <c:v>6752</c:v>
                </c:pt>
                <c:pt idx="3">
                  <c:v>6390</c:v>
                </c:pt>
                <c:pt idx="4">
                  <c:v>6820.7999999999993</c:v>
                </c:pt>
                <c:pt idx="5">
                  <c:v>6328</c:v>
                </c:pt>
                <c:pt idx="6">
                  <c:v>5424</c:v>
                </c:pt>
                <c:pt idx="7">
                  <c:v>5373</c:v>
                </c:pt>
                <c:pt idx="8">
                  <c:v>5544</c:v>
                </c:pt>
                <c:pt idx="9">
                  <c:v>5841.6</c:v>
                </c:pt>
                <c:pt idx="10">
                  <c:v>6124.363636363636</c:v>
                </c:pt>
                <c:pt idx="11">
                  <c:v>6408</c:v>
                </c:pt>
                <c:pt idx="12">
                  <c:v>6640.6153846153848</c:v>
                </c:pt>
                <c:pt idx="13">
                  <c:v>6173.1428571428569</c:v>
                </c:pt>
                <c:pt idx="14">
                  <c:v>5761.6</c:v>
                </c:pt>
                <c:pt idx="15">
                  <c:v>5617.5</c:v>
                </c:pt>
                <c:pt idx="16">
                  <c:v>5789.6470588235297</c:v>
                </c:pt>
                <c:pt idx="17">
                  <c:v>6044</c:v>
                </c:pt>
                <c:pt idx="18">
                  <c:v>5725.894736842105</c:v>
                </c:pt>
                <c:pt idx="19">
                  <c:v>5503.2000000000007</c:v>
                </c:pt>
                <c:pt idx="20">
                  <c:v>5482.2857142857138</c:v>
                </c:pt>
                <c:pt idx="21">
                  <c:v>5443.636363636364</c:v>
                </c:pt>
                <c:pt idx="22">
                  <c:v>5340.521739130435</c:v>
                </c:pt>
                <c:pt idx="23">
                  <c:v>5618.086956521739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13194.473178488186</c:v>
                </c:pt>
                <c:pt idx="1">
                  <c:v>13460.933732186259</c:v>
                </c:pt>
                <c:pt idx="2">
                  <c:v>13946.569256123759</c:v>
                </c:pt>
                <c:pt idx="3">
                  <c:v>14244.272873203978</c:v>
                </c:pt>
                <c:pt idx="4">
                  <c:v>14407.73256543195</c:v>
                </c:pt>
                <c:pt idx="5">
                  <c:v>13534.018660686606</c:v>
                </c:pt>
                <c:pt idx="6">
                  <c:v>14360.397683385634</c:v>
                </c:pt>
                <c:pt idx="7">
                  <c:v>14440.542953442562</c:v>
                </c:pt>
                <c:pt idx="8">
                  <c:v>13706.012861214587</c:v>
                </c:pt>
                <c:pt idx="9">
                  <c:v>13370.115919130023</c:v>
                </c:pt>
                <c:pt idx="10">
                  <c:v>14769.636528783694</c:v>
                </c:pt>
                <c:pt idx="11">
                  <c:v>15490.727866153315</c:v>
                </c:pt>
                <c:pt idx="12">
                  <c:v>16313.313487948477</c:v>
                </c:pt>
                <c:pt idx="13">
                  <c:v>15799.187024414232</c:v>
                </c:pt>
                <c:pt idx="14">
                  <c:v>15617.143066153314</c:v>
                </c:pt>
                <c:pt idx="15">
                  <c:v>14775.924857038506</c:v>
                </c:pt>
                <c:pt idx="16">
                  <c:v>13330.243152658164</c:v>
                </c:pt>
                <c:pt idx="17">
                  <c:v>12169.892978759757</c:v>
                </c:pt>
                <c:pt idx="18">
                  <c:v>12409.331403794502</c:v>
                </c:pt>
                <c:pt idx="19">
                  <c:v>14011.924792965394</c:v>
                </c:pt>
                <c:pt idx="20">
                  <c:v>13485.524083129219</c:v>
                </c:pt>
                <c:pt idx="21">
                  <c:v>13310.16720601075</c:v>
                </c:pt>
                <c:pt idx="22">
                  <c:v>14106.188446856848</c:v>
                </c:pt>
                <c:pt idx="23">
                  <c:v>13225.036334521976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10917</c:v>
                </c:pt>
                <c:pt idx="1">
                  <c:v>11541</c:v>
                </c:pt>
                <c:pt idx="2">
                  <c:v>9941</c:v>
                </c:pt>
                <c:pt idx="3">
                  <c:v>13558</c:v>
                </c:pt>
                <c:pt idx="4">
                  <c:v>12594</c:v>
                </c:pt>
                <c:pt idx="5">
                  <c:v>13601</c:v>
                </c:pt>
                <c:pt idx="6">
                  <c:v>10104.1</c:v>
                </c:pt>
                <c:pt idx="7">
                  <c:v>10849.3</c:v>
                </c:pt>
                <c:pt idx="8">
                  <c:v>9668.2000000000007</c:v>
                </c:pt>
                <c:pt idx="9">
                  <c:v>8266.9</c:v>
                </c:pt>
                <c:pt idx="10">
                  <c:v>12720.4</c:v>
                </c:pt>
                <c:pt idx="11">
                  <c:v>12808.400000000001</c:v>
                </c:pt>
                <c:pt idx="12">
                  <c:v>12353.3</c:v>
                </c:pt>
                <c:pt idx="13">
                  <c:v>9224.5</c:v>
                </c:pt>
                <c:pt idx="14">
                  <c:v>9674</c:v>
                </c:pt>
                <c:pt idx="15">
                  <c:v>10920.6</c:v>
                </c:pt>
                <c:pt idx="16">
                  <c:v>12240.2</c:v>
                </c:pt>
                <c:pt idx="17">
                  <c:v>11015.9</c:v>
                </c:pt>
                <c:pt idx="18">
                  <c:v>11241</c:v>
                </c:pt>
                <c:pt idx="19">
                  <c:v>12385</c:v>
                </c:pt>
                <c:pt idx="20">
                  <c:v>14953</c:v>
                </c:pt>
                <c:pt idx="21">
                  <c:v>16923</c:v>
                </c:pt>
                <c:pt idx="22">
                  <c:v>17416</c:v>
                </c:pt>
                <c:pt idx="23">
                  <c:v>18829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323373.12246562477</c:v>
                </c:pt>
                <c:pt idx="26">
                  <c:v>337479.31091248168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293744.8</c:v>
                </c:pt>
                <c:pt idx="26">
                  <c:v>287000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13</c:v>
                </c:pt>
                <c:pt idx="1">
                  <c:v>14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</c:numCache>
            </c:num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1629.4111546151453</c:v>
                </c:pt>
                <c:pt idx="1">
                  <c:v>1430.8994910808997</c:v>
                </c:pt>
                <c:pt idx="2">
                  <c:v>1282.7487857966898</c:v>
                </c:pt>
                <c:pt idx="3">
                  <c:v>1154.4055328199793</c:v>
                </c:pt>
                <c:pt idx="4">
                  <c:v>782.35572788125319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15</c:v>
                </c:pt>
                <c:pt idx="1">
                  <c:v>16</c:v>
                </c:pt>
                <c:pt idx="2">
                  <c:v>8h</c:v>
                </c:pt>
                <c:pt idx="3">
                  <c:v>10</c:v>
                </c:pt>
                <c:pt idx="4">
                  <c:v>7h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4963.8</c:v>
                </c:pt>
                <c:pt idx="1">
                  <c:v>4912.8</c:v>
                </c:pt>
                <c:pt idx="2">
                  <c:v>4786.08</c:v>
                </c:pt>
                <c:pt idx="3">
                  <c:v>4600.8</c:v>
                </c:pt>
                <c:pt idx="4">
                  <c:v>4496.88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19</c:v>
                </c:pt>
                <c:pt idx="1">
                  <c:v>2</c:v>
                </c:pt>
                <c:pt idx="2">
                  <c:v>1</c:v>
                </c:pt>
                <c:pt idx="3">
                  <c:v>14</c:v>
                </c:pt>
                <c:pt idx="4">
                  <c:v>12</c:v>
                </c:pt>
              </c:numCache>
            </c:num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1659.7475999999999</c:v>
                </c:pt>
                <c:pt idx="1">
                  <c:v>1392.1032</c:v>
                </c:pt>
                <c:pt idx="2">
                  <c:v>946.14159999999947</c:v>
                </c:pt>
                <c:pt idx="3">
                  <c:v>889.4692</c:v>
                </c:pt>
                <c:pt idx="4">
                  <c:v>832.76399999999967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14</c:v>
                </c:pt>
                <c:pt idx="4">
                  <c:v>20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138.95833333333331</c:v>
                </c:pt>
                <c:pt idx="4">
                  <c:v>89.958333333333314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8470.6132451548528</c:v>
                </c:pt>
                <c:pt idx="1">
                  <c:v>8556.3921988529255</c:v>
                </c:pt>
                <c:pt idx="2">
                  <c:v>7985.0389227904261</c:v>
                </c:pt>
                <c:pt idx="3">
                  <c:v>7949.8625398706454</c:v>
                </c:pt>
                <c:pt idx="4">
                  <c:v>8238.8698320986168</c:v>
                </c:pt>
                <c:pt idx="5">
                  <c:v>8425.8539273532715</c:v>
                </c:pt>
                <c:pt idx="6">
                  <c:v>8656.8961500523019</c:v>
                </c:pt>
                <c:pt idx="7">
                  <c:v>8627.5630201092281</c:v>
                </c:pt>
                <c:pt idx="8">
                  <c:v>8338.5557278812539</c:v>
                </c:pt>
                <c:pt idx="9">
                  <c:v>8324.6487857966895</c:v>
                </c:pt>
                <c:pt idx="10">
                  <c:v>9118.9805954503609</c:v>
                </c:pt>
                <c:pt idx="11">
                  <c:v>8318.8055328199807</c:v>
                </c:pt>
                <c:pt idx="12">
                  <c:v>9097.7111546151446</c:v>
                </c:pt>
                <c:pt idx="13">
                  <c:v>8845.3994910808997</c:v>
                </c:pt>
                <c:pt idx="14">
                  <c:v>8318.8055328199807</c:v>
                </c:pt>
                <c:pt idx="15">
                  <c:v>8232.2085237051706</c:v>
                </c:pt>
                <c:pt idx="16">
                  <c:v>7163.5944193248288</c:v>
                </c:pt>
                <c:pt idx="17">
                  <c:v>6832.0482454264211</c:v>
                </c:pt>
                <c:pt idx="18">
                  <c:v>5880.0654704611679</c:v>
                </c:pt>
                <c:pt idx="19">
                  <c:v>7272.1620596320599</c:v>
                </c:pt>
                <c:pt idx="20">
                  <c:v>7105.6293497958859</c:v>
                </c:pt>
                <c:pt idx="21">
                  <c:v>6708.872472677418</c:v>
                </c:pt>
                <c:pt idx="22">
                  <c:v>7525.1749135235132</c:v>
                </c:pt>
                <c:pt idx="23">
                  <c:v>7373.367201188642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8485</c:v>
                </c:pt>
                <c:pt idx="1">
                  <c:v>9231</c:v>
                </c:pt>
                <c:pt idx="2">
                  <c:v>8562</c:v>
                </c:pt>
                <c:pt idx="3">
                  <c:v>8263</c:v>
                </c:pt>
                <c:pt idx="4">
                  <c:v>9004</c:v>
                </c:pt>
                <c:pt idx="5">
                  <c:v>10414</c:v>
                </c:pt>
                <c:pt idx="6">
                  <c:v>9114.1</c:v>
                </c:pt>
                <c:pt idx="7">
                  <c:v>8620.2999999999993</c:v>
                </c:pt>
                <c:pt idx="8">
                  <c:v>7556.2000000000007</c:v>
                </c:pt>
                <c:pt idx="9">
                  <c:v>7041.9</c:v>
                </c:pt>
                <c:pt idx="10">
                  <c:v>8802.4</c:v>
                </c:pt>
                <c:pt idx="11">
                  <c:v>7164.4000000000015</c:v>
                </c:pt>
                <c:pt idx="12">
                  <c:v>7468.2999999999993</c:v>
                </c:pt>
                <c:pt idx="13">
                  <c:v>7414.5</c:v>
                </c:pt>
                <c:pt idx="14">
                  <c:v>8214</c:v>
                </c:pt>
                <c:pt idx="15">
                  <c:v>8605.6</c:v>
                </c:pt>
                <c:pt idx="16">
                  <c:v>8836.2000000000007</c:v>
                </c:pt>
                <c:pt idx="17">
                  <c:v>7780.9</c:v>
                </c:pt>
                <c:pt idx="18">
                  <c:v>8386</c:v>
                </c:pt>
                <c:pt idx="19">
                  <c:v>7649</c:v>
                </c:pt>
                <c:pt idx="20">
                  <c:v>9552</c:v>
                </c:pt>
                <c:pt idx="21">
                  <c:v>10282</c:v>
                </c:pt>
                <c:pt idx="22">
                  <c:v>11150</c:v>
                </c:pt>
                <c:pt idx="23">
                  <c:v>12421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191367.11931248172</c:v>
                </c:pt>
                <c:pt idx="26">
                  <c:v>191367.11931248172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210017.8</c:v>
                </c:pt>
                <c:pt idx="26">
                  <c:v>205000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2474.7600000000002</c:v>
                </c:pt>
                <c:pt idx="1">
                  <c:v>2289.48</c:v>
                </c:pt>
                <c:pt idx="2">
                  <c:v>4453.2</c:v>
                </c:pt>
                <c:pt idx="3">
                  <c:v>4786.08</c:v>
                </c:pt>
                <c:pt idx="4">
                  <c:v>4911.84</c:v>
                </c:pt>
                <c:pt idx="5">
                  <c:v>4060.08</c:v>
                </c:pt>
                <c:pt idx="6">
                  <c:v>4496.88</c:v>
                </c:pt>
                <c:pt idx="7">
                  <c:v>4786.08</c:v>
                </c:pt>
                <c:pt idx="8">
                  <c:v>4570.68</c:v>
                </c:pt>
                <c:pt idx="9">
                  <c:v>4600.8</c:v>
                </c:pt>
                <c:pt idx="10">
                  <c:v>4904.28</c:v>
                </c:pt>
                <c:pt idx="11">
                  <c:v>4816.2</c:v>
                </c:pt>
                <c:pt idx="12">
                  <c:v>4859.88</c:v>
                </c:pt>
                <c:pt idx="13">
                  <c:v>4971.3599999999997</c:v>
                </c:pt>
                <c:pt idx="14">
                  <c:v>4963.8</c:v>
                </c:pt>
                <c:pt idx="15">
                  <c:v>4963.8</c:v>
                </c:pt>
                <c:pt idx="16">
                  <c:v>4838.04</c:v>
                </c:pt>
                <c:pt idx="17">
                  <c:v>4289.76</c:v>
                </c:pt>
                <c:pt idx="18">
                  <c:v>4726.5599999999995</c:v>
                </c:pt>
                <c:pt idx="19">
                  <c:v>4778.5199999999995</c:v>
                </c:pt>
                <c:pt idx="20">
                  <c:v>4275.4800000000005</c:v>
                </c:pt>
                <c:pt idx="21">
                  <c:v>4496.88</c:v>
                </c:pt>
                <c:pt idx="22">
                  <c:v>4527</c:v>
                </c:pt>
                <c:pt idx="23">
                  <c:v>3689.52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982</c:v>
                </c:pt>
                <c:pt idx="1">
                  <c:v>1025</c:v>
                </c:pt>
                <c:pt idx="2">
                  <c:v>250</c:v>
                </c:pt>
                <c:pt idx="3">
                  <c:v>3904</c:v>
                </c:pt>
                <c:pt idx="4">
                  <c:v>1204</c:v>
                </c:pt>
                <c:pt idx="5">
                  <c:v>1476</c:v>
                </c:pt>
                <c:pt idx="6">
                  <c:v>0</c:v>
                </c:pt>
                <c:pt idx="7">
                  <c:v>0</c:v>
                </c:pt>
                <c:pt idx="8">
                  <c:v>574</c:v>
                </c:pt>
                <c:pt idx="9">
                  <c:v>0</c:v>
                </c:pt>
                <c:pt idx="10">
                  <c:v>2075</c:v>
                </c:pt>
                <c:pt idx="11">
                  <c:v>3867</c:v>
                </c:pt>
                <c:pt idx="12">
                  <c:v>2892</c:v>
                </c:pt>
                <c:pt idx="13">
                  <c:v>856</c:v>
                </c:pt>
                <c:pt idx="14">
                  <c:v>0</c:v>
                </c:pt>
                <c:pt idx="15">
                  <c:v>51</c:v>
                </c:pt>
                <c:pt idx="16">
                  <c:v>1158</c:v>
                </c:pt>
                <c:pt idx="17">
                  <c:v>1353</c:v>
                </c:pt>
                <c:pt idx="18">
                  <c:v>2855</c:v>
                </c:pt>
                <c:pt idx="19">
                  <c:v>3343</c:v>
                </c:pt>
                <c:pt idx="20">
                  <c:v>3940</c:v>
                </c:pt>
                <c:pt idx="21">
                  <c:v>5198</c:v>
                </c:pt>
                <c:pt idx="22">
                  <c:v>5038</c:v>
                </c:pt>
                <c:pt idx="23">
                  <c:v>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106530.95999999999</c:v>
                </c:pt>
                <c:pt idx="26">
                  <c:v>106530.95999999999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46103</c:v>
                </c:pt>
                <c:pt idx="26">
                  <c:v>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2106.1415999999995</c:v>
                </c:pt>
                <c:pt idx="1">
                  <c:v>2472.1032</c:v>
                </c:pt>
                <c:pt idx="2">
                  <c:v>1365.3719999999998</c:v>
                </c:pt>
                <c:pt idx="3">
                  <c:v>1365.3719999999998</c:v>
                </c:pt>
                <c:pt idx="4">
                  <c:v>1114.0644</c:v>
                </c:pt>
                <c:pt idx="5">
                  <c:v>905.1264000000001</c:v>
                </c:pt>
                <c:pt idx="6">
                  <c:v>1063.6632</c:v>
                </c:pt>
                <c:pt idx="7">
                  <c:v>883.94159999999999</c:v>
                </c:pt>
                <c:pt idx="8">
                  <c:v>653.8187999999999</c:v>
                </c:pt>
                <c:pt idx="9">
                  <c:v>301.7088</c:v>
                </c:pt>
                <c:pt idx="10">
                  <c:v>603.41759999999999</c:v>
                </c:pt>
                <c:pt idx="11">
                  <c:v>2212.7639999999997</c:v>
                </c:pt>
                <c:pt idx="12">
                  <c:v>2212.7639999999997</c:v>
                </c:pt>
                <c:pt idx="13">
                  <c:v>1839.4692</c:v>
                </c:pt>
                <c:pt idx="14">
                  <c:v>2191.5791999999997</c:v>
                </c:pt>
                <c:pt idx="15">
                  <c:v>1436.9580000000001</c:v>
                </c:pt>
                <c:pt idx="16">
                  <c:v>1185.6504</c:v>
                </c:pt>
                <c:pt idx="17">
                  <c:v>905.1264000000001</c:v>
                </c:pt>
                <c:pt idx="18">
                  <c:v>1659.7475999999999</c:v>
                </c:pt>
                <c:pt idx="19">
                  <c:v>1818.2844</c:v>
                </c:pt>
                <c:pt idx="20">
                  <c:v>1961.4563999999998</c:v>
                </c:pt>
                <c:pt idx="21">
                  <c:v>1961.4563999999998</c:v>
                </c:pt>
                <c:pt idx="22">
                  <c:v>1911.0551999999998</c:v>
                </c:pt>
                <c:pt idx="23">
                  <c:v>2019.1907999999999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1160</c:v>
                </c:pt>
                <c:pt idx="1">
                  <c:v>1080</c:v>
                </c:pt>
                <c:pt idx="2">
                  <c:v>780</c:v>
                </c:pt>
                <c:pt idx="3">
                  <c:v>1170</c:v>
                </c:pt>
                <c:pt idx="4">
                  <c:v>2030</c:v>
                </c:pt>
                <c:pt idx="5">
                  <c:v>1550</c:v>
                </c:pt>
                <c:pt idx="6">
                  <c:v>990</c:v>
                </c:pt>
                <c:pt idx="7">
                  <c:v>2020</c:v>
                </c:pt>
                <c:pt idx="8">
                  <c:v>1250</c:v>
                </c:pt>
                <c:pt idx="9">
                  <c:v>870</c:v>
                </c:pt>
                <c:pt idx="10">
                  <c:v>1470</c:v>
                </c:pt>
                <c:pt idx="11">
                  <c:v>1380</c:v>
                </c:pt>
                <c:pt idx="12">
                  <c:v>1600</c:v>
                </c:pt>
                <c:pt idx="13">
                  <c:v>950</c:v>
                </c:pt>
                <c:pt idx="14">
                  <c:v>1460</c:v>
                </c:pt>
                <c:pt idx="15">
                  <c:v>2120</c:v>
                </c:pt>
                <c:pt idx="16">
                  <c:v>1890</c:v>
                </c:pt>
                <c:pt idx="17">
                  <c:v>1450</c:v>
                </c:pt>
                <c:pt idx="18">
                  <c:v>0</c:v>
                </c:pt>
                <c:pt idx="19">
                  <c:v>1340</c:v>
                </c:pt>
                <c:pt idx="20">
                  <c:v>1250</c:v>
                </c:pt>
                <c:pt idx="21">
                  <c:v>1250</c:v>
                </c:pt>
                <c:pt idx="22">
                  <c:v>1100</c:v>
                </c:pt>
                <c:pt idx="23">
                  <c:v>2080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36150.231599999992</c:v>
                </c:pt>
                <c:pt idx="26">
                  <c:v>36150.231599999992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32240</c:v>
                </c:pt>
                <c:pt idx="26">
                  <c:v>31000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290</c:v>
                </c:pt>
                <c:pt idx="1">
                  <c:v>205</c:v>
                </c:pt>
                <c:pt idx="2">
                  <c:v>349</c:v>
                </c:pt>
                <c:pt idx="3">
                  <c:v>221</c:v>
                </c:pt>
                <c:pt idx="4">
                  <c:v>356</c:v>
                </c:pt>
                <c:pt idx="5">
                  <c:v>161</c:v>
                </c:pt>
                <c:pt idx="6">
                  <c:v>0</c:v>
                </c:pt>
                <c:pt idx="7">
                  <c:v>209</c:v>
                </c:pt>
                <c:pt idx="8">
                  <c:v>288</c:v>
                </c:pt>
                <c:pt idx="9">
                  <c:v>355</c:v>
                </c:pt>
                <c:pt idx="10">
                  <c:v>373</c:v>
                </c:pt>
                <c:pt idx="11">
                  <c:v>397</c:v>
                </c:pt>
                <c:pt idx="12">
                  <c:v>393</c:v>
                </c:pt>
                <c:pt idx="13">
                  <c:v>4</c:v>
                </c:pt>
                <c:pt idx="14">
                  <c:v>0</c:v>
                </c:pt>
                <c:pt idx="15">
                  <c:v>144</c:v>
                </c:pt>
                <c:pt idx="16">
                  <c:v>356</c:v>
                </c:pt>
                <c:pt idx="17">
                  <c:v>432</c:v>
                </c:pt>
                <c:pt idx="18">
                  <c:v>0</c:v>
                </c:pt>
                <c:pt idx="19">
                  <c:v>53</c:v>
                </c:pt>
                <c:pt idx="20">
                  <c:v>211</c:v>
                </c:pt>
                <c:pt idx="21">
                  <c:v>193</c:v>
                </c:pt>
                <c:pt idx="22">
                  <c:v>128</c:v>
                </c:pt>
                <c:pt idx="23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5384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1.xml"/><Relationship Id="rId7" Type="http://schemas.openxmlformats.org/officeDocument/2006/relationships/image" Target="../media/image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18.emf"/><Relationship Id="rId5" Type="http://schemas.openxmlformats.org/officeDocument/2006/relationships/chart" Target="../charts/chart23.xml"/><Relationship Id="rId10" Type="http://schemas.openxmlformats.org/officeDocument/2006/relationships/image" Target="../media/image11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8.png"/><Relationship Id="rId4" Type="http://schemas.openxmlformats.org/officeDocument/2006/relationships/image" Target="../media/image27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30.png"/><Relationship Id="rId4" Type="http://schemas.openxmlformats.org/officeDocument/2006/relationships/image" Target="../media/image3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9.emf"/><Relationship Id="rId2" Type="http://schemas.openxmlformats.org/officeDocument/2006/relationships/chart" Target="../charts/chart29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1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7" Type="http://schemas.openxmlformats.org/officeDocument/2006/relationships/image" Target="../media/image39.emf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38.emf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1271</xdr:colOff>
      <xdr:row>1</xdr:row>
      <xdr:rowOff>170182</xdr:rowOff>
    </xdr:from>
    <xdr:to>
      <xdr:col>54</xdr:col>
      <xdr:colOff>291354</xdr:colOff>
      <xdr:row>2</xdr:row>
      <xdr:rowOff>795619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670771" y="383094"/>
          <a:ext cx="2127848" cy="106246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40258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40259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4026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4026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4026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5413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5413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5413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5413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5413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96043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1188404</xdr:colOff>
          <xdr:row>6</xdr:row>
          <xdr:rowOff>186415</xdr:rowOff>
        </xdr:from>
        <xdr:to>
          <xdr:col>7</xdr:col>
          <xdr:colOff>5093910</xdr:colOff>
          <xdr:row>10</xdr:row>
          <xdr:rowOff>31746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114872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9020071" y="2419498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1214248</xdr:colOff>
      <xdr:row>3</xdr:row>
      <xdr:rowOff>214493</xdr:rowOff>
    </xdr:from>
    <xdr:to>
      <xdr:col>7</xdr:col>
      <xdr:colOff>4983970</xdr:colOff>
      <xdr:row>6</xdr:row>
      <xdr:rowOff>180220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9045915" y="1378660"/>
          <a:ext cx="3769722" cy="1034643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53136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53137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5313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5313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53140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5314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5314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5314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53144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53145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5314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3" totalsRowDxfId="4"/>
    <tableColumn id="2" xr3:uid="{AFF2284A-908E-4344-AFA5-DD82D7DE37D6}" uniqueName="2" name="D+1" totalsRowFunction="custom" queryTableFieldId="2" dataDxfId="2" totalsRowDxfId="5" dataCellStyle="Vírgula">
      <totalsRowFormula>SUBTOTAL(109,CE2:CE9)</totalsRowFormula>
    </tableColumn>
    <tableColumn id="3" xr3:uid="{35AE7364-7116-4B57-A786-6E6BF4858D09}" uniqueName="3" name="EXEC" totalsRowFunction="custom" queryTableFieldId="3" dataDxfId="1" totalsRowDxfId="6" dataCellStyle="Vírgula">
      <totalsRowFormula>SUBTOTAL(109,CF2:CF9)</totalsRowFormula>
    </tableColumn>
    <tableColumn id="4" xr3:uid="{195BFE4F-44F0-4095-AC51-A5732E14615A}" uniqueName="4" name="DIF" totalsRowFunction="custom" queryTableFieldId="4" dataDxfId="0" totalsRowDxfId="7" dataCellStyle="Vírgula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CE49"/>
  <sheetViews>
    <sheetView showGridLines="0" view="pageBreakPreview" topLeftCell="C1" zoomScale="76" zoomScaleNormal="90" zoomScaleSheetLayoutView="76" workbookViewId="0">
      <selection activeCell="AL3" sqref="AL3:AT12"/>
    </sheetView>
  </sheetViews>
  <sheetFormatPr defaultColWidth="9.140625" defaultRowHeight="54.9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54.95" customHeight="1">
      <c r="A1" s="66" t="s">
        <v>0</v>
      </c>
      <c r="B1" s="193" t="s">
        <v>1</v>
      </c>
      <c r="C1" s="194"/>
      <c r="D1" s="195"/>
      <c r="E1" s="67"/>
      <c r="F1" s="193" t="s">
        <v>2</v>
      </c>
      <c r="G1" s="194"/>
      <c r="H1" s="195"/>
      <c r="I1" s="68"/>
      <c r="J1" s="193" t="s">
        <v>3</v>
      </c>
      <c r="K1" s="194"/>
      <c r="L1" s="195"/>
      <c r="M1" s="68"/>
      <c r="N1" s="193" t="s">
        <v>4</v>
      </c>
      <c r="O1" s="194"/>
      <c r="P1" s="195"/>
      <c r="R1" s="193"/>
      <c r="S1" s="194"/>
      <c r="T1" s="195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54.9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+AG2+AS2+BE2+BQ2-8000</f>
        <v>279000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6">
        <v>205000</v>
      </c>
      <c r="AH2" s="187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6">
        <v>46000</v>
      </c>
      <c r="AT2" s="187"/>
      <c r="AX2" s="121" t="s">
        <v>13</v>
      </c>
      <c r="AY2" s="77"/>
      <c r="AZ2" s="77"/>
      <c r="BA2" s="77"/>
      <c r="BB2" s="77"/>
      <c r="BC2" s="78" t="s">
        <v>11</v>
      </c>
      <c r="BD2" s="77"/>
      <c r="BE2" s="186">
        <v>31000</v>
      </c>
      <c r="BF2" s="187"/>
      <c r="BJ2" s="76" t="s">
        <v>14</v>
      </c>
      <c r="BK2" s="77"/>
      <c r="BL2" s="77"/>
      <c r="BM2" s="77"/>
      <c r="BN2" s="77"/>
      <c r="BO2" s="78" t="s">
        <v>11</v>
      </c>
      <c r="BP2" s="77"/>
      <c r="BQ2" s="186">
        <v>5000</v>
      </c>
      <c r="BR2" s="187"/>
      <c r="BT2" s="76" t="s">
        <v>15</v>
      </c>
      <c r="BU2" s="77"/>
      <c r="BV2" s="77"/>
      <c r="BW2" s="77"/>
      <c r="BX2" s="77"/>
      <c r="BY2" s="78" t="s">
        <v>11</v>
      </c>
      <c r="BZ2" s="77"/>
      <c r="CA2" s="186"/>
      <c r="CB2" s="187"/>
    </row>
    <row r="3" spans="1:83" ht="66.75" customHeight="1">
      <c r="A3" s="79">
        <f>'ACOMPANHAMENTO USINA'!$AL$2</f>
        <v>45519</v>
      </c>
      <c r="B3" s="80">
        <v>1</v>
      </c>
      <c r="C3" s="81">
        <f ca="1">IF('PRODUÇÃO TOTAL USINA'!K3="","",'PRODUÇÃO TOTAL USINA'!K3-'PRODUÇÃO TOTAL USINA'!J3)</f>
        <v>14.386754845147152</v>
      </c>
      <c r="D3" s="90"/>
      <c r="E3" s="54"/>
      <c r="F3" s="80">
        <v>1</v>
      </c>
      <c r="G3" s="81">
        <f ca="1">IF('PRODUÇÃO TOTAL USINA'!S3="","",'PRODUÇÃO TOTAL USINA'!S3-'PRODUÇÃO TOTAL USINA'!R3)</f>
        <v>-1492.7600000000002</v>
      </c>
      <c r="H3" s="90" t="s">
        <v>143</v>
      </c>
      <c r="I3" s="82"/>
      <c r="J3" s="80">
        <v>1</v>
      </c>
      <c r="K3" s="81">
        <f ca="1">IF('PRODUÇÃO TOTAL USINA'!AA3="","",'PRODUÇÃO TOTAL USINA'!AA3-'PRODUÇÃO TOTAL USINA'!Z3)</f>
        <v>-946.14159999999947</v>
      </c>
      <c r="L3" s="90" t="s">
        <v>142</v>
      </c>
      <c r="M3" s="82"/>
      <c r="N3" s="80">
        <v>1</v>
      </c>
      <c r="O3" s="81">
        <f ca="1">IF('PRODUÇÃO TOTAL USINA'!AI3="","",'PRODUÇÃO TOTAL USINA'!AI3-'PRODUÇÃO TOTAL USINA'!AH3)</f>
        <v>147.04166666666669</v>
      </c>
      <c r="P3" s="183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1" t="s">
        <v>146</v>
      </c>
      <c r="AA3" s="188"/>
      <c r="AB3" s="188"/>
      <c r="AC3" s="188"/>
      <c r="AD3" s="188"/>
      <c r="AE3" s="188"/>
      <c r="AF3" s="188"/>
      <c r="AG3" s="188"/>
      <c r="AH3" s="188"/>
      <c r="AI3" s="15"/>
      <c r="AJ3" s="15"/>
      <c r="AK3" s="15"/>
      <c r="AL3" s="188" t="s">
        <v>164</v>
      </c>
      <c r="AM3" s="192"/>
      <c r="AN3" s="192"/>
      <c r="AO3" s="192"/>
      <c r="AP3" s="192"/>
      <c r="AQ3" s="192"/>
      <c r="AR3" s="192"/>
      <c r="AS3" s="192"/>
      <c r="AT3" s="192"/>
      <c r="AU3" s="15"/>
      <c r="AV3" s="15"/>
      <c r="AW3" s="15"/>
      <c r="AX3" s="188" t="s">
        <v>147</v>
      </c>
      <c r="AY3" s="188"/>
      <c r="AZ3" s="188"/>
      <c r="BA3" s="188"/>
      <c r="BB3" s="188"/>
      <c r="BC3" s="188"/>
      <c r="BD3" s="188"/>
      <c r="BE3" s="188"/>
      <c r="BF3" s="188"/>
      <c r="BG3" s="15"/>
      <c r="BH3" s="15"/>
      <c r="BI3" s="15"/>
      <c r="BJ3" s="191" t="s">
        <v>141</v>
      </c>
      <c r="BK3" s="189"/>
      <c r="BL3" s="189"/>
      <c r="BM3" s="189"/>
      <c r="BN3" s="189"/>
      <c r="BO3" s="189"/>
      <c r="BP3" s="189"/>
      <c r="BQ3" s="189"/>
      <c r="BR3" s="190"/>
      <c r="BS3" s="83"/>
      <c r="BT3" s="188"/>
      <c r="BU3" s="189"/>
      <c r="BV3" s="189"/>
      <c r="BW3" s="189"/>
      <c r="BX3" s="189"/>
      <c r="BY3" s="189"/>
      <c r="BZ3" s="189"/>
      <c r="CA3" s="189"/>
      <c r="CB3" s="190"/>
    </row>
    <row r="4" spans="1:83" ht="74.25" customHeight="1">
      <c r="A4" s="79">
        <f>'ACOMPANHAMENTO USINA'!$AL$2</f>
        <v>45519</v>
      </c>
      <c r="B4" s="80">
        <v>2</v>
      </c>
      <c r="C4" s="81">
        <f ca="1">IF('PRODUÇÃO TOTAL USINA'!K4="","",'PRODUÇÃO TOTAL USINA'!K4-'PRODUÇÃO TOTAL USINA'!J4)</f>
        <v>674.6078011470745</v>
      </c>
      <c r="D4" s="183"/>
      <c r="E4" s="54"/>
      <c r="F4" s="80">
        <v>2</v>
      </c>
      <c r="G4" s="81">
        <f ca="1">IF('PRODUÇÃO TOTAL USINA'!S4="","",'PRODUÇÃO TOTAL USINA'!S4-'PRODUÇÃO TOTAL USINA'!R4)</f>
        <v>-1264.48</v>
      </c>
      <c r="H4" s="90" t="s">
        <v>143</v>
      </c>
      <c r="I4" s="82"/>
      <c r="J4" s="80">
        <v>2</v>
      </c>
      <c r="K4" s="81">
        <f ca="1">IF('PRODUÇÃO TOTAL USINA'!AA4="","",'PRODUÇÃO TOTAL USINA'!AA4-'PRODUÇÃO TOTAL USINA'!Z4)</f>
        <v>-1392.1032</v>
      </c>
      <c r="L4" s="90" t="s">
        <v>142</v>
      </c>
      <c r="M4" s="88"/>
      <c r="N4" s="80">
        <v>2</v>
      </c>
      <c r="O4" s="81">
        <f ca="1">IF('PRODUÇÃO TOTAL USINA'!AI4="","",'PRODUÇÃO TOTAL USINA'!AI4-'PRODUÇÃO TOTAL USINA'!AH4)</f>
        <v>62.041666666666686</v>
      </c>
      <c r="P4" s="183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88"/>
      <c r="AA4" s="188"/>
      <c r="AB4" s="188"/>
      <c r="AC4" s="188"/>
      <c r="AD4" s="188"/>
      <c r="AE4" s="188"/>
      <c r="AF4" s="188"/>
      <c r="AG4" s="188"/>
      <c r="AH4" s="188"/>
      <c r="AI4" s="15"/>
      <c r="AJ4" s="15"/>
      <c r="AK4" s="15"/>
      <c r="AL4" s="192"/>
      <c r="AM4" s="192"/>
      <c r="AN4" s="192"/>
      <c r="AO4" s="192"/>
      <c r="AP4" s="192"/>
      <c r="AQ4" s="192"/>
      <c r="AR4" s="192"/>
      <c r="AS4" s="192"/>
      <c r="AT4" s="192"/>
      <c r="AU4" s="15"/>
      <c r="AV4" s="15"/>
      <c r="AW4" s="15"/>
      <c r="AX4" s="188"/>
      <c r="AY4" s="188"/>
      <c r="AZ4" s="188"/>
      <c r="BA4" s="188"/>
      <c r="BB4" s="188"/>
      <c r="BC4" s="188"/>
      <c r="BD4" s="188"/>
      <c r="BE4" s="188"/>
      <c r="BF4" s="188"/>
      <c r="BG4" s="15"/>
      <c r="BH4" s="15"/>
      <c r="BI4" s="15"/>
      <c r="BJ4" s="189"/>
      <c r="BK4" s="189"/>
      <c r="BL4" s="189"/>
      <c r="BM4" s="189"/>
      <c r="BN4" s="189"/>
      <c r="BO4" s="189"/>
      <c r="BP4" s="189"/>
      <c r="BQ4" s="189"/>
      <c r="BR4" s="190"/>
      <c r="BT4" s="189"/>
      <c r="BU4" s="189"/>
      <c r="BV4" s="189"/>
      <c r="BW4" s="189"/>
      <c r="BX4" s="189"/>
      <c r="BY4" s="189"/>
      <c r="BZ4" s="189"/>
      <c r="CA4" s="189"/>
      <c r="CB4" s="190"/>
    </row>
    <row r="5" spans="1:83" ht="74.25" customHeight="1">
      <c r="A5" s="79">
        <f>'ACOMPANHAMENTO USINA'!$AL$2</f>
        <v>45519</v>
      </c>
      <c r="B5" s="80">
        <v>3</v>
      </c>
      <c r="C5" s="81">
        <f ca="1">IF('PRODUÇÃO TOTAL USINA'!K5="","",'PRODUÇÃO TOTAL USINA'!K5-'PRODUÇÃO TOTAL USINA'!J5)</f>
        <v>576.96107720957389</v>
      </c>
      <c r="D5" s="90"/>
      <c r="E5" s="54"/>
      <c r="F5" s="80" t="s">
        <v>16</v>
      </c>
      <c r="G5" s="81">
        <f ca="1">IF('PRODUÇÃO TOTAL USINA'!S5="","",'PRODUÇÃO TOTAL USINA'!S5-'PRODUÇÃO TOTAL USINA'!R5)</f>
        <v>-4203.2</v>
      </c>
      <c r="H5" s="90" t="s">
        <v>143</v>
      </c>
      <c r="I5" s="82"/>
      <c r="J5" s="80">
        <v>3</v>
      </c>
      <c r="K5" s="81">
        <f ca="1">IF('PRODUÇÃO TOTAL USINA'!AA5="","",'PRODUÇÃO TOTAL USINA'!AA5-'PRODUÇÃO TOTAL USINA'!Z5)</f>
        <v>-585.37199999999984</v>
      </c>
      <c r="L5" s="90" t="s">
        <v>144</v>
      </c>
      <c r="M5" s="82"/>
      <c r="N5" s="80">
        <v>3</v>
      </c>
      <c r="O5" s="81">
        <f ca="1">IF('PRODUÇÃO TOTAL USINA'!AI5="","",'PRODUÇÃO TOTAL USINA'!AI5-'PRODUÇÃO TOTAL USINA'!AH5)</f>
        <v>206.04166666666669</v>
      </c>
      <c r="P5" s="183"/>
      <c r="R5" s="80">
        <v>3</v>
      </c>
      <c r="S5" s="81" t="str">
        <f>IF('PRODUÇÃO TOTAL USINA'!AM5="","",'PRODUÇÃO TOTAL USINA'!AM5-'PRODUÇÃO TOTAL USINA'!AL5)</f>
        <v/>
      </c>
      <c r="T5" s="103"/>
      <c r="Z5" s="188"/>
      <c r="AA5" s="188"/>
      <c r="AB5" s="188"/>
      <c r="AC5" s="188"/>
      <c r="AD5" s="188"/>
      <c r="AE5" s="188"/>
      <c r="AF5" s="188"/>
      <c r="AG5" s="188"/>
      <c r="AH5" s="188"/>
      <c r="AI5" s="15"/>
      <c r="AJ5" s="15"/>
      <c r="AK5" s="15"/>
      <c r="AL5" s="192"/>
      <c r="AM5" s="192"/>
      <c r="AN5" s="192"/>
      <c r="AO5" s="192"/>
      <c r="AP5" s="192"/>
      <c r="AQ5" s="192"/>
      <c r="AR5" s="192"/>
      <c r="AS5" s="192"/>
      <c r="AT5" s="192"/>
      <c r="AU5" s="15"/>
      <c r="AV5" s="15"/>
      <c r="AW5" s="15"/>
      <c r="AX5" s="188"/>
      <c r="AY5" s="188"/>
      <c r="AZ5" s="188"/>
      <c r="BA5" s="188"/>
      <c r="BB5" s="188"/>
      <c r="BC5" s="188"/>
      <c r="BD5" s="188"/>
      <c r="BE5" s="188"/>
      <c r="BF5" s="188"/>
      <c r="BG5" s="15"/>
      <c r="BH5" s="15"/>
      <c r="BI5" s="15"/>
      <c r="BJ5" s="189"/>
      <c r="BK5" s="189"/>
      <c r="BL5" s="189"/>
      <c r="BM5" s="189"/>
      <c r="BN5" s="189"/>
      <c r="BO5" s="189"/>
      <c r="BP5" s="189"/>
      <c r="BQ5" s="189"/>
      <c r="BR5" s="190"/>
      <c r="BT5" s="189"/>
      <c r="BU5" s="189"/>
      <c r="BV5" s="189"/>
      <c r="BW5" s="189"/>
      <c r="BX5" s="189"/>
      <c r="BY5" s="189"/>
      <c r="BZ5" s="189"/>
      <c r="CA5" s="189"/>
      <c r="CB5" s="190"/>
    </row>
    <row r="6" spans="1:83" ht="54.95" customHeight="1">
      <c r="A6" s="79">
        <f>'ACOMPANHAMENTO USINA'!$AL$2</f>
        <v>45519</v>
      </c>
      <c r="B6" s="80">
        <v>4</v>
      </c>
      <c r="C6" s="81">
        <f ca="1">IF('PRODUÇÃO TOTAL USINA'!K6="","",'PRODUÇÃO TOTAL USINA'!K6-'PRODUÇÃO TOTAL USINA'!J6)</f>
        <v>313.13746012935462</v>
      </c>
      <c r="D6" s="183"/>
      <c r="E6" s="54"/>
      <c r="F6" s="80">
        <v>4</v>
      </c>
      <c r="G6" s="81">
        <f ca="1">IF('PRODUÇÃO TOTAL USINA'!S6="","",'PRODUÇÃO TOTAL USINA'!S6-'PRODUÇÃO TOTAL USINA'!R6)</f>
        <v>-882.07999999999993</v>
      </c>
      <c r="H6" s="90" t="s">
        <v>143</v>
      </c>
      <c r="I6" s="82"/>
      <c r="J6" s="80">
        <v>4</v>
      </c>
      <c r="K6" s="81">
        <f ca="1">IF('PRODUÇÃO TOTAL USINA'!AA6="","",'PRODUÇÃO TOTAL USINA'!AA6-'PRODUÇÃO TOTAL USINA'!Z6)</f>
        <v>-195.37199999999984</v>
      </c>
      <c r="L6" s="90" t="s">
        <v>145</v>
      </c>
      <c r="M6" s="82"/>
      <c r="N6" s="80">
        <v>4</v>
      </c>
      <c r="O6" s="81">
        <f ca="1">IF('PRODUÇÃO TOTAL USINA'!AI6="","",'PRODUÇÃO TOTAL USINA'!AI6-'PRODUÇÃO TOTAL USINA'!AH6)</f>
        <v>78.041666666666686</v>
      </c>
      <c r="P6" s="183"/>
      <c r="R6" s="80">
        <v>4</v>
      </c>
      <c r="S6" s="81" t="str">
        <f>IF('PRODUÇÃO TOTAL USINA'!AM6="","",'PRODUÇÃO TOTAL USINA'!AM6-'PRODUÇÃO TOTAL USINA'!AL6)</f>
        <v/>
      </c>
      <c r="T6" s="90"/>
      <c r="Z6" s="188"/>
      <c r="AA6" s="188"/>
      <c r="AB6" s="188"/>
      <c r="AC6" s="188"/>
      <c r="AD6" s="188"/>
      <c r="AE6" s="188"/>
      <c r="AF6" s="188"/>
      <c r="AG6" s="188"/>
      <c r="AH6" s="188"/>
      <c r="AI6" s="15"/>
      <c r="AJ6" s="15"/>
      <c r="AK6" s="15"/>
      <c r="AL6" s="192"/>
      <c r="AM6" s="192"/>
      <c r="AN6" s="192"/>
      <c r="AO6" s="192"/>
      <c r="AP6" s="192"/>
      <c r="AQ6" s="192"/>
      <c r="AR6" s="192"/>
      <c r="AS6" s="192"/>
      <c r="AT6" s="192"/>
      <c r="AU6" s="15"/>
      <c r="AV6" s="15"/>
      <c r="AW6" s="15"/>
      <c r="AX6" s="188"/>
      <c r="AY6" s="188"/>
      <c r="AZ6" s="188"/>
      <c r="BA6" s="188"/>
      <c r="BB6" s="188"/>
      <c r="BC6" s="188"/>
      <c r="BD6" s="188"/>
      <c r="BE6" s="188"/>
      <c r="BF6" s="188"/>
      <c r="BG6" s="15"/>
      <c r="BH6" s="15"/>
      <c r="BI6" s="15"/>
      <c r="BJ6" s="189"/>
      <c r="BK6" s="189"/>
      <c r="BL6" s="189"/>
      <c r="BM6" s="189"/>
      <c r="BN6" s="189"/>
      <c r="BO6" s="189"/>
      <c r="BP6" s="189"/>
      <c r="BQ6" s="189"/>
      <c r="BR6" s="190"/>
      <c r="BT6" s="189"/>
      <c r="BU6" s="189"/>
      <c r="BV6" s="189"/>
      <c r="BW6" s="189"/>
      <c r="BX6" s="189"/>
      <c r="BY6" s="189"/>
      <c r="BZ6" s="189"/>
      <c r="CA6" s="189"/>
      <c r="CB6" s="190"/>
    </row>
    <row r="7" spans="1:83" ht="54.95" customHeight="1">
      <c r="A7" s="79">
        <f>'ACOMPANHAMENTO USINA'!$AL$2</f>
        <v>45519</v>
      </c>
      <c r="B7" s="80">
        <v>5</v>
      </c>
      <c r="C7" s="81">
        <f ca="1">IF('PRODUÇÃO TOTAL USINA'!K7="","",'PRODUÇÃO TOTAL USINA'!K7-'PRODUÇÃO TOTAL USINA'!J7)</f>
        <v>765.13016790138317</v>
      </c>
      <c r="D7" s="90"/>
      <c r="E7" s="54"/>
      <c r="F7" s="80">
        <v>5</v>
      </c>
      <c r="G7" s="81">
        <f ca="1">IF('PRODUÇÃO TOTAL USINA'!S7="","",'PRODUÇÃO TOTAL USINA'!S7-'PRODUÇÃO TOTAL USINA'!R7)</f>
        <v>-3707.84</v>
      </c>
      <c r="H7" s="90" t="s">
        <v>143</v>
      </c>
      <c r="I7" s="82"/>
      <c r="J7" s="80">
        <v>5</v>
      </c>
      <c r="K7" s="81">
        <f ca="1">IF('PRODUÇÃO TOTAL USINA'!AA7="","",'PRODUÇÃO TOTAL USINA'!AA7-'PRODUÇÃO TOTAL USINA'!Z7)</f>
        <v>915.93560000000002</v>
      </c>
      <c r="L7" s="183"/>
      <c r="M7" s="82"/>
      <c r="N7" s="80">
        <v>5</v>
      </c>
      <c r="O7" s="81">
        <f ca="1">IF('PRODUÇÃO TOTAL USINA'!AI7="","",'PRODUÇÃO TOTAL USINA'!AI7-'PRODUÇÃO TOTAL USINA'!AH7)</f>
        <v>213.04166666666669</v>
      </c>
      <c r="P7" s="183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88"/>
      <c r="AA7" s="188"/>
      <c r="AB7" s="188"/>
      <c r="AC7" s="188"/>
      <c r="AD7" s="188"/>
      <c r="AE7" s="188"/>
      <c r="AF7" s="188"/>
      <c r="AG7" s="188"/>
      <c r="AH7" s="188"/>
      <c r="AL7" s="192"/>
      <c r="AM7" s="192"/>
      <c r="AN7" s="192"/>
      <c r="AO7" s="192"/>
      <c r="AP7" s="192"/>
      <c r="AQ7" s="192"/>
      <c r="AR7" s="192"/>
      <c r="AS7" s="192"/>
      <c r="AT7" s="192"/>
      <c r="AX7" s="188"/>
      <c r="AY7" s="188"/>
      <c r="AZ7" s="188"/>
      <c r="BA7" s="188"/>
      <c r="BB7" s="188"/>
      <c r="BC7" s="188"/>
      <c r="BD7" s="188"/>
      <c r="BE7" s="188"/>
      <c r="BF7" s="188"/>
      <c r="CE7" s="87"/>
    </row>
    <row r="8" spans="1:83" ht="69.75" customHeight="1">
      <c r="A8" s="79">
        <f>'ACOMPANHAMENTO USINA'!$AL$2</f>
        <v>45519</v>
      </c>
      <c r="B8" s="80" t="s">
        <v>17</v>
      </c>
      <c r="C8" s="81">
        <f ca="1">IF('PRODUÇÃO TOTAL USINA'!K8="","",'PRODUÇÃO TOTAL USINA'!K8-'PRODUÇÃO TOTAL USINA'!J8)</f>
        <v>1988.1460726467285</v>
      </c>
      <c r="D8" s="183"/>
      <c r="E8" s="54"/>
      <c r="F8" s="80" t="s">
        <v>17</v>
      </c>
      <c r="G8" s="81">
        <f ca="1">IF('PRODUÇÃO TOTAL USINA'!S8="","",'PRODUÇÃO TOTAL USINA'!S8-'PRODUÇÃO TOTAL USINA'!R8)</f>
        <v>-2584.08</v>
      </c>
      <c r="H8" s="90" t="s">
        <v>148</v>
      </c>
      <c r="I8" s="82"/>
      <c r="J8" s="80">
        <v>6</v>
      </c>
      <c r="K8" s="81">
        <f ca="1">IF('PRODUÇÃO TOTAL USINA'!AA8="","",'PRODUÇÃO TOTAL USINA'!AA8-'PRODUÇÃO TOTAL USINA'!Z8)</f>
        <v>644.8735999999999</v>
      </c>
      <c r="L8" s="183"/>
      <c r="M8" s="82"/>
      <c r="N8" s="80">
        <v>6</v>
      </c>
      <c r="O8" s="81">
        <f ca="1">IF('PRODUÇÃO TOTAL USINA'!AI8="","",'PRODUÇÃO TOTAL USINA'!AI8-'PRODUÇÃO TOTAL USINA'!AH8)</f>
        <v>18.041666666666686</v>
      </c>
      <c r="P8" s="183"/>
      <c r="R8" s="80">
        <v>6</v>
      </c>
      <c r="S8" s="81" t="str">
        <f>IF('PRODUÇÃO TOTAL USINA'!AM8="","",'PRODUÇÃO TOTAL USINA'!AM8-'PRODUÇÃO TOTAL USINA'!AL8)</f>
        <v/>
      </c>
      <c r="T8" s="90"/>
      <c r="Z8" s="188"/>
      <c r="AA8" s="188"/>
      <c r="AB8" s="188"/>
      <c r="AC8" s="188"/>
      <c r="AD8" s="188"/>
      <c r="AE8" s="188"/>
      <c r="AF8" s="188"/>
      <c r="AG8" s="188"/>
      <c r="AH8" s="188"/>
      <c r="AL8" s="192"/>
      <c r="AM8" s="192"/>
      <c r="AN8" s="192"/>
      <c r="AO8" s="192"/>
      <c r="AP8" s="192"/>
      <c r="AQ8" s="192"/>
      <c r="AR8" s="192"/>
      <c r="AS8" s="192"/>
      <c r="AT8" s="192"/>
      <c r="AX8" s="188"/>
      <c r="AY8" s="188"/>
      <c r="AZ8" s="188"/>
      <c r="BA8" s="188"/>
      <c r="BB8" s="188"/>
      <c r="BC8" s="188"/>
      <c r="BD8" s="188"/>
      <c r="BE8" s="188"/>
      <c r="BF8" s="188"/>
    </row>
    <row r="9" spans="1:83" ht="72.75" customHeight="1">
      <c r="A9" s="79">
        <f>'ACOMPANHAMENTO USINA'!$AL$2</f>
        <v>45519</v>
      </c>
      <c r="B9" s="80" t="s">
        <v>18</v>
      </c>
      <c r="C9" s="81">
        <f ca="1">IF('PRODUÇÃO TOTAL USINA'!K9="","",'PRODUÇÃO TOTAL USINA'!K9-'PRODUÇÃO TOTAL USINA'!J9)</f>
        <v>457.20384994769847</v>
      </c>
      <c r="D9" s="90"/>
      <c r="E9" s="54"/>
      <c r="F9" s="80" t="s">
        <v>18</v>
      </c>
      <c r="G9" s="81">
        <f ca="1">IF('PRODUÇÃO TOTAL USINA'!S9="","",'PRODUÇÃO TOTAL USINA'!S9-'PRODUÇÃO TOTAL USINA'!R9)</f>
        <v>-4496.88</v>
      </c>
      <c r="H9" s="90" t="s">
        <v>148</v>
      </c>
      <c r="I9" s="82"/>
      <c r="J9" s="80">
        <v>7</v>
      </c>
      <c r="K9" s="81">
        <f ca="1">IF('PRODUÇÃO TOTAL USINA'!AA9="","",'PRODUÇÃO TOTAL USINA'!AA9-'PRODUÇÃO TOTAL USINA'!Z9)</f>
        <v>-73.663199999999961</v>
      </c>
      <c r="L9" s="90"/>
      <c r="M9" s="82"/>
      <c r="N9" s="80">
        <v>7</v>
      </c>
      <c r="O9" s="81">
        <f ca="1">IF('PRODUÇÃO TOTAL USINA'!AI9="","",'PRODUÇÃO TOTAL USINA'!AI9-'PRODUÇÃO TOTAL USINA'!AH9)</f>
        <v>-142.95833333333331</v>
      </c>
      <c r="P9" s="90"/>
      <c r="R9" s="80">
        <v>7</v>
      </c>
      <c r="S9" s="81" t="str">
        <f>IF('PRODUÇÃO TOTAL USINA'!AM9="","",'PRODUÇÃO TOTAL USINA'!AM9-'PRODUÇÃO TOTAL USINA'!AL9)</f>
        <v/>
      </c>
      <c r="T9" s="90"/>
      <c r="Z9" s="188"/>
      <c r="AA9" s="188"/>
      <c r="AB9" s="188"/>
      <c r="AC9" s="188"/>
      <c r="AD9" s="188"/>
      <c r="AE9" s="188"/>
      <c r="AF9" s="188"/>
      <c r="AG9" s="188"/>
      <c r="AH9" s="188"/>
      <c r="AL9" s="192"/>
      <c r="AM9" s="192"/>
      <c r="AN9" s="192"/>
      <c r="AO9" s="192"/>
      <c r="AP9" s="192"/>
      <c r="AQ9" s="192"/>
      <c r="AR9" s="192"/>
      <c r="AS9" s="192"/>
      <c r="AT9" s="192"/>
      <c r="AX9" s="188"/>
      <c r="AY9" s="188"/>
      <c r="AZ9" s="188"/>
      <c r="BA9" s="188"/>
      <c r="BB9" s="188"/>
      <c r="BC9" s="188"/>
      <c r="BD9" s="188"/>
      <c r="BE9" s="188"/>
      <c r="BF9" s="188"/>
      <c r="BL9" s="91"/>
    </row>
    <row r="10" spans="1:83" ht="54.95" customHeight="1">
      <c r="A10" s="79">
        <f>'ACOMPANHAMENTO USINA'!$AL$2</f>
        <v>45519</v>
      </c>
      <c r="B10" s="80" t="s">
        <v>139</v>
      </c>
      <c r="C10" s="81">
        <f ca="1">IF('PRODUÇÃO TOTAL USINA'!K10="","",'PRODUÇÃO TOTAL USINA'!K10-'PRODUÇÃO TOTAL USINA'!J10)</f>
        <v>-7.2630201092288189</v>
      </c>
      <c r="D10" s="90"/>
      <c r="E10" s="54"/>
      <c r="F10" s="80">
        <v>8</v>
      </c>
      <c r="G10" s="81">
        <f ca="1">IF('PRODUÇÃO TOTAL USINA'!S10="","",'PRODUÇÃO TOTAL USINA'!S10-'PRODUÇÃO TOTAL USINA'!R10)</f>
        <v>-4786.08</v>
      </c>
      <c r="H10" s="90" t="s">
        <v>148</v>
      </c>
      <c r="I10" s="82"/>
      <c r="J10" s="80">
        <v>8</v>
      </c>
      <c r="K10" s="81">
        <f ca="1">IF('PRODUÇÃO TOTAL USINA'!AA10="","",'PRODUÇÃO TOTAL USINA'!AA10-'PRODUÇÃO TOTAL USINA'!Z10)</f>
        <v>1136.0583999999999</v>
      </c>
      <c r="L10" s="90"/>
      <c r="M10" s="82"/>
      <c r="N10" s="80">
        <v>8</v>
      </c>
      <c r="O10" s="81">
        <f ca="1">IF('PRODUÇÃO TOTAL USINA'!AI10="","",'PRODUÇÃO TOTAL USINA'!AI10-'PRODUÇÃO TOTAL USINA'!AH10)</f>
        <v>66.041666666666686</v>
      </c>
      <c r="P10" s="90"/>
      <c r="R10" s="80">
        <v>8</v>
      </c>
      <c r="S10" s="81" t="str">
        <f>IF('PRODUÇÃO TOTAL USINA'!AM10="","",'PRODUÇÃO TOTAL USINA'!AM10-'PRODUÇÃO TOTAL USINA'!AL10)</f>
        <v/>
      </c>
      <c r="T10" s="90"/>
      <c r="Z10" s="188"/>
      <c r="AA10" s="188"/>
      <c r="AB10" s="188"/>
      <c r="AC10" s="188"/>
      <c r="AD10" s="188"/>
      <c r="AE10" s="188"/>
      <c r="AF10" s="188"/>
      <c r="AG10" s="188"/>
      <c r="AH10" s="188"/>
      <c r="AL10" s="192"/>
      <c r="AM10" s="192"/>
      <c r="AN10" s="192"/>
      <c r="AO10" s="192"/>
      <c r="AP10" s="192"/>
      <c r="AQ10" s="192"/>
      <c r="AR10" s="192"/>
      <c r="AS10" s="192"/>
      <c r="AT10" s="192"/>
      <c r="AX10" s="188"/>
      <c r="AY10" s="188"/>
      <c r="AZ10" s="188"/>
      <c r="BA10" s="188"/>
      <c r="BB10" s="188"/>
      <c r="BC10" s="188"/>
      <c r="BD10" s="188"/>
      <c r="BE10" s="188"/>
      <c r="BF10" s="188"/>
      <c r="BL10" s="91"/>
    </row>
    <row r="11" spans="1:83" ht="73.5" customHeight="1">
      <c r="A11" s="79">
        <f>'ACOMPANHAMENTO USINA'!$AL$2</f>
        <v>45519</v>
      </c>
      <c r="B11" s="80">
        <v>9</v>
      </c>
      <c r="C11" s="81">
        <f ca="1">IF('PRODUÇÃO TOTAL USINA'!K11="","",'PRODUÇÃO TOTAL USINA'!K11-'PRODUÇÃO TOTAL USINA'!J11)</f>
        <v>-782.35572788125319</v>
      </c>
      <c r="D11" s="90" t="s">
        <v>154</v>
      </c>
      <c r="E11" s="84"/>
      <c r="F11" s="80">
        <v>9</v>
      </c>
      <c r="G11" s="81">
        <f ca="1">IF('PRODUÇÃO TOTAL USINA'!S11="","",'PRODUÇÃO TOTAL USINA'!S11-'PRODUÇÃO TOTAL USINA'!R11)</f>
        <v>-3996.6800000000003</v>
      </c>
      <c r="H11" s="90" t="s">
        <v>148</v>
      </c>
      <c r="I11" s="82"/>
      <c r="J11" s="80">
        <v>9</v>
      </c>
      <c r="K11" s="81">
        <f ca="1">IF('PRODUÇÃO TOTAL USINA'!AA11="","",'PRODUÇÃO TOTAL USINA'!AA11-'PRODUÇÃO TOTAL USINA'!Z11)</f>
        <v>596.1812000000001</v>
      </c>
      <c r="L11" s="183"/>
      <c r="M11" s="82"/>
      <c r="N11" s="80">
        <v>9</v>
      </c>
      <c r="O11" s="81">
        <f ca="1">IF('PRODUÇÃO TOTAL USINA'!AI11="","",'PRODUÇÃO TOTAL USINA'!AI11-'PRODUÇÃO TOTAL USINA'!AH11)</f>
        <v>145.04166666666669</v>
      </c>
      <c r="P11" s="90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88"/>
      <c r="AA11" s="188"/>
      <c r="AB11" s="188"/>
      <c r="AC11" s="188"/>
      <c r="AD11" s="188"/>
      <c r="AE11" s="188"/>
      <c r="AF11" s="188"/>
      <c r="AG11" s="188"/>
      <c r="AH11" s="188"/>
      <c r="AL11" s="192"/>
      <c r="AM11" s="192"/>
      <c r="AN11" s="192"/>
      <c r="AO11" s="192"/>
      <c r="AP11" s="192"/>
      <c r="AQ11" s="192"/>
      <c r="AR11" s="192"/>
      <c r="AS11" s="192"/>
      <c r="AT11" s="192"/>
      <c r="AX11" s="188"/>
      <c r="AY11" s="188"/>
      <c r="AZ11" s="188"/>
      <c r="BA11" s="188"/>
      <c r="BB11" s="188"/>
      <c r="BC11" s="188"/>
      <c r="BD11" s="188"/>
      <c r="BE11" s="188"/>
      <c r="BF11" s="188"/>
      <c r="BL11" s="91"/>
    </row>
    <row r="12" spans="1:83" ht="70.5" customHeight="1">
      <c r="A12" s="79">
        <f>'ACOMPANHAMENTO USINA'!$AL$2</f>
        <v>45519</v>
      </c>
      <c r="B12" s="80">
        <v>10</v>
      </c>
      <c r="C12" s="81">
        <f ca="1">IF('PRODUÇÃO TOTAL USINA'!K12="","",'PRODUÇÃO TOTAL USINA'!K12-'PRODUÇÃO TOTAL USINA'!J12)</f>
        <v>-1282.7487857966898</v>
      </c>
      <c r="D12" s="90" t="s">
        <v>155</v>
      </c>
      <c r="E12" s="54"/>
      <c r="F12" s="80">
        <v>10</v>
      </c>
      <c r="G12" s="81">
        <f ca="1">IF('PRODUÇÃO TOTAL USINA'!S12="","",'PRODUÇÃO TOTAL USINA'!S12-'PRODUÇÃO TOTAL USINA'!R12)</f>
        <v>-4600.8</v>
      </c>
      <c r="H12" s="90" t="s">
        <v>149</v>
      </c>
      <c r="I12" s="82"/>
      <c r="J12" s="80">
        <v>10</v>
      </c>
      <c r="K12" s="81">
        <f ca="1">IF('PRODUÇÃO TOTAL USINA'!AA12="","",'PRODUÇÃO TOTAL USINA'!AA12-'PRODUÇÃO TOTAL USINA'!Z12)</f>
        <v>568.2912</v>
      </c>
      <c r="L12" s="183"/>
      <c r="M12" s="82"/>
      <c r="N12" s="80">
        <v>10</v>
      </c>
      <c r="O12" s="81">
        <f ca="1">IF('PRODUÇÃO TOTAL USINA'!AI12="","",'PRODUÇÃO TOTAL USINA'!AI12-'PRODUÇÃO TOTAL USINA'!AH12)</f>
        <v>212.04166666666669</v>
      </c>
      <c r="P12" s="90"/>
      <c r="R12" s="80">
        <v>10</v>
      </c>
      <c r="S12" s="81" t="str">
        <f>IF('PRODUÇÃO TOTAL USINA'!AM12="","",'PRODUÇÃO TOTAL USINA'!AM12-'PRODUÇÃO TOTAL USINA'!AL12)</f>
        <v/>
      </c>
      <c r="T12" s="90"/>
      <c r="Z12" s="188"/>
      <c r="AA12" s="188"/>
      <c r="AB12" s="188"/>
      <c r="AC12" s="188"/>
      <c r="AD12" s="188"/>
      <c r="AE12" s="188"/>
      <c r="AF12" s="188"/>
      <c r="AG12" s="188"/>
      <c r="AH12" s="188"/>
      <c r="AL12" s="192"/>
      <c r="AM12" s="192"/>
      <c r="AN12" s="192"/>
      <c r="AO12" s="192"/>
      <c r="AP12" s="192"/>
      <c r="AQ12" s="192"/>
      <c r="AR12" s="192"/>
      <c r="AS12" s="192"/>
      <c r="AT12" s="192"/>
      <c r="AX12" s="188"/>
      <c r="AY12" s="188"/>
      <c r="AZ12" s="188"/>
      <c r="BA12" s="188"/>
      <c r="BB12" s="188"/>
      <c r="BC12" s="188"/>
      <c r="BD12" s="188"/>
      <c r="BE12" s="188"/>
      <c r="BF12" s="188"/>
      <c r="BL12" s="91"/>
      <c r="BO12" s="70" t="s">
        <v>19</v>
      </c>
    </row>
    <row r="13" spans="1:83" ht="54.95" customHeight="1">
      <c r="A13" s="79">
        <f>'ACOMPANHAMENTO USINA'!$AL$2</f>
        <v>45519</v>
      </c>
      <c r="B13" s="80">
        <v>11</v>
      </c>
      <c r="C13" s="81">
        <f ca="1">IF('PRODUÇÃO TOTAL USINA'!K13="","",'PRODUÇÃO TOTAL USINA'!K13-'PRODUÇÃO TOTAL USINA'!J13)</f>
        <v>-316.58059545036122</v>
      </c>
      <c r="D13" s="90" t="s">
        <v>156</v>
      </c>
      <c r="E13" s="54"/>
      <c r="F13" s="80">
        <v>11</v>
      </c>
      <c r="G13" s="81">
        <f ca="1">IF('PRODUÇÃO TOTAL USINA'!S13="","",'PRODUÇÃO TOTAL USINA'!S13-'PRODUÇÃO TOTAL USINA'!R13)</f>
        <v>-2829.2799999999997</v>
      </c>
      <c r="H13" s="90" t="s">
        <v>149</v>
      </c>
      <c r="I13" s="82"/>
      <c r="J13" s="80">
        <v>11</v>
      </c>
      <c r="K13" s="81">
        <f ca="1">IF('PRODUÇÃO TOTAL USINA'!AA13="","",'PRODUÇÃO TOTAL USINA'!AA13-'PRODUÇÃO TOTAL USINA'!Z13)</f>
        <v>866.58240000000001</v>
      </c>
      <c r="L13" s="183"/>
      <c r="M13" s="82"/>
      <c r="N13" s="80">
        <v>11</v>
      </c>
      <c r="O13" s="81">
        <f ca="1">IF('PRODUÇÃO TOTAL USINA'!AI13="","",'PRODUÇÃO TOTAL USINA'!AI13-'PRODUÇÃO TOTAL USINA'!AH13)</f>
        <v>230.04166666666669</v>
      </c>
      <c r="P13" s="183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58.5" customHeight="1">
      <c r="A14" s="79">
        <f>'ACOMPANHAMENTO USINA'!$AL$2</f>
        <v>45519</v>
      </c>
      <c r="B14" s="80">
        <v>12</v>
      </c>
      <c r="C14" s="81">
        <f ca="1">IF('PRODUÇÃO TOTAL USINA'!K14="","",'PRODUÇÃO TOTAL USINA'!K14-'PRODUÇÃO TOTAL USINA'!J14)</f>
        <v>-1154.4055328199793</v>
      </c>
      <c r="D14" s="90" t="s">
        <v>155</v>
      </c>
      <c r="E14" s="54"/>
      <c r="F14" s="80">
        <v>12</v>
      </c>
      <c r="G14" s="81">
        <f ca="1">IF('PRODUÇÃO TOTAL USINA'!S14="","",'PRODUÇÃO TOTAL USINA'!S14-'PRODUÇÃO TOTAL USINA'!R14)</f>
        <v>-949.19999999999982</v>
      </c>
      <c r="H14" s="90" t="s">
        <v>149</v>
      </c>
      <c r="I14" s="82"/>
      <c r="J14" s="80">
        <v>12</v>
      </c>
      <c r="K14" s="81">
        <f ca="1">IF('PRODUÇÃO TOTAL USINA'!AA14="","",'PRODUÇÃO TOTAL USINA'!AA14-'PRODUÇÃO TOTAL USINA'!Z14)</f>
        <v>-832.76399999999967</v>
      </c>
      <c r="L14" s="90" t="s">
        <v>153</v>
      </c>
      <c r="M14" s="82"/>
      <c r="N14" s="80">
        <v>12</v>
      </c>
      <c r="O14" s="81">
        <f ca="1">IF('PRODUÇÃO TOTAL USINA'!AI14="","",'PRODUÇÃO TOTAL USINA'!AI14-'PRODUÇÃO TOTAL USINA'!AH14)</f>
        <v>254.04166666666669</v>
      </c>
      <c r="P14" s="183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57.75" customHeight="1">
      <c r="A15" s="79">
        <f>'ACOMPANHAMENTO USINA'!$AL$2</f>
        <v>45519</v>
      </c>
      <c r="B15" s="80">
        <v>13</v>
      </c>
      <c r="C15" s="81">
        <f ca="1">IF('PRODUÇÃO TOTAL USINA'!K15="","",'PRODUÇÃO TOTAL USINA'!K15-'PRODUÇÃO TOTAL USINA'!J15)</f>
        <v>-1629.4111546151453</v>
      </c>
      <c r="D15" s="90" t="s">
        <v>158</v>
      </c>
      <c r="E15" s="54"/>
      <c r="F15" s="80">
        <v>13</v>
      </c>
      <c r="G15" s="81">
        <f ca="1">IF('PRODUÇÃO TOTAL USINA'!S15="","",'PRODUÇÃO TOTAL USINA'!S15-'PRODUÇÃO TOTAL USINA'!R15)</f>
        <v>-1967.88</v>
      </c>
      <c r="H15" s="90" t="s">
        <v>150</v>
      </c>
      <c r="I15" s="82"/>
      <c r="J15" s="80">
        <v>13</v>
      </c>
      <c r="K15" s="81">
        <f ca="1">IF('PRODUÇÃO TOTAL USINA'!AA15="","",'PRODUÇÃO TOTAL USINA'!AA15-'PRODUÇÃO TOTAL USINA'!Z15)</f>
        <v>-612.76399999999967</v>
      </c>
      <c r="L15" s="90" t="s">
        <v>153</v>
      </c>
      <c r="M15" s="82"/>
      <c r="N15" s="80">
        <v>13</v>
      </c>
      <c r="O15" s="81">
        <f ca="1">IF('PRODUÇÃO TOTAL USINA'!AI15="","",'PRODUÇÃO TOTAL USINA'!AI15-'PRODUÇÃO TOTAL USINA'!AH15)</f>
        <v>250.04166666666669</v>
      </c>
      <c r="P15" s="183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57" customHeight="1">
      <c r="A16" s="79">
        <f>'ACOMPANHAMENTO USINA'!$AL$2</f>
        <v>45519</v>
      </c>
      <c r="B16" s="80">
        <v>14</v>
      </c>
      <c r="C16" s="81">
        <f ca="1">IF('PRODUÇÃO TOTAL USINA'!K16="","",'PRODUÇÃO TOTAL USINA'!K16-'PRODUÇÃO TOTAL USINA'!J16)</f>
        <v>-1430.8994910808997</v>
      </c>
      <c r="D16" s="90" t="s">
        <v>158</v>
      </c>
      <c r="E16" s="54"/>
      <c r="F16" s="80">
        <v>14</v>
      </c>
      <c r="G16" s="81">
        <f ca="1">IF('PRODUÇÃO TOTAL USINA'!S16="","",'PRODUÇÃO TOTAL USINA'!S16-'PRODUÇÃO TOTAL USINA'!R16)</f>
        <v>-4115.3599999999997</v>
      </c>
      <c r="H16" s="90" t="s">
        <v>151</v>
      </c>
      <c r="I16" s="82"/>
      <c r="J16" s="80">
        <v>14</v>
      </c>
      <c r="K16" s="81">
        <f ca="1">IF('PRODUÇÃO TOTAL USINA'!AA16="","",'PRODUÇÃO TOTAL USINA'!AA16-'PRODUÇÃO TOTAL USINA'!Z16)</f>
        <v>-889.4692</v>
      </c>
      <c r="L16" s="90" t="s">
        <v>153</v>
      </c>
      <c r="M16" s="82"/>
      <c r="N16" s="80">
        <v>14</v>
      </c>
      <c r="O16" s="81">
        <f ca="1">IF('PRODUÇÃO TOTAL USINA'!AI16="","",'PRODUÇÃO TOTAL USINA'!AI16-'PRODUÇÃO TOTAL USINA'!AH16)</f>
        <v>-138.95833333333331</v>
      </c>
      <c r="P16" s="183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54.95" customHeight="1">
      <c r="A17" s="79">
        <f>'ACOMPANHAMENTO USINA'!$AL$2</f>
        <v>45519</v>
      </c>
      <c r="B17" s="80">
        <v>15</v>
      </c>
      <c r="C17" s="81">
        <f ca="1">IF('PRODUÇÃO TOTAL USINA'!K17="","",'PRODUÇÃO TOTAL USINA'!K17-'PRODUÇÃO TOTAL USINA'!J17)</f>
        <v>-104.80553281998073</v>
      </c>
      <c r="D17" s="90" t="s">
        <v>157</v>
      </c>
      <c r="E17" s="54"/>
      <c r="F17" s="80">
        <v>15</v>
      </c>
      <c r="G17" s="81">
        <f ca="1">IF('PRODUÇÃO TOTAL USINA'!S17="","",'PRODUÇÃO TOTAL USINA'!S17-'PRODUÇÃO TOTAL USINA'!R17)</f>
        <v>-4963.8</v>
      </c>
      <c r="H17" s="90" t="s">
        <v>152</v>
      </c>
      <c r="I17" s="82"/>
      <c r="J17" s="80">
        <v>15</v>
      </c>
      <c r="K17" s="81">
        <f ca="1">IF('PRODUÇÃO TOTAL USINA'!AA17="","",'PRODUÇÃO TOTAL USINA'!AA17-'PRODUÇÃO TOTAL USINA'!Z17)</f>
        <v>-731.57919999999967</v>
      </c>
      <c r="L17" s="90" t="s">
        <v>153</v>
      </c>
      <c r="M17" s="82"/>
      <c r="N17" s="80">
        <v>15</v>
      </c>
      <c r="O17" s="81">
        <f ca="1">IF('PRODUÇÃO TOTAL USINA'!AI17="","",'PRODUÇÃO TOTAL USINA'!AI17-'PRODUÇÃO TOTAL USINA'!AH17)</f>
        <v>-142.95833333333331</v>
      </c>
      <c r="P17" s="183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54.95" customHeight="1">
      <c r="A18" s="79">
        <f>'ACOMPANHAMENTO USINA'!$AL$2</f>
        <v>45519</v>
      </c>
      <c r="B18" s="80">
        <v>16</v>
      </c>
      <c r="C18" s="81">
        <f ca="1">IF('PRODUÇÃO TOTAL USINA'!K18="","",'PRODUÇÃO TOTAL USINA'!K18-'PRODUÇÃO TOTAL USINA'!J18)</f>
        <v>373.39147629482977</v>
      </c>
      <c r="D18" s="90"/>
      <c r="E18" s="54"/>
      <c r="F18" s="80">
        <v>16</v>
      </c>
      <c r="G18" s="81">
        <f ca="1">IF('PRODUÇÃO TOTAL USINA'!S18="","",'PRODUÇÃO TOTAL USINA'!S18-'PRODUÇÃO TOTAL USINA'!R18)</f>
        <v>-4912.8</v>
      </c>
      <c r="H18" s="90" t="s">
        <v>152</v>
      </c>
      <c r="I18" s="82"/>
      <c r="J18" s="80">
        <v>16</v>
      </c>
      <c r="K18" s="81">
        <f ca="1">IF('PRODUÇÃO TOTAL USINA'!AA18="","",'PRODUÇÃO TOTAL USINA'!AA18-'PRODUÇÃO TOTAL USINA'!Z18)</f>
        <v>683.04199999999992</v>
      </c>
      <c r="L18" s="90"/>
      <c r="M18" s="82"/>
      <c r="N18" s="80">
        <v>16</v>
      </c>
      <c r="O18" s="81">
        <f ca="1">IF('PRODUÇÃO TOTAL USINA'!AI18="","",'PRODUÇÃO TOTAL USINA'!AI18-'PRODUÇÃO TOTAL USINA'!AH18)</f>
        <v>1.0416666666666856</v>
      </c>
      <c r="P18" s="183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54.95" customHeight="1">
      <c r="A19" s="79">
        <f>'ACOMPANHAMENTO USINA'!$AL$2</f>
        <v>45519</v>
      </c>
      <c r="B19" s="80">
        <v>17</v>
      </c>
      <c r="C19" s="81">
        <f ca="1">IF('PRODUÇÃO TOTAL USINA'!K19="","",'PRODUÇÃO TOTAL USINA'!K19-'PRODUÇÃO TOTAL USINA'!J19)</f>
        <v>1672.605580675172</v>
      </c>
      <c r="D19" s="90"/>
      <c r="E19" s="54"/>
      <c r="F19" s="80">
        <v>17</v>
      </c>
      <c r="G19" s="81">
        <f ca="1">IF('PRODUÇÃO TOTAL USINA'!S19="","",'PRODUÇÃO TOTAL USINA'!S19-'PRODUÇÃO TOTAL USINA'!R19)</f>
        <v>-3680.04</v>
      </c>
      <c r="H19" s="90" t="s">
        <v>152</v>
      </c>
      <c r="I19" s="82"/>
      <c r="J19" s="80">
        <v>17</v>
      </c>
      <c r="K19" s="81">
        <f ca="1">IF('PRODUÇÃO TOTAL USINA'!AA19="","",'PRODUÇÃO TOTAL USINA'!AA19-'PRODUÇÃO TOTAL USINA'!Z19)</f>
        <v>704.34960000000001</v>
      </c>
      <c r="L19" s="90"/>
      <c r="M19" s="82"/>
      <c r="N19" s="80">
        <v>17</v>
      </c>
      <c r="O19" s="81">
        <f ca="1">IF('PRODUÇÃO TOTAL USINA'!AI19="","",'PRODUÇÃO TOTAL USINA'!AI19-'PRODUÇÃO TOTAL USINA'!AH19)</f>
        <v>213.04166666666669</v>
      </c>
      <c r="P19" s="183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54.95" customHeight="1">
      <c r="A20" s="79">
        <f>'ACOMPANHAMENTO USINA'!$AL$2</f>
        <v>45519</v>
      </c>
      <c r="B20" s="80">
        <v>18</v>
      </c>
      <c r="C20" s="81">
        <f ca="1">IF('PRODUÇÃO TOTAL USINA'!K20="","",'PRODUÇÃO TOTAL USINA'!K20-'PRODUÇÃO TOTAL USINA'!J20)</f>
        <v>948.85175457357855</v>
      </c>
      <c r="D20" s="90"/>
      <c r="E20" s="54"/>
      <c r="F20" s="80">
        <v>18</v>
      </c>
      <c r="G20" s="81">
        <f ca="1">IF('PRODUÇÃO TOTAL USINA'!S20="","",'PRODUÇÃO TOTAL USINA'!S20-'PRODUÇÃO TOTAL USINA'!R20)</f>
        <v>-2936.76</v>
      </c>
      <c r="H20" s="90" t="s">
        <v>152</v>
      </c>
      <c r="I20" s="82"/>
      <c r="J20" s="80">
        <v>18</v>
      </c>
      <c r="K20" s="81">
        <f ca="1">IF('PRODUÇÃO TOTAL USINA'!AA20="","",'PRODUÇÃO TOTAL USINA'!AA20-'PRODUÇÃO TOTAL USINA'!Z20)</f>
        <v>544.8735999999999</v>
      </c>
      <c r="L20" s="90"/>
      <c r="M20" s="82"/>
      <c r="N20" s="80" t="s">
        <v>20</v>
      </c>
      <c r="O20" s="81">
        <f ca="1">IF('PRODUÇÃO TOTAL USINA'!AI20="","",'PRODUÇÃO TOTAL USINA'!AI20-'PRODUÇÃO TOTAL USINA'!AH20)</f>
        <v>289.04166666666669</v>
      </c>
      <c r="P20" s="183"/>
      <c r="R20" s="80" t="s">
        <v>20</v>
      </c>
      <c r="S20" s="81" t="str">
        <f>IF('PRODUÇÃO TOTAL USINA'!AM20="","",'PRODUÇÃO TOTAL USINA'!AM20-'PRODUÇÃO TOTAL USINA'!AL20)</f>
        <v/>
      </c>
      <c r="T20" s="90"/>
    </row>
    <row r="21" spans="1:34" ht="80.25" customHeight="1">
      <c r="A21" s="79">
        <f>'ACOMPANHAMENTO USINA'!$AL$2</f>
        <v>45519</v>
      </c>
      <c r="B21" s="80">
        <v>19</v>
      </c>
      <c r="C21" s="81">
        <f ca="1">IF('PRODUÇÃO TOTAL USINA'!K21="","",'PRODUÇÃO TOTAL USINA'!K21-'PRODUÇÃO TOTAL USINA'!J21)</f>
        <v>2505.9345295388321</v>
      </c>
      <c r="D21" s="90"/>
      <c r="E21" s="54"/>
      <c r="F21" s="80">
        <v>19</v>
      </c>
      <c r="G21" s="81">
        <f ca="1">IF('PRODUÇÃO TOTAL USINA'!S21="","",'PRODUÇÃO TOTAL USINA'!S21-'PRODUÇÃO TOTAL USINA'!R21)</f>
        <v>-1871.5599999999995</v>
      </c>
      <c r="H21" s="90" t="s">
        <v>159</v>
      </c>
      <c r="I21" s="82"/>
      <c r="J21" s="80">
        <v>19</v>
      </c>
      <c r="K21" s="81">
        <f ca="1">IF('PRODUÇÃO TOTAL USINA'!AA21="","",'PRODUÇÃO TOTAL USINA'!AA21-'PRODUÇÃO TOTAL USINA'!Z21)</f>
        <v>-1659.7475999999999</v>
      </c>
      <c r="L21" s="90" t="s">
        <v>160</v>
      </c>
      <c r="M21" s="82"/>
      <c r="N21" s="80">
        <v>19</v>
      </c>
      <c r="O21" s="81">
        <f ca="1">IF('PRODUÇÃO TOTAL USINA'!AI21="","",'PRODUÇÃO TOTAL USINA'!AI21-'PRODUÇÃO TOTAL USINA'!AH21)</f>
        <v>-142.95833333333331</v>
      </c>
      <c r="P21" s="90" t="s">
        <v>163</v>
      </c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9.75" customHeight="1">
      <c r="A22" s="79">
        <f>'ACOMPANHAMENTO USINA'!$AL$2</f>
        <v>45519</v>
      </c>
      <c r="B22" s="80">
        <v>20</v>
      </c>
      <c r="C22" s="81">
        <f ca="1">IF('PRODUÇÃO TOTAL USINA'!K22="","",'PRODUÇÃO TOTAL USINA'!K22-'PRODUÇÃO TOTAL USINA'!J22)</f>
        <v>376.83794036794006</v>
      </c>
      <c r="D22" s="90"/>
      <c r="E22" s="54"/>
      <c r="F22" s="80">
        <v>20</v>
      </c>
      <c r="G22" s="81">
        <f ca="1">IF('PRODUÇÃO TOTAL USINA'!S22="","",'PRODUÇÃO TOTAL USINA'!S22-'PRODUÇÃO TOTAL USINA'!R22)</f>
        <v>-1435.5199999999995</v>
      </c>
      <c r="H22" s="90" t="s">
        <v>159</v>
      </c>
      <c r="I22" s="82"/>
      <c r="J22" s="80">
        <v>20</v>
      </c>
      <c r="K22" s="81">
        <f ca="1">IF('PRODUÇÃO TOTAL USINA'!AA22="","",'PRODUÇÃO TOTAL USINA'!AA22-'PRODUÇÃO TOTAL USINA'!Z22)</f>
        <v>-478.28440000000001</v>
      </c>
      <c r="L22" s="90" t="s">
        <v>161</v>
      </c>
      <c r="M22" s="82"/>
      <c r="N22" s="80">
        <v>20</v>
      </c>
      <c r="O22" s="81">
        <f ca="1">IF('PRODUÇÃO TOTAL USINA'!AI22="","",'PRODUÇÃO TOTAL USINA'!AI22-'PRODUÇÃO TOTAL USINA'!AH22)</f>
        <v>-89.958333333333314</v>
      </c>
      <c r="P22" s="90" t="s">
        <v>163</v>
      </c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70.5" customHeight="1">
      <c r="A23" s="79">
        <f>'ACOMPANHAMENTO USINA'!$AL$2</f>
        <v>45519</v>
      </c>
      <c r="B23" s="80">
        <v>21</v>
      </c>
      <c r="C23" s="81">
        <f ca="1">IF('PRODUÇÃO TOTAL USINA'!K23="","",'PRODUÇÃO TOTAL USINA'!K23-'PRODUÇÃO TOTAL USINA'!J23)</f>
        <v>2446.3706502041141</v>
      </c>
      <c r="D23" s="90"/>
      <c r="E23" s="54"/>
      <c r="F23" s="80">
        <v>21</v>
      </c>
      <c r="G23" s="81">
        <f ca="1">IF('PRODUÇÃO TOTAL USINA'!S23="","",'PRODUÇÃO TOTAL USINA'!S23-'PRODUÇÃO TOTAL USINA'!R23)</f>
        <v>-335.48000000000047</v>
      </c>
      <c r="H23" s="90" t="s">
        <v>159</v>
      </c>
      <c r="I23" s="82"/>
      <c r="J23" s="80">
        <v>21</v>
      </c>
      <c r="K23" s="81">
        <f ca="1">IF('PRODUÇÃO TOTAL USINA'!AA23="","",'PRODUÇÃO TOTAL USINA'!AA23-'PRODUÇÃO TOTAL USINA'!Z23)</f>
        <v>-711.4563999999998</v>
      </c>
      <c r="L23" s="90" t="s">
        <v>162</v>
      </c>
      <c r="M23" s="82"/>
      <c r="N23" s="80">
        <v>21</v>
      </c>
      <c r="O23" s="81">
        <f ca="1">IF('PRODUÇÃO TOTAL USINA'!AI23="","",'PRODUÇÃO TOTAL USINA'!AI23-'PRODUÇÃO TOTAL USINA'!AH23)</f>
        <v>68.041666666666686</v>
      </c>
      <c r="P23" s="90"/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70.5" customHeight="1">
      <c r="A24" s="79">
        <f>'ACOMPANHAMENTO USINA'!$AL$2</f>
        <v>45519</v>
      </c>
      <c r="B24" s="80">
        <v>22</v>
      </c>
      <c r="C24" s="81">
        <f ca="1">IF('PRODUÇÃO TOTAL USINA'!K24="","",'PRODUÇÃO TOTAL USINA'!K24-'PRODUÇÃO TOTAL USINA'!J24)</f>
        <v>3573.127527322582</v>
      </c>
      <c r="D24" s="90"/>
      <c r="E24" s="54"/>
      <c r="F24" s="80">
        <v>22</v>
      </c>
      <c r="G24" s="81">
        <f ca="1">IF('PRODUÇÃO TOTAL USINA'!S24="","",'PRODUÇÃO TOTAL USINA'!S24-'PRODUÇÃO TOTAL USINA'!R24)</f>
        <v>701.11999999999989</v>
      </c>
      <c r="H24" s="183"/>
      <c r="I24" s="82"/>
      <c r="J24" s="80">
        <v>22</v>
      </c>
      <c r="K24" s="81">
        <f ca="1">IF('PRODUÇÃO TOTAL USINA'!AA24="","",'PRODUÇÃO TOTAL USINA'!AA24-'PRODUÇÃO TOTAL USINA'!Z24)</f>
        <v>-711.4563999999998</v>
      </c>
      <c r="L24" s="90" t="s">
        <v>162</v>
      </c>
      <c r="M24" s="82"/>
      <c r="N24" s="80">
        <v>22</v>
      </c>
      <c r="O24" s="81">
        <f ca="1">IF('PRODUÇÃO TOTAL USINA'!AI24="","",'PRODUÇÃO TOTAL USINA'!AI24-'PRODUÇÃO TOTAL USINA'!AH24)</f>
        <v>50.041666666666686</v>
      </c>
      <c r="P24" s="90"/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54.95" customHeight="1">
      <c r="A25" s="79">
        <f>'ACOMPANHAMENTO USINA'!$AL$2</f>
        <v>45519</v>
      </c>
      <c r="B25" s="80">
        <v>23</v>
      </c>
      <c r="C25" s="81">
        <f ca="1">IF('PRODUÇÃO TOTAL USINA'!K25="","",'PRODUÇÃO TOTAL USINA'!K25-'PRODUÇÃO TOTAL USINA'!J25)</f>
        <v>3624.8250864764868</v>
      </c>
      <c r="D25" s="183"/>
      <c r="E25" s="54"/>
      <c r="F25" s="170">
        <v>23</v>
      </c>
      <c r="G25" s="169">
        <f ca="1">IF('PRODUÇÃO TOTAL USINA'!S25="","",'PRODUÇÃO TOTAL USINA'!S25-'PRODUÇÃO TOTAL USINA'!R25)</f>
        <v>511</v>
      </c>
      <c r="H25" s="183"/>
      <c r="I25" s="82"/>
      <c r="J25" s="80">
        <v>23</v>
      </c>
      <c r="K25" s="81">
        <f ca="1">IF('PRODUÇÃO TOTAL USINA'!AA25="","",'PRODUÇÃO TOTAL USINA'!AA25-'PRODUÇÃO TOTAL USINA'!Z25)</f>
        <v>-811.05519999999979</v>
      </c>
      <c r="L25" s="90" t="s">
        <v>162</v>
      </c>
      <c r="M25" s="82"/>
      <c r="N25" s="80">
        <v>23</v>
      </c>
      <c r="O25" s="81">
        <f ca="1">IF('PRODUÇÃO TOTAL USINA'!AI25="","",'PRODUÇÃO TOTAL USINA'!AI25-'PRODUÇÃO TOTAL USINA'!AH25)</f>
        <v>-14.958333333333314</v>
      </c>
      <c r="P25" s="185" t="s">
        <v>19</v>
      </c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54.95" customHeight="1">
      <c r="A26" s="79">
        <f>'ACOMPANHAMENTO USINA'!$AL$2</f>
        <v>45519</v>
      </c>
      <c r="B26" s="80">
        <v>24</v>
      </c>
      <c r="C26" s="81">
        <f ca="1">IF('PRODUÇÃO TOTAL USINA'!K26="","",'PRODUÇÃO TOTAL USINA'!K26-'PRODUÇÃO TOTAL USINA'!J26)</f>
        <v>5047.632798811358</v>
      </c>
      <c r="D26" s="183"/>
      <c r="E26" s="54"/>
      <c r="F26" s="173">
        <v>24</v>
      </c>
      <c r="G26" s="172">
        <f ca="1">IF('PRODUÇÃO TOTAL USINA'!S26="","",'PRODUÇÃO TOTAL USINA'!S26-'PRODUÇÃO TOTAL USINA'!R26)</f>
        <v>372.48</v>
      </c>
      <c r="H26" s="183"/>
      <c r="I26" s="82"/>
      <c r="J26" s="80">
        <v>24</v>
      </c>
      <c r="K26" s="81">
        <f ca="1">IF('PRODUÇÃO TOTAL USINA'!AA26="","",'PRODUÇÃO TOTAL USINA'!AA26-'PRODUÇÃO TOTAL USINA'!Z26)</f>
        <v>60.809200000000146</v>
      </c>
      <c r="L26" s="183"/>
      <c r="M26" s="82"/>
      <c r="N26" s="80">
        <v>24</v>
      </c>
      <c r="O26" s="81">
        <f ca="1">IF('PRODUÇÃO TOTAL USINA'!AI26="","",'PRODUÇÃO TOTAL USINA'!AI26-'PRODUÇÃO TOTAL USINA'!AH26)</f>
        <v>123.04166666666669</v>
      </c>
      <c r="P26" s="183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54.95" customHeight="1">
      <c r="H27" s="90"/>
    </row>
    <row r="28" spans="1:34" ht="54.95" customHeight="1">
      <c r="H28" s="171"/>
    </row>
    <row r="29" spans="1:34" ht="54.95" customHeight="1">
      <c r="I29" s="53"/>
    </row>
    <row r="30" spans="1:34" ht="54.95" customHeight="1">
      <c r="I30" s="53"/>
    </row>
    <row r="31" spans="1:34" s="6" customFormat="1" ht="54.95" customHeight="1">
      <c r="A31" s="65"/>
      <c r="B31" s="13">
        <f ca="1">INDEX($B$3:$B$26,MATCH(-C31,$C$3:$C$26,0))</f>
        <v>13</v>
      </c>
      <c r="C31" s="14">
        <f ca="1">IF(SMALL($C$3:$C$26,1)&gt;0,"",ABS(SMALL($C$3:$C$26,1)))</f>
        <v>1629.4111546151453</v>
      </c>
      <c r="D31" s="13"/>
      <c r="E31" s="13"/>
      <c r="F31" s="13">
        <f ca="1">INDEX($B$3:$B$26,MATCH(-G31,$G$3:$G$26,0))</f>
        <v>15</v>
      </c>
      <c r="G31" s="14">
        <f ca="1">IF(SMALL($G$3:$G$26,1)&gt;0,"",ABS(SMALL($G$3:$G$26,1)))</f>
        <v>4963.8</v>
      </c>
      <c r="H31" s="13"/>
      <c r="I31" s="53"/>
      <c r="J31" s="13">
        <f ca="1">INDEX($B$3:$B$26,MATCH(-K31,$K$3:$K$26,0))</f>
        <v>19</v>
      </c>
      <c r="K31" s="14">
        <f ca="1">IF(SMALL($K$3:$K$26,1)&gt;0,"",ABS(SMALL($K$3:$K$26,1)))</f>
        <v>1659.7475999999999</v>
      </c>
      <c r="L31" s="13"/>
      <c r="N31" s="13" t="str">
        <f ca="1">INDEX($B$3:$B$26,MATCH(-O31,$O$3:$O$26,0))</f>
        <v>7h</v>
      </c>
      <c r="O31" s="14">
        <f ca="1">IF(SMALL($O$3:$O$26,1)&gt;0,"",ABS(SMALL($O$3:$O$26,1)))</f>
        <v>142.95833333333331</v>
      </c>
      <c r="P31" s="13"/>
      <c r="R31" s="13" t="str">
        <f ca="1">INDEX($B$3:$B$26,MATCH(-S31,$O$3:$O$26,0))</f>
        <v>7h</v>
      </c>
      <c r="S31" s="14">
        <f ca="1">IF(SMALL($O$3:$O$26,1)&gt;0,"",ABS(SMALL($O$3:$O$26,1)))</f>
        <v>142.95833333333331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54.95" customHeight="1">
      <c r="A32" s="65"/>
      <c r="B32" s="13">
        <f ca="1">INDEX($B$3:$B$26,MATCH(-C32,$C$3:$C$26,0))</f>
        <v>14</v>
      </c>
      <c r="C32" s="14">
        <f ca="1">IF(SMALL($C$3:$C$26,2)&gt;0,"",ABS(SMALL($C$3:$C$26,2)))</f>
        <v>1430.8994910808997</v>
      </c>
      <c r="D32" s="13"/>
      <c r="E32" s="13"/>
      <c r="F32" s="13">
        <f ca="1">INDEX($B$3:$B$26,MATCH(-G32,$G$3:$G$26,0))</f>
        <v>16</v>
      </c>
      <c r="G32" s="14">
        <f ca="1">IF(SMALL($G$3:$G$26,2)&gt;0,"",ABS(SMALL($G$3:$G$26,2)))</f>
        <v>4912.8</v>
      </c>
      <c r="H32" s="13"/>
      <c r="I32" s="53"/>
      <c r="J32" s="13">
        <f ca="1">INDEX($B$3:$B$26,MATCH(-K32,$K$3:$K$26,0))</f>
        <v>2</v>
      </c>
      <c r="K32" s="14">
        <f ca="1">IF(SMALL($K$3:$K$26,2)&gt;0,"",ABS(SMALL($K$3:$K$26,2)))</f>
        <v>1392.1032</v>
      </c>
      <c r="L32" s="13"/>
      <c r="N32" s="13" t="str">
        <f ca="1">INDEX($B$3:$B$26,MATCH(-O32,$O$3:$O$26,0))</f>
        <v>7h</v>
      </c>
      <c r="O32" s="14">
        <f ca="1">IF(SMALL($O$3:$O$26,2)&gt;0,"",ABS(SMALL($O$3:$O$26,2)))</f>
        <v>142.95833333333331</v>
      </c>
      <c r="P32" s="13"/>
      <c r="R32" s="13" t="str">
        <f ca="1">INDEX($B$3:$B$26,MATCH(-S32,$O$3:$O$26,0))</f>
        <v>7h</v>
      </c>
      <c r="S32" s="14">
        <f ca="1">IF(SMALL($O$3:$O$26,2)&gt;0,"",ABS(SMALL($O$3:$O$26,2)))</f>
        <v>142.95833333333331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54.95" customHeight="1">
      <c r="A33" s="65"/>
      <c r="B33" s="13">
        <f ca="1">INDEX($B$3:$B$26,MATCH(-C33,$C$3:$C$26,0))</f>
        <v>10</v>
      </c>
      <c r="C33" s="14">
        <f ca="1">IF(SMALL($C$3:$C$26,3)&gt;0,"",ABS(SMALL($C$3:$C$26,3)))</f>
        <v>1282.7487857966898</v>
      </c>
      <c r="D33" s="13"/>
      <c r="E33" s="13"/>
      <c r="F33" s="13" t="str">
        <f ca="1">INDEX($B$3:$B$26,MATCH(-G33,$G$3:$G$26,0))</f>
        <v>8h</v>
      </c>
      <c r="G33" s="14">
        <f ca="1">IF(SMALL($G$3:$G$26,3)&gt;0,"",ABS(SMALL($G$3:$G$26,3)))</f>
        <v>4786.08</v>
      </c>
      <c r="H33" s="13"/>
      <c r="I33" s="53"/>
      <c r="J33" s="13">
        <f ca="1">INDEX($B$3:$B$26,MATCH(-K33,$K$3:$K$26,0))</f>
        <v>1</v>
      </c>
      <c r="K33" s="14">
        <f ca="1">IF(SMALL($K$3:$K$26,3)&gt;0,"",ABS(SMALL($K$3:$K$26,3)))</f>
        <v>946.14159999999947</v>
      </c>
      <c r="L33" s="13"/>
      <c r="N33" s="13" t="str">
        <f ca="1">INDEX($B$3:$B$26,MATCH(-O33,$O$3:$O$26,0))</f>
        <v>7h</v>
      </c>
      <c r="O33" s="14">
        <f ca="1">IF(SMALL($O$3:$O$26,3)&gt;0,"",ABS(SMALL($O$3:$O$26,3)))</f>
        <v>142.95833333333331</v>
      </c>
      <c r="P33" s="13"/>
      <c r="R33" s="13" t="str">
        <f ca="1">INDEX($B$3:$B$26,MATCH(-S33,$O$3:$O$26,0))</f>
        <v>7h</v>
      </c>
      <c r="S33" s="14">
        <f ca="1">IF(SMALL($O$3:$O$26,3)&gt;0,"",ABS(SMALL($O$3:$O$26,3)))</f>
        <v>142.95833333333331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54.95" customHeight="1">
      <c r="A34" s="65"/>
      <c r="B34" s="13">
        <f ca="1">INDEX($B$3:$B$26,MATCH(-C34,$C$3:$C$26,0))</f>
        <v>12</v>
      </c>
      <c r="C34" s="14">
        <f ca="1">IF(SMALL($C$3:$C$26,4)&gt;0,"",ABS(SMALL($C$3:$C$26,4)))</f>
        <v>1154.4055328199793</v>
      </c>
      <c r="D34" s="13"/>
      <c r="E34" s="13"/>
      <c r="F34" s="13">
        <f ca="1">INDEX($B$3:$B$26,MATCH(-G34,$G$3:$G$26,0))</f>
        <v>10</v>
      </c>
      <c r="G34" s="14">
        <f ca="1">IF(SMALL($G$3:$G$26,4)&gt;0,"",ABS(SMALL($G$3:$G$26,4)))</f>
        <v>4600.8</v>
      </c>
      <c r="H34" s="13"/>
      <c r="I34" s="53"/>
      <c r="J34" s="13">
        <f ca="1">INDEX($B$3:$B$26,MATCH(-K34,$K$3:$K$26,0))</f>
        <v>14</v>
      </c>
      <c r="K34" s="14">
        <f ca="1">IF(SMALL($K$3:$K$26,4)&gt;0,"",ABS(SMALL($K$3:$K$26,4)))</f>
        <v>889.4692</v>
      </c>
      <c r="L34" s="13"/>
      <c r="N34" s="13">
        <f ca="1">INDEX($B$3:$B$26,MATCH(-O34,$O$3:$O$26,0))</f>
        <v>14</v>
      </c>
      <c r="O34" s="14">
        <f ca="1">IF(SMALL($O$3:$O$26,4)&gt;0,"",ABS(SMALL($O$3:$O$26,4)))</f>
        <v>138.95833333333331</v>
      </c>
      <c r="P34" s="13"/>
      <c r="R34" s="13">
        <f ca="1">INDEX($B$3:$B$26,MATCH(-S34,$O$3:$O$26,0))</f>
        <v>14</v>
      </c>
      <c r="S34" s="14">
        <f ca="1">IF(SMALL($O$3:$O$26,4)&gt;0,"",ABS(SMALL($O$3:$O$26,4)))</f>
        <v>138.95833333333331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54.95" customHeight="1">
      <c r="A35" s="65"/>
      <c r="B35" s="13">
        <f ca="1">INDEX($B$3:$B$26,MATCH(-C35,$C$3:$C$26,0))</f>
        <v>9</v>
      </c>
      <c r="C35" s="14">
        <f ca="1">IF(SMALL($C$3:$C$26,5)&gt;0,"",ABS(SMALL($C$3:$C$26,5)))</f>
        <v>782.35572788125319</v>
      </c>
      <c r="D35" s="13"/>
      <c r="E35" s="13"/>
      <c r="F35" s="13" t="str">
        <f ca="1">INDEX($B$3:$B$26,MATCH(-G35,$G$3:$G$26,0))</f>
        <v>7h</v>
      </c>
      <c r="G35" s="14">
        <f ca="1">IF(SMALL($G$3:$G$26,5)&gt;0,"",ABS(SMALL($G$3:$G$26,5)))</f>
        <v>4496.88</v>
      </c>
      <c r="H35" s="13"/>
      <c r="I35" s="53"/>
      <c r="J35" s="13">
        <f ca="1">INDEX($B$3:$B$26,MATCH(-K35,$K$3:$K$26,0))</f>
        <v>12</v>
      </c>
      <c r="K35" s="14">
        <f ca="1">IF(SMALL($K$3:$K$26,5)&gt;0,"",ABS(SMALL($K$3:$K$26,5)))</f>
        <v>832.76399999999967</v>
      </c>
      <c r="L35" s="13"/>
      <c r="N35" s="13">
        <f ca="1">INDEX($B$3:$B$26,MATCH(-O35,$O$3:$O$26,0))</f>
        <v>20</v>
      </c>
      <c r="O35" s="14">
        <f ca="1">IF(SMALL($O$3:$O$26,5)&gt;0,"",ABS(SMALL($O$3:$O$26,5)))</f>
        <v>89.958333333333314</v>
      </c>
      <c r="P35" s="13"/>
      <c r="R35" s="13">
        <f ca="1">INDEX($B$3:$B$26,MATCH(-S35,$O$3:$O$26,0))</f>
        <v>20</v>
      </c>
      <c r="S35" s="14">
        <f ca="1">IF(SMALL($O$3:$O$26,5)&gt;0,"",ABS(SMALL($O$3:$O$26,5)))</f>
        <v>89.958333333333314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54.9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54.9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54.9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54.9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54.9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54.9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54.9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54.95" customHeight="1">
      <c r="H49" s="15" t="s">
        <v>21</v>
      </c>
    </row>
  </sheetData>
  <autoFilter ref="F2:H26" xr:uid="{00000000-0009-0000-0000-000000000000}"/>
  <mergeCells count="15">
    <mergeCell ref="B1:D1"/>
    <mergeCell ref="F1:H1"/>
    <mergeCell ref="J1:L1"/>
    <mergeCell ref="N1:P1"/>
    <mergeCell ref="BQ2:BR2"/>
    <mergeCell ref="R1:T1"/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abSelected="1" topLeftCell="AE1" zoomScale="80" zoomScaleNormal="80" workbookViewId="0">
      <selection activeCell="AX27" sqref="AX27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22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23</v>
      </c>
      <c r="AE2" s="37"/>
      <c r="AF2" s="37"/>
      <c r="AG2" s="37"/>
      <c r="AH2" s="37"/>
      <c r="AI2" s="37"/>
      <c r="AJ2" s="37"/>
      <c r="AK2" s="37"/>
      <c r="AL2" s="196">
        <v>45519</v>
      </c>
      <c r="AM2" s="196"/>
      <c r="AN2" s="196"/>
      <c r="AO2" s="196"/>
      <c r="AP2" s="196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4" t="s">
        <v>25</v>
      </c>
      <c r="AI3" s="204"/>
      <c r="AJ3" s="204"/>
      <c r="AK3" s="205"/>
      <c r="AL3" s="205"/>
      <c r="AM3" s="205"/>
      <c r="AN3" s="209" t="str">
        <f ca="1">IF(TODAY()&gt;'ACOMPANHAMENTO USINA'!AL2,"23:59:59",NOW())</f>
        <v>23:59:59</v>
      </c>
      <c r="AO3" s="209"/>
      <c r="AP3" s="210"/>
      <c r="BG3" s="17" t="s">
        <v>26</v>
      </c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4" t="s">
        <v>25</v>
      </c>
      <c r="EH3" s="204"/>
      <c r="EI3" s="204"/>
      <c r="EJ3" s="205">
        <f ca="1">NOW()</f>
        <v>45520.036700578705</v>
      </c>
      <c r="EK3" s="205"/>
      <c r="EL3" s="205"/>
      <c r="EM3" s="198">
        <f ca="1">NOW()</f>
        <v>45520.036700578705</v>
      </c>
      <c r="EN3" s="198"/>
      <c r="EO3" s="199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2" t="s">
        <v>28</v>
      </c>
      <c r="Q4" s="212"/>
      <c r="R4" s="212"/>
      <c r="S4" s="211">
        <f ca="1">NOW()</f>
        <v>45520.036700578705</v>
      </c>
      <c r="T4" s="211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225" t="s">
        <v>29</v>
      </c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</row>
    <row r="18" spans="2:64" ht="19.899999999999999" customHeight="1">
      <c r="B18" s="23"/>
      <c r="AP18" s="24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</row>
    <row r="19" spans="2:64" s="30" customFormat="1" ht="19.899999999999999" customHeight="1">
      <c r="B19" s="29"/>
      <c r="K19" s="31"/>
      <c r="AP19" s="32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</row>
    <row r="20" spans="2:64" ht="16.5" customHeight="1">
      <c r="B20" s="23"/>
      <c r="AP20" s="24"/>
      <c r="BB20" s="225"/>
      <c r="BC20" s="225"/>
      <c r="BD20" s="225"/>
      <c r="BE20" s="225"/>
      <c r="BF20" s="225"/>
      <c r="BG20" s="225"/>
      <c r="BH20" s="225"/>
      <c r="BI20" s="225"/>
      <c r="BJ20" s="225"/>
      <c r="BK20" s="225"/>
      <c r="BL20" s="225"/>
    </row>
    <row r="21" spans="2:64" ht="16.5" customHeight="1">
      <c r="B21" s="23"/>
      <c r="AP21" s="24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</row>
    <row r="22" spans="2:64" ht="16.5" customHeight="1">
      <c r="B22" s="23"/>
      <c r="AP22" s="24"/>
      <c r="BB22" s="225"/>
      <c r="BC22" s="225"/>
      <c r="BD22" s="225"/>
      <c r="BE22" s="225"/>
      <c r="BF22" s="225"/>
      <c r="BG22" s="225"/>
      <c r="BH22" s="225"/>
      <c r="BI22" s="225"/>
      <c r="BJ22" s="225"/>
      <c r="BK22" s="225"/>
      <c r="BL22" s="225"/>
    </row>
    <row r="23" spans="2:64" ht="16.5" customHeight="1">
      <c r="B23" s="23"/>
      <c r="AP23" s="24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</row>
    <row r="24" spans="2:64" ht="16.5" customHeight="1">
      <c r="B24" s="23"/>
      <c r="AP24" s="24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</row>
    <row r="25" spans="2:64" ht="16.5" customHeight="1">
      <c r="B25" s="23"/>
      <c r="AP25" s="24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</row>
    <row r="26" spans="2:64" ht="16.5" customHeight="1">
      <c r="B26" s="23"/>
      <c r="AP26" s="24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</row>
    <row r="27" spans="2:64" ht="16.5" customHeight="1">
      <c r="B27" s="23"/>
      <c r="AP27" s="24"/>
      <c r="BB27" s="225"/>
      <c r="BC27" s="225"/>
      <c r="BD27" s="225"/>
      <c r="BE27" s="225"/>
      <c r="BF27" s="225"/>
      <c r="BG27" s="225"/>
      <c r="BH27" s="225"/>
      <c r="BI27" s="225"/>
      <c r="BJ27" s="225"/>
      <c r="BK27" s="225"/>
      <c r="BL27" s="225"/>
    </row>
    <row r="28" spans="2:64" ht="16.5" customHeight="1">
      <c r="B28" s="23"/>
      <c r="AP28" s="24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</row>
    <row r="29" spans="2:64" ht="17.45" customHeight="1">
      <c r="B29" s="23"/>
      <c r="AP29" s="24"/>
      <c r="BB29" s="225"/>
      <c r="BC29" s="225"/>
      <c r="BD29" s="225"/>
      <c r="BE29" s="225"/>
      <c r="BF29" s="225"/>
      <c r="BG29" s="225"/>
      <c r="BH29" s="225"/>
      <c r="BI29" s="225"/>
      <c r="BJ29" s="225"/>
      <c r="BK29" s="225"/>
      <c r="BL29" s="225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2" t="s">
        <v>8</v>
      </c>
      <c r="E33" s="203"/>
      <c r="F33" s="200" t="s">
        <v>9</v>
      </c>
      <c r="G33" s="200"/>
      <c r="H33" s="200"/>
      <c r="I33" s="200"/>
      <c r="J33" s="200"/>
      <c r="K33" s="200"/>
      <c r="M33" s="44" t="s">
        <v>7</v>
      </c>
      <c r="N33" s="202" t="s">
        <v>8</v>
      </c>
      <c r="O33" s="203"/>
      <c r="P33" s="200" t="s">
        <v>9</v>
      </c>
      <c r="Q33" s="200"/>
      <c r="R33" s="200"/>
      <c r="S33" s="200"/>
      <c r="T33" s="200"/>
      <c r="U33" s="200"/>
      <c r="W33" s="44" t="s">
        <v>7</v>
      </c>
      <c r="X33" s="202" t="s">
        <v>8</v>
      </c>
      <c r="Y33" s="203"/>
      <c r="Z33" s="200" t="s">
        <v>9</v>
      </c>
      <c r="AA33" s="200"/>
      <c r="AB33" s="200"/>
      <c r="AC33" s="200"/>
      <c r="AD33" s="200"/>
      <c r="AE33" s="200"/>
      <c r="AG33" s="44" t="s">
        <v>7</v>
      </c>
      <c r="AH33" s="202" t="s">
        <v>8</v>
      </c>
      <c r="AI33" s="203"/>
      <c r="AJ33" s="200" t="s">
        <v>9</v>
      </c>
      <c r="AK33" s="200"/>
      <c r="AL33" s="200"/>
      <c r="AM33" s="200"/>
      <c r="AN33" s="200"/>
      <c r="AO33" s="200"/>
      <c r="AP33" s="45"/>
    </row>
    <row r="34" spans="2:42" s="46" customFormat="1" ht="75" customHeight="1">
      <c r="B34" s="47"/>
      <c r="C34" s="48">
        <v>1</v>
      </c>
      <c r="D34" s="197">
        <f ca="1">'JUSTIFICATIVA DE USINA'!C3</f>
        <v>14.386754845147152</v>
      </c>
      <c r="E34" s="197"/>
      <c r="F34" s="201">
        <f>'JUSTIFICATIVA DE USINA'!D3</f>
        <v>0</v>
      </c>
      <c r="G34" s="201"/>
      <c r="H34" s="201"/>
      <c r="I34" s="201"/>
      <c r="J34" s="201"/>
      <c r="K34" s="201"/>
      <c r="M34" s="48">
        <v>1</v>
      </c>
      <c r="N34" s="197">
        <f ca="1">'JUSTIFICATIVA DE USINA'!G3</f>
        <v>-1492.7600000000002</v>
      </c>
      <c r="O34" s="197"/>
      <c r="P34" s="201" t="str">
        <f>'JUSTIFICATIVA DE USINA'!H3</f>
        <v>Impacto Principal: - TR 3011/24: Classificação: atraso de manutenção preventiva,  falha no conversor de profhibus;</v>
      </c>
      <c r="Q34" s="201"/>
      <c r="R34" s="201"/>
      <c r="S34" s="201"/>
      <c r="T34" s="201"/>
      <c r="U34" s="201"/>
      <c r="W34" s="48">
        <v>1</v>
      </c>
      <c r="X34" s="197">
        <f ca="1">'JUSTIFICATIVA DE USINA'!K3</f>
        <v>-946.14159999999947</v>
      </c>
      <c r="Y34" s="197"/>
      <c r="Z34" s="201" t="str">
        <f>'JUSTIFICATIVA DE USINA'!L3</f>
        <v>Impacto Principal: - REP 02: baixa oferta de ROM, material do PUL BSM 07 fora da granulometria, REP 06: baixa oferta de ROM, DF da ESC 0901 manutenção corretiva;</v>
      </c>
      <c r="AA34" s="201"/>
      <c r="AB34" s="201"/>
      <c r="AC34" s="201"/>
      <c r="AD34" s="201"/>
      <c r="AE34" s="201"/>
      <c r="AG34" s="48">
        <v>1</v>
      </c>
      <c r="AH34" s="197">
        <f ca="1">'JUSTIFICATIVA DE USINA'!O3</f>
        <v>147.04166666666669</v>
      </c>
      <c r="AI34" s="197"/>
      <c r="AJ34" s="201">
        <f>'JUSTIFICATIVA DE USINA'!P3</f>
        <v>0</v>
      </c>
      <c r="AK34" s="201"/>
      <c r="AL34" s="201"/>
      <c r="AM34" s="201"/>
      <c r="AN34" s="201"/>
      <c r="AO34" s="201"/>
      <c r="AP34" s="49"/>
    </row>
    <row r="35" spans="2:42" s="46" customFormat="1" ht="75" customHeight="1">
      <c r="B35" s="47"/>
      <c r="C35" s="48">
        <v>2</v>
      </c>
      <c r="D35" s="197">
        <f ca="1">'JUSTIFICATIVA DE USINA'!C4</f>
        <v>674.6078011470745</v>
      </c>
      <c r="E35" s="197"/>
      <c r="F35" s="201">
        <f>'JUSTIFICATIVA DE USINA'!D4</f>
        <v>0</v>
      </c>
      <c r="G35" s="201"/>
      <c r="H35" s="201"/>
      <c r="I35" s="201"/>
      <c r="J35" s="201"/>
      <c r="K35" s="201"/>
      <c r="M35" s="48">
        <v>2</v>
      </c>
      <c r="N35" s="197">
        <f ca="1">'JUSTIFICATIVA DE USINA'!G4</f>
        <v>-1264.48</v>
      </c>
      <c r="O35" s="197"/>
      <c r="P35" s="201" t="str">
        <f>'JUSTIFICATIVA DE USINA'!H4</f>
        <v>Impacto Principal: - TR 3011/24: Classificação: atraso de manutenção preventiva,  falha no conversor de profhibus;</v>
      </c>
      <c r="Q35" s="201"/>
      <c r="R35" s="201"/>
      <c r="S35" s="201"/>
      <c r="T35" s="201"/>
      <c r="U35" s="201"/>
      <c r="W35" s="48">
        <v>2</v>
      </c>
      <c r="X35" s="197">
        <f ca="1">'JUSTIFICATIVA DE USINA'!K4</f>
        <v>-1392.1032</v>
      </c>
      <c r="Y35" s="197"/>
      <c r="Z35" s="201" t="str">
        <f>'JUSTIFICATIVA DE USINA'!L4</f>
        <v>Impacto Principal: - REP 02: baixa oferta de ROM, material do PUL BSM 07 fora da granulometria, REP 06: baixa oferta de ROM, DF da ESC 0901 manutenção corretiva;</v>
      </c>
      <c r="AA35" s="201"/>
      <c r="AB35" s="201"/>
      <c r="AC35" s="201"/>
      <c r="AD35" s="201"/>
      <c r="AE35" s="201"/>
      <c r="AG35" s="48">
        <v>2</v>
      </c>
      <c r="AH35" s="197">
        <f ca="1">'JUSTIFICATIVA DE USINA'!O4</f>
        <v>62.041666666666686</v>
      </c>
      <c r="AI35" s="197"/>
      <c r="AJ35" s="201">
        <f>'JUSTIFICATIVA DE USINA'!P4</f>
        <v>0</v>
      </c>
      <c r="AK35" s="201"/>
      <c r="AL35" s="201"/>
      <c r="AM35" s="201"/>
      <c r="AN35" s="201"/>
      <c r="AO35" s="201"/>
      <c r="AP35" s="49"/>
    </row>
    <row r="36" spans="2:42" s="46" customFormat="1" ht="75" customHeight="1">
      <c r="B36" s="47"/>
      <c r="C36" s="48">
        <v>3</v>
      </c>
      <c r="D36" s="197">
        <f ca="1">'JUSTIFICATIVA DE USINA'!C5</f>
        <v>576.96107720957389</v>
      </c>
      <c r="E36" s="197"/>
      <c r="F36" s="201">
        <f>'JUSTIFICATIVA DE USINA'!D5</f>
        <v>0</v>
      </c>
      <c r="G36" s="201"/>
      <c r="H36" s="201"/>
      <c r="I36" s="201"/>
      <c r="J36" s="201"/>
      <c r="K36" s="201"/>
      <c r="M36" s="48">
        <v>3</v>
      </c>
      <c r="N36" s="197">
        <f ca="1">'JUSTIFICATIVA DE USINA'!G5</f>
        <v>-4203.2</v>
      </c>
      <c r="O36" s="197"/>
      <c r="P36" s="201" t="str">
        <f>'JUSTIFICATIVA DE USINA'!H5</f>
        <v>Impacto Principal: - TR 3011/24: Classificação: atraso de manutenção preventiva,  falha no conversor de profhibus;</v>
      </c>
      <c r="Q36" s="201"/>
      <c r="R36" s="201"/>
      <c r="S36" s="201"/>
      <c r="T36" s="201"/>
      <c r="U36" s="201"/>
      <c r="W36" s="48">
        <v>3</v>
      </c>
      <c r="X36" s="197">
        <f ca="1">'JUSTIFICATIVA DE USINA'!K5</f>
        <v>-585.37199999999984</v>
      </c>
      <c r="Y36" s="197"/>
      <c r="Z36" s="201" t="str">
        <f>'JUSTIFICATIVA DE USINA'!L5</f>
        <v>Impacto Principal: -  REP 06: baixa oferta de ROM,  ESC 0901 priorizando alimentação para US1 correção do blend;</v>
      </c>
      <c r="AA36" s="201"/>
      <c r="AB36" s="201"/>
      <c r="AC36" s="201"/>
      <c r="AD36" s="201"/>
      <c r="AE36" s="201"/>
      <c r="AG36" s="48">
        <v>3</v>
      </c>
      <c r="AH36" s="197">
        <f ca="1">'JUSTIFICATIVA DE USINA'!O5</f>
        <v>206.04166666666669</v>
      </c>
      <c r="AI36" s="197"/>
      <c r="AJ36" s="201" t="e">
        <f>'JUSTIFICATIVA DE USINA'!#REF!</f>
        <v>#REF!</v>
      </c>
      <c r="AK36" s="201"/>
      <c r="AL36" s="201"/>
      <c r="AM36" s="201"/>
      <c r="AN36" s="201"/>
      <c r="AO36" s="201"/>
      <c r="AP36" s="49"/>
    </row>
    <row r="37" spans="2:42" s="46" customFormat="1" ht="75" customHeight="1">
      <c r="B37" s="47"/>
      <c r="C37" s="48">
        <v>4</v>
      </c>
      <c r="D37" s="197">
        <f ca="1">'JUSTIFICATIVA DE USINA'!C6</f>
        <v>313.13746012935462</v>
      </c>
      <c r="E37" s="197"/>
      <c r="F37" s="201">
        <f>'JUSTIFICATIVA DE USINA'!D6</f>
        <v>0</v>
      </c>
      <c r="G37" s="201"/>
      <c r="H37" s="201"/>
      <c r="I37" s="201"/>
      <c r="J37" s="201"/>
      <c r="K37" s="201"/>
      <c r="M37" s="48">
        <v>4</v>
      </c>
      <c r="N37" s="197">
        <f ca="1">'JUSTIFICATIVA DE USINA'!G6</f>
        <v>-882.07999999999993</v>
      </c>
      <c r="O37" s="197"/>
      <c r="P37" s="201" t="str">
        <f>'JUSTIFICATIVA DE USINA'!H6</f>
        <v>Impacto Principal: - TR 3011/24: Classificação: atraso de manutenção preventiva,  falha no conversor de profhibus;</v>
      </c>
      <c r="Q37" s="201"/>
      <c r="R37" s="201"/>
      <c r="S37" s="201"/>
      <c r="T37" s="201"/>
      <c r="U37" s="201"/>
      <c r="W37" s="48">
        <v>4</v>
      </c>
      <c r="X37" s="197">
        <f ca="1">'JUSTIFICATIVA DE USINA'!K6</f>
        <v>-195.37199999999984</v>
      </c>
      <c r="Y37" s="197"/>
      <c r="Z37" s="201"/>
      <c r="AA37" s="201"/>
      <c r="AB37" s="201"/>
      <c r="AC37" s="201"/>
      <c r="AD37" s="201"/>
      <c r="AE37" s="201"/>
      <c r="AG37" s="48">
        <v>4</v>
      </c>
      <c r="AH37" s="197">
        <f ca="1">'JUSTIFICATIVA DE USINA'!O6</f>
        <v>78.041666666666686</v>
      </c>
      <c r="AI37" s="197"/>
      <c r="AJ37" s="201">
        <f>'JUSTIFICATIVA DE USINA'!P5</f>
        <v>0</v>
      </c>
      <c r="AK37" s="201"/>
      <c r="AL37" s="201"/>
      <c r="AM37" s="201"/>
      <c r="AN37" s="201"/>
      <c r="AO37" s="201"/>
      <c r="AP37" s="49"/>
    </row>
    <row r="38" spans="2:42" s="46" customFormat="1" ht="75" customHeight="1">
      <c r="B38" s="47"/>
      <c r="C38" s="48">
        <v>5</v>
      </c>
      <c r="D38" s="197">
        <f ca="1">'JUSTIFICATIVA DE USINA'!C7</f>
        <v>765.13016790138317</v>
      </c>
      <c r="E38" s="197"/>
      <c r="F38" s="201">
        <f>'JUSTIFICATIVA DE USINA'!D7</f>
        <v>0</v>
      </c>
      <c r="G38" s="201"/>
      <c r="H38" s="201"/>
      <c r="I38" s="201"/>
      <c r="J38" s="201"/>
      <c r="K38" s="201"/>
      <c r="M38" s="48">
        <v>5</v>
      </c>
      <c r="N38" s="197">
        <f ca="1">'JUSTIFICATIVA DE USINA'!G7</f>
        <v>-3707.84</v>
      </c>
      <c r="O38" s="197"/>
      <c r="P38" s="201" t="s">
        <v>140</v>
      </c>
      <c r="Q38" s="201"/>
      <c r="R38" s="201"/>
      <c r="S38" s="201"/>
      <c r="T38" s="201"/>
      <c r="U38" s="201"/>
      <c r="W38" s="48">
        <v>5</v>
      </c>
      <c r="X38" s="197">
        <f ca="1">'JUSTIFICATIVA DE USINA'!K7</f>
        <v>915.93560000000002</v>
      </c>
      <c r="Y38" s="197"/>
      <c r="Z38" s="201">
        <f>'JUSTIFICATIVA DE USINA'!L7</f>
        <v>0</v>
      </c>
      <c r="AA38" s="201"/>
      <c r="AB38" s="201"/>
      <c r="AC38" s="201"/>
      <c r="AD38" s="201"/>
      <c r="AE38" s="201"/>
      <c r="AG38" s="48">
        <v>5</v>
      </c>
      <c r="AH38" s="197">
        <f ca="1">'JUSTIFICATIVA DE USINA'!O7</f>
        <v>213.04166666666669</v>
      </c>
      <c r="AI38" s="197"/>
      <c r="AJ38" s="201">
        <f>'JUSTIFICATIVA DE USINA'!P7</f>
        <v>0</v>
      </c>
      <c r="AK38" s="201"/>
      <c r="AL38" s="201"/>
      <c r="AM38" s="201"/>
      <c r="AN38" s="201"/>
      <c r="AO38" s="201"/>
      <c r="AP38" s="49"/>
    </row>
    <row r="39" spans="2:42" s="46" customFormat="1" ht="75" customHeight="1">
      <c r="B39" s="47"/>
      <c r="C39" s="48" t="s">
        <v>17</v>
      </c>
      <c r="D39" s="197">
        <f ca="1">'JUSTIFICATIVA DE USINA'!C8</f>
        <v>1988.1460726467285</v>
      </c>
      <c r="E39" s="197"/>
      <c r="F39" s="201">
        <f>'JUSTIFICATIVA DE USINA'!D8</f>
        <v>0</v>
      </c>
      <c r="G39" s="201"/>
      <c r="H39" s="201"/>
      <c r="I39" s="201"/>
      <c r="J39" s="201"/>
      <c r="K39" s="201"/>
      <c r="M39" s="48" t="s">
        <v>17</v>
      </c>
      <c r="N39" s="197">
        <f ca="1">'JUSTIFICATIVA DE USINA'!G8</f>
        <v>-2584.08</v>
      </c>
      <c r="O39" s="197"/>
      <c r="P39" s="206" t="str">
        <f>'JUSTIFICATIVA DE USINA'!H8</f>
        <v>Impacto Principal: - BSM5 atraso de preventiva (TR 2030-02 falha no sensor de rasgo e BR 2010KN01 com Falha no contactor);</v>
      </c>
      <c r="Q39" s="207"/>
      <c r="R39" s="207"/>
      <c r="S39" s="207"/>
      <c r="T39" s="207"/>
      <c r="U39" s="208"/>
      <c r="W39" s="48" t="s">
        <v>17</v>
      </c>
      <c r="X39" s="197">
        <f ca="1">'JUSTIFICATIVA DE USINA'!K8</f>
        <v>644.8735999999999</v>
      </c>
      <c r="Y39" s="197"/>
      <c r="Z39" s="201">
        <f>'JUSTIFICATIVA DE USINA'!L8</f>
        <v>0</v>
      </c>
      <c r="AA39" s="201"/>
      <c r="AB39" s="201"/>
      <c r="AC39" s="201"/>
      <c r="AD39" s="201"/>
      <c r="AE39" s="201"/>
      <c r="AG39" s="48" t="s">
        <v>17</v>
      </c>
      <c r="AH39" s="197">
        <f ca="1">'JUSTIFICATIVA DE USINA'!O8</f>
        <v>18.041666666666686</v>
      </c>
      <c r="AI39" s="197"/>
      <c r="AJ39" s="201">
        <f>'JUSTIFICATIVA DE USINA'!P8</f>
        <v>0</v>
      </c>
      <c r="AK39" s="201"/>
      <c r="AL39" s="201"/>
      <c r="AM39" s="201"/>
      <c r="AN39" s="201"/>
      <c r="AO39" s="201"/>
      <c r="AP39" s="49"/>
    </row>
    <row r="40" spans="2:42" s="46" customFormat="1" ht="75" customHeight="1">
      <c r="B40" s="47"/>
      <c r="C40" s="48">
        <v>7</v>
      </c>
      <c r="D40" s="197">
        <f ca="1">'JUSTIFICATIVA DE USINA'!C9</f>
        <v>457.20384994769847</v>
      </c>
      <c r="E40" s="197"/>
      <c r="F40" s="201">
        <f>'JUSTIFICATIVA DE USINA'!D9</f>
        <v>0</v>
      </c>
      <c r="G40" s="201"/>
      <c r="H40" s="201"/>
      <c r="I40" s="201"/>
      <c r="J40" s="201"/>
      <c r="K40" s="201"/>
      <c r="M40" s="48">
        <v>7</v>
      </c>
      <c r="N40" s="197">
        <f ca="1">'JUSTIFICATIVA DE USINA'!G9</f>
        <v>-4496.88</v>
      </c>
      <c r="O40" s="197"/>
      <c r="P40" s="201" t="str">
        <f>'JUSTIFICATIVA DE USINA'!H9</f>
        <v>Impacto Principal: - BSM5 atraso de preventiva (TR 2030-02 falha no sensor de rasgo e BR 2010KN01 com Falha no contactor);</v>
      </c>
      <c r="Q40" s="201"/>
      <c r="R40" s="201"/>
      <c r="S40" s="201"/>
      <c r="T40" s="201"/>
      <c r="U40" s="201"/>
      <c r="W40" s="48">
        <v>7</v>
      </c>
      <c r="X40" s="197">
        <f ca="1">'JUSTIFICATIVA DE USINA'!K9</f>
        <v>-73.663199999999961</v>
      </c>
      <c r="Y40" s="197"/>
      <c r="Z40" s="201">
        <f>'JUSTIFICATIVA DE USINA'!L9</f>
        <v>0</v>
      </c>
      <c r="AA40" s="201"/>
      <c r="AB40" s="201"/>
      <c r="AC40" s="201"/>
      <c r="AD40" s="201"/>
      <c r="AE40" s="201"/>
      <c r="AG40" s="48">
        <v>7</v>
      </c>
      <c r="AH40" s="197">
        <f ca="1">'JUSTIFICATIVA DE USINA'!O9</f>
        <v>-142.95833333333331</v>
      </c>
      <c r="AI40" s="197"/>
      <c r="AJ40" s="201">
        <f>'JUSTIFICATIVA DE USINA'!P9</f>
        <v>0</v>
      </c>
      <c r="AK40" s="201"/>
      <c r="AL40" s="201"/>
      <c r="AM40" s="201"/>
      <c r="AN40" s="201"/>
      <c r="AO40" s="201"/>
      <c r="AP40" s="49"/>
    </row>
    <row r="41" spans="2:42" s="46" customFormat="1" ht="75" customHeight="1">
      <c r="B41" s="47"/>
      <c r="C41" s="48">
        <v>8</v>
      </c>
      <c r="D41" s="197">
        <f ca="1">'JUSTIFICATIVA DE USINA'!C10</f>
        <v>-7.2630201092288189</v>
      </c>
      <c r="E41" s="197"/>
      <c r="F41" s="201">
        <f>'JUSTIFICATIVA DE USINA'!D10</f>
        <v>0</v>
      </c>
      <c r="G41" s="201"/>
      <c r="H41" s="201"/>
      <c r="I41" s="201"/>
      <c r="J41" s="201"/>
      <c r="K41" s="201"/>
      <c r="M41" s="48">
        <v>8</v>
      </c>
      <c r="N41" s="197">
        <f ca="1">'JUSTIFICATIVA DE USINA'!G10</f>
        <v>-4786.08</v>
      </c>
      <c r="O41" s="197"/>
      <c r="P41" s="201" t="str">
        <f>'JUSTIFICATIVA DE USINA'!H10</f>
        <v>Impacto Principal: - BSM5 atraso de preventiva (TR 2030-02 falha no sensor de rasgo e BR 2010KN01 com Falha no contactor);</v>
      </c>
      <c r="Q41" s="201"/>
      <c r="R41" s="201"/>
      <c r="S41" s="201"/>
      <c r="T41" s="201"/>
      <c r="U41" s="201"/>
      <c r="W41" s="48">
        <v>8</v>
      </c>
      <c r="X41" s="197">
        <f ca="1">'JUSTIFICATIVA DE USINA'!K10</f>
        <v>1136.0583999999999</v>
      </c>
      <c r="Y41" s="197"/>
      <c r="Z41" s="201">
        <f>'JUSTIFICATIVA DE USINA'!L10</f>
        <v>0</v>
      </c>
      <c r="AA41" s="201"/>
      <c r="AB41" s="201"/>
      <c r="AC41" s="201"/>
      <c r="AD41" s="201"/>
      <c r="AE41" s="201"/>
      <c r="AG41" s="48">
        <v>8</v>
      </c>
      <c r="AH41" s="197">
        <f ca="1">'JUSTIFICATIVA DE USINA'!O10</f>
        <v>66.041666666666686</v>
      </c>
      <c r="AI41" s="197"/>
      <c r="AJ41" s="201">
        <f>'JUSTIFICATIVA DE USINA'!P10</f>
        <v>0</v>
      </c>
      <c r="AK41" s="201"/>
      <c r="AL41" s="201"/>
      <c r="AM41" s="201"/>
      <c r="AN41" s="201"/>
      <c r="AO41" s="201"/>
      <c r="AP41" s="49"/>
    </row>
    <row r="42" spans="2:42" s="46" customFormat="1" ht="75" customHeight="1">
      <c r="B42" s="47"/>
      <c r="C42" s="48">
        <v>9</v>
      </c>
      <c r="D42" s="197">
        <f ca="1">'JUSTIFICATIVA DE USINA'!C11</f>
        <v>-782.35572788125319</v>
      </c>
      <c r="E42" s="197"/>
      <c r="F42" s="201" t="str">
        <f>'JUSTIFICATIVA DE USINA'!D11</f>
        <v>Impacto Principal: - BSM2 e 06 Insdisponibilidade de Retro (grelha obstruida);</v>
      </c>
      <c r="G42" s="201"/>
      <c r="H42" s="201"/>
      <c r="I42" s="201"/>
      <c r="J42" s="201"/>
      <c r="K42" s="201"/>
      <c r="M42" s="48">
        <v>9</v>
      </c>
      <c r="N42" s="197">
        <f ca="1">'JUSTIFICATIVA DE USINA'!G11</f>
        <v>-3996.6800000000003</v>
      </c>
      <c r="O42" s="197"/>
      <c r="P42" s="201" t="str">
        <f>'JUSTIFICATIVA DE USINA'!H11</f>
        <v>Impacto Principal: - BSM5 atraso de preventiva (TR 2030-02 falha no sensor de rasgo e BR 2010KN01 com Falha no contactor);</v>
      </c>
      <c r="Q42" s="201"/>
      <c r="R42" s="201"/>
      <c r="S42" s="201"/>
      <c r="T42" s="201"/>
      <c r="U42" s="201"/>
      <c r="W42" s="48">
        <v>9</v>
      </c>
      <c r="X42" s="197">
        <f ca="1">'JUSTIFICATIVA DE USINA'!K11</f>
        <v>596.1812000000001</v>
      </c>
      <c r="Y42" s="197"/>
      <c r="Z42" s="201">
        <f>'JUSTIFICATIVA DE USINA'!L11</f>
        <v>0</v>
      </c>
      <c r="AA42" s="201"/>
      <c r="AB42" s="201"/>
      <c r="AC42" s="201"/>
      <c r="AD42" s="201"/>
      <c r="AE42" s="201"/>
      <c r="AG42" s="48">
        <v>9</v>
      </c>
      <c r="AH42" s="197">
        <f ca="1">'JUSTIFICATIVA DE USINA'!O11</f>
        <v>145.04166666666669</v>
      </c>
      <c r="AI42" s="197"/>
      <c r="AJ42" s="201">
        <f>'JUSTIFICATIVA DE USINA'!P11</f>
        <v>0</v>
      </c>
      <c r="AK42" s="201"/>
      <c r="AL42" s="201"/>
      <c r="AM42" s="201"/>
      <c r="AN42" s="201"/>
      <c r="AO42" s="201"/>
      <c r="AP42" s="49"/>
    </row>
    <row r="43" spans="2:42" s="46" customFormat="1" ht="75" customHeight="1">
      <c r="B43" s="47"/>
      <c r="C43" s="48">
        <v>10</v>
      </c>
      <c r="D43" s="197">
        <f ca="1">'JUSTIFICATIVA DE USINA'!C12</f>
        <v>-1282.7487857966898</v>
      </c>
      <c r="E43" s="197"/>
      <c r="F43" s="201" t="str">
        <f>'JUSTIFICATIVA DE USINA'!D12</f>
        <v>Impacto Principal: -  Baixa oferta ESC 1002 reposicionamento e ESC 0901 corretiva.</v>
      </c>
      <c r="G43" s="201"/>
      <c r="H43" s="201"/>
      <c r="I43" s="201"/>
      <c r="J43" s="201"/>
      <c r="K43" s="201"/>
      <c r="M43" s="48">
        <v>10</v>
      </c>
      <c r="N43" s="197">
        <f ca="1">'JUSTIFICATIVA DE USINA'!G12</f>
        <v>-4600.8</v>
      </c>
      <c r="O43" s="197"/>
      <c r="P43" s="201" t="str">
        <f>'JUSTIFICATIVA DE USINA'!H12</f>
        <v>Impacto Principal: - BSM5 PUL-N4WN-NW2-600-A PM em locomoção;</v>
      </c>
      <c r="Q43" s="201"/>
      <c r="R43" s="201"/>
      <c r="S43" s="201"/>
      <c r="T43" s="201"/>
      <c r="U43" s="201"/>
      <c r="W43" s="48">
        <v>10</v>
      </c>
      <c r="X43" s="197">
        <f ca="1">'JUSTIFICATIVA DE USINA'!K12</f>
        <v>568.2912</v>
      </c>
      <c r="Y43" s="197"/>
      <c r="Z43" s="201">
        <f>'JUSTIFICATIVA DE USINA'!L12</f>
        <v>0</v>
      </c>
      <c r="AA43" s="201"/>
      <c r="AB43" s="201"/>
      <c r="AC43" s="201"/>
      <c r="AD43" s="201"/>
      <c r="AE43" s="201"/>
      <c r="AG43" s="48">
        <v>10</v>
      </c>
      <c r="AH43" s="197">
        <f ca="1">'JUSTIFICATIVA DE USINA'!O12</f>
        <v>212.04166666666669</v>
      </c>
      <c r="AI43" s="197"/>
      <c r="AJ43" s="201">
        <f>'JUSTIFICATIVA DE USINA'!P12</f>
        <v>0</v>
      </c>
      <c r="AK43" s="201"/>
      <c r="AL43" s="201"/>
      <c r="AM43" s="201"/>
      <c r="AN43" s="201"/>
      <c r="AO43" s="201"/>
      <c r="AP43" s="49"/>
    </row>
    <row r="44" spans="2:42" s="46" customFormat="1" ht="75" customHeight="1">
      <c r="B44" s="47"/>
      <c r="C44" s="48">
        <v>11</v>
      </c>
      <c r="D44" s="197">
        <f ca="1">'JUSTIFICATIVA DE USINA'!C13</f>
        <v>-316.58059545036122</v>
      </c>
      <c r="E44" s="197"/>
      <c r="F44" s="201" t="str">
        <f>'JUSTIFICATIVA DE USINA'!D13</f>
        <v>Impacto Principal: -  Baixa oferta  ESC 0901 corretiva.</v>
      </c>
      <c r="G44" s="201"/>
      <c r="H44" s="201"/>
      <c r="I44" s="201"/>
      <c r="J44" s="201"/>
      <c r="K44" s="201"/>
      <c r="M44" s="48">
        <v>11</v>
      </c>
      <c r="N44" s="197">
        <f ca="1">'JUSTIFICATIVA DE USINA'!G13</f>
        <v>-2829.2799999999997</v>
      </c>
      <c r="O44" s="197"/>
      <c r="P44" s="201" t="str">
        <f>'JUSTIFICATIVA DE USINA'!H13</f>
        <v>Impacto Principal: - BSM5 PUL-N4WN-NW2-600-A PM em locomoção;</v>
      </c>
      <c r="Q44" s="201"/>
      <c r="R44" s="201"/>
      <c r="S44" s="201"/>
      <c r="T44" s="201"/>
      <c r="U44" s="201"/>
      <c r="W44" s="48">
        <v>11</v>
      </c>
      <c r="X44" s="197">
        <f ca="1">'JUSTIFICATIVA DE USINA'!K13</f>
        <v>866.58240000000001</v>
      </c>
      <c r="Y44" s="197"/>
      <c r="Z44" s="201">
        <f>'JUSTIFICATIVA DE USINA'!L13</f>
        <v>0</v>
      </c>
      <c r="AA44" s="201"/>
      <c r="AB44" s="201"/>
      <c r="AC44" s="201"/>
      <c r="AD44" s="201"/>
      <c r="AE44" s="201"/>
      <c r="AG44" s="48">
        <v>11</v>
      </c>
      <c r="AH44" s="197">
        <f ca="1">'JUSTIFICATIVA DE USINA'!O13</f>
        <v>230.04166666666669</v>
      </c>
      <c r="AI44" s="197"/>
      <c r="AJ44" s="201">
        <f>'JUSTIFICATIVA DE USINA'!P13</f>
        <v>0</v>
      </c>
      <c r="AK44" s="201"/>
      <c r="AL44" s="201"/>
      <c r="AM44" s="201"/>
      <c r="AN44" s="201"/>
      <c r="AO44" s="201"/>
      <c r="AP44" s="49"/>
    </row>
    <row r="45" spans="2:42" s="46" customFormat="1" ht="75" customHeight="1">
      <c r="B45" s="47"/>
      <c r="C45" s="48">
        <v>12</v>
      </c>
      <c r="D45" s="197">
        <f ca="1">'JUSTIFICATIVA DE USINA'!C14</f>
        <v>-1154.4055328199793</v>
      </c>
      <c r="E45" s="197"/>
      <c r="F45" s="201" t="str">
        <f>'JUSTIFICATIVA DE USINA'!D14</f>
        <v>Impacto Principal: -  Baixa oferta ESC 1002 reposicionamento e ESC 0901 corretiva.</v>
      </c>
      <c r="G45" s="201"/>
      <c r="H45" s="201"/>
      <c r="I45" s="201"/>
      <c r="J45" s="201"/>
      <c r="K45" s="201"/>
      <c r="M45" s="48">
        <v>12</v>
      </c>
      <c r="N45" s="197">
        <f ca="1">'JUSTIFICATIVA DE USINA'!G14</f>
        <v>-949.19999999999982</v>
      </c>
      <c r="O45" s="197"/>
      <c r="P45" s="201" t="str">
        <f>'JUSTIFICATIVA DE USINA'!H14</f>
        <v>Impacto Principal: - BSM5 PUL-N4WN-NW2-600-A PM em locomoção;</v>
      </c>
      <c r="Q45" s="201"/>
      <c r="R45" s="201"/>
      <c r="S45" s="201"/>
      <c r="T45" s="201"/>
      <c r="U45" s="201"/>
      <c r="W45" s="48">
        <v>12</v>
      </c>
      <c r="X45" s="197">
        <f ca="1">'JUSTIFICATIVA DE USINA'!K14</f>
        <v>-832.76399999999967</v>
      </c>
      <c r="Y45" s="197"/>
      <c r="Z45" s="201" t="str">
        <f>'JUSTIFICATIVA DE USINA'!L14</f>
        <v>Impacto Principal: - REP6 baixa oferta ESC 0901 corretiiva;</v>
      </c>
      <c r="AA45" s="201"/>
      <c r="AB45" s="201"/>
      <c r="AC45" s="201"/>
      <c r="AD45" s="201"/>
      <c r="AE45" s="201"/>
      <c r="AG45" s="48">
        <v>12</v>
      </c>
      <c r="AH45" s="197">
        <f ca="1">'JUSTIFICATIVA DE USINA'!O14</f>
        <v>254.04166666666669</v>
      </c>
      <c r="AI45" s="197"/>
      <c r="AJ45" s="201">
        <f>'JUSTIFICATIVA DE USINA'!P14</f>
        <v>0</v>
      </c>
      <c r="AK45" s="201"/>
      <c r="AL45" s="201"/>
      <c r="AM45" s="201"/>
      <c r="AN45" s="201"/>
      <c r="AO45" s="201"/>
      <c r="AP45" s="49"/>
    </row>
    <row r="46" spans="2:42" s="46" customFormat="1" ht="75" customHeight="1">
      <c r="B46" s="47"/>
      <c r="C46" s="48">
        <v>13</v>
      </c>
      <c r="D46" s="197">
        <f ca="1">'JUSTIFICATIVA DE USINA'!C15</f>
        <v>-1629.4111546151453</v>
      </c>
      <c r="E46" s="197"/>
      <c r="F46" s="201" t="str">
        <f>'JUSTIFICATIVA DE USINA'!D15</f>
        <v>Impacto Principal: -  EIXO N5 Baixa DF de transporte, BSM2 DF da Retro 1121;</v>
      </c>
      <c r="G46" s="201"/>
      <c r="H46" s="201"/>
      <c r="I46" s="201"/>
      <c r="J46" s="201"/>
      <c r="K46" s="201"/>
      <c r="M46" s="48">
        <v>13</v>
      </c>
      <c r="N46" s="197">
        <f ca="1">'JUSTIFICATIVA DE USINA'!G15</f>
        <v>-1967.88</v>
      </c>
      <c r="O46" s="197"/>
      <c r="P46" s="201" t="str">
        <f>'JUSTIFICATIVA DE USINA'!H15</f>
        <v>Impacto Principal: - Classificação/Si08 falha na sonda;</v>
      </c>
      <c r="Q46" s="201"/>
      <c r="R46" s="201"/>
      <c r="S46" s="201"/>
      <c r="T46" s="201"/>
      <c r="U46" s="201"/>
      <c r="W46" s="48">
        <v>13</v>
      </c>
      <c r="X46" s="197">
        <f ca="1">'JUSTIFICATIVA DE USINA'!K15</f>
        <v>-612.76399999999967</v>
      </c>
      <c r="Y46" s="197"/>
      <c r="Z46" s="201" t="str">
        <f>'JUSTIFICATIVA DE USINA'!L15</f>
        <v>Impacto Principal: - REP6 baixa oferta ESC 0901 corretiiva;</v>
      </c>
      <c r="AA46" s="201"/>
      <c r="AB46" s="201"/>
      <c r="AC46" s="201"/>
      <c r="AD46" s="201"/>
      <c r="AE46" s="201"/>
      <c r="AG46" s="48">
        <v>13</v>
      </c>
      <c r="AH46" s="197">
        <f ca="1">'JUSTIFICATIVA DE USINA'!O15</f>
        <v>250.04166666666669</v>
      </c>
      <c r="AI46" s="197"/>
      <c r="AJ46" s="201">
        <f>'JUSTIFICATIVA DE USINA'!P15</f>
        <v>0</v>
      </c>
      <c r="AK46" s="201"/>
      <c r="AL46" s="201"/>
      <c r="AM46" s="201"/>
      <c r="AN46" s="201"/>
      <c r="AO46" s="201"/>
      <c r="AP46" s="49"/>
    </row>
    <row r="47" spans="2:42" s="46" customFormat="1" ht="75" customHeight="1">
      <c r="B47" s="47"/>
      <c r="C47" s="48">
        <v>14</v>
      </c>
      <c r="D47" s="197">
        <f ca="1">'JUSTIFICATIVA DE USINA'!C16</f>
        <v>-1430.8994910808997</v>
      </c>
      <c r="E47" s="197"/>
      <c r="F47" s="201" t="str">
        <f>'JUSTIFICATIVA DE USINA'!D15</f>
        <v>Impacto Principal: -  EIXO N5 Baixa DF de transporte, BSM2 DF da Retro 1121;</v>
      </c>
      <c r="G47" s="201"/>
      <c r="H47" s="201"/>
      <c r="I47" s="201"/>
      <c r="J47" s="201"/>
      <c r="K47" s="201"/>
      <c r="M47" s="48">
        <v>14</v>
      </c>
      <c r="N47" s="197">
        <f ca="1">'JUSTIFICATIVA DE USINA'!G16</f>
        <v>-4115.3599999999997</v>
      </c>
      <c r="O47" s="197"/>
      <c r="P47" s="201" t="str">
        <f>'JUSTIFICATIVA DE USINA'!H15</f>
        <v>Impacto Principal: - Classificação/Si08 falha na sonda;</v>
      </c>
      <c r="Q47" s="201"/>
      <c r="R47" s="201"/>
      <c r="S47" s="201"/>
      <c r="T47" s="201"/>
      <c r="U47" s="201"/>
      <c r="W47" s="48">
        <v>14</v>
      </c>
      <c r="X47" s="197">
        <f ca="1">'JUSTIFICATIVA DE USINA'!K16</f>
        <v>-889.4692</v>
      </c>
      <c r="Y47" s="197"/>
      <c r="Z47" s="201" t="str">
        <f>'JUSTIFICATIVA DE USINA'!L16</f>
        <v>Impacto Principal: - REP6 baixa oferta ESC 0901 corretiiva;</v>
      </c>
      <c r="AA47" s="201"/>
      <c r="AB47" s="201"/>
      <c r="AC47" s="201"/>
      <c r="AD47" s="201"/>
      <c r="AE47" s="201"/>
      <c r="AG47" s="48">
        <v>14</v>
      </c>
      <c r="AH47" s="197">
        <f ca="1">'JUSTIFICATIVA DE USINA'!O16</f>
        <v>-138.95833333333331</v>
      </c>
      <c r="AI47" s="197"/>
      <c r="AJ47" s="201">
        <f>'JUSTIFICATIVA DE USINA'!P16</f>
        <v>0</v>
      </c>
      <c r="AK47" s="201"/>
      <c r="AL47" s="201"/>
      <c r="AM47" s="201"/>
      <c r="AN47" s="201"/>
      <c r="AO47" s="201"/>
      <c r="AP47" s="49"/>
    </row>
    <row r="48" spans="2:42" s="46" customFormat="1" ht="75" customHeight="1">
      <c r="B48" s="47"/>
      <c r="C48" s="48">
        <v>15</v>
      </c>
      <c r="D48" s="197">
        <f ca="1">'JUSTIFICATIVA DE USINA'!C17</f>
        <v>-104.80553281998073</v>
      </c>
      <c r="E48" s="197"/>
      <c r="F48" s="201" t="e">
        <f>'JUSTIFICATIVA DE USINA'!#REF!</f>
        <v>#REF!</v>
      </c>
      <c r="G48" s="201"/>
      <c r="H48" s="201"/>
      <c r="I48" s="201"/>
      <c r="J48" s="201"/>
      <c r="K48" s="201"/>
      <c r="M48" s="48">
        <v>15</v>
      </c>
      <c r="N48" s="197">
        <f ca="1">'JUSTIFICATIVA DE USINA'!G17</f>
        <v>-4963.8</v>
      </c>
      <c r="O48" s="197"/>
      <c r="P48" s="201" t="str">
        <f>'JUSTIFICATIVA DE USINA'!H16</f>
        <v>Impacto Principal: -BSM5/TR 2030-02 desalinhamento e PN 2030-10 falha no inversor;</v>
      </c>
      <c r="Q48" s="201"/>
      <c r="R48" s="201"/>
      <c r="S48" s="201"/>
      <c r="T48" s="201"/>
      <c r="U48" s="201"/>
      <c r="W48" s="48">
        <v>15</v>
      </c>
      <c r="X48" s="197">
        <f ca="1">'JUSTIFICATIVA DE USINA'!K17</f>
        <v>-731.57919999999967</v>
      </c>
      <c r="Y48" s="197"/>
      <c r="Z48" s="201" t="str">
        <f>'JUSTIFICATIVA DE USINA'!L17</f>
        <v>Impacto Principal: - REP6 baixa oferta ESC 0901 corretiiva;</v>
      </c>
      <c r="AA48" s="201"/>
      <c r="AB48" s="201"/>
      <c r="AC48" s="201"/>
      <c r="AD48" s="201"/>
      <c r="AE48" s="201"/>
      <c r="AG48" s="48">
        <v>15</v>
      </c>
      <c r="AH48" s="197">
        <f ca="1">'JUSTIFICATIVA DE USINA'!O17</f>
        <v>-142.95833333333331</v>
      </c>
      <c r="AI48" s="197"/>
      <c r="AJ48" s="201">
        <f>'JUSTIFICATIVA DE USINA'!P18</f>
        <v>0</v>
      </c>
      <c r="AK48" s="201"/>
      <c r="AL48" s="201"/>
      <c r="AM48" s="201"/>
      <c r="AN48" s="201"/>
      <c r="AO48" s="201"/>
      <c r="AP48" s="49"/>
    </row>
    <row r="49" spans="2:42" s="46" customFormat="1" ht="75" customHeight="1">
      <c r="B49" s="47"/>
      <c r="C49" s="48">
        <v>16</v>
      </c>
      <c r="D49" s="197">
        <f ca="1">'JUSTIFICATIVA DE USINA'!C18</f>
        <v>373.39147629482977</v>
      </c>
      <c r="E49" s="197"/>
      <c r="F49" s="201" t="str">
        <f>'JUSTIFICATIVA DE USINA'!D17</f>
        <v>Impacto Principal: -  EIXO N5 Baixa DF de transporte;</v>
      </c>
      <c r="G49" s="201"/>
      <c r="H49" s="201"/>
      <c r="I49" s="201"/>
      <c r="J49" s="201"/>
      <c r="K49" s="201"/>
      <c r="M49" s="48">
        <v>16</v>
      </c>
      <c r="N49" s="197">
        <f ca="1">'JUSTIFICATIVA DE USINA'!G18</f>
        <v>-4912.8</v>
      </c>
      <c r="O49" s="197"/>
      <c r="P49" s="201" t="str">
        <f>'JUSTIFICATIVA DE USINA'!H18</f>
        <v>Impacto Principal: -Classificação/DP3011-02 rolamento danificado alimentando somente Bloco B (TR 3011-19 obstrução);</v>
      </c>
      <c r="Q49" s="201"/>
      <c r="R49" s="201"/>
      <c r="S49" s="201"/>
      <c r="T49" s="201"/>
      <c r="U49" s="201"/>
      <c r="W49" s="48">
        <v>16</v>
      </c>
      <c r="X49" s="197">
        <f ca="1">'JUSTIFICATIVA DE USINA'!K18</f>
        <v>683.04199999999992</v>
      </c>
      <c r="Y49" s="197"/>
      <c r="Z49" s="201">
        <f>'JUSTIFICATIVA DE USINA'!L18</f>
        <v>0</v>
      </c>
      <c r="AA49" s="201"/>
      <c r="AB49" s="201"/>
      <c r="AC49" s="201"/>
      <c r="AD49" s="201"/>
      <c r="AE49" s="201"/>
      <c r="AG49" s="48">
        <v>16</v>
      </c>
      <c r="AH49" s="197">
        <f ca="1">'JUSTIFICATIVA DE USINA'!O18</f>
        <v>1.0416666666666856</v>
      </c>
      <c r="AI49" s="197"/>
      <c r="AJ49" s="201">
        <f>'JUSTIFICATIVA DE USINA'!P18</f>
        <v>0</v>
      </c>
      <c r="AK49" s="201"/>
      <c r="AL49" s="201"/>
      <c r="AM49" s="201"/>
      <c r="AN49" s="201"/>
      <c r="AO49" s="201"/>
      <c r="AP49" s="49"/>
    </row>
    <row r="50" spans="2:42" s="46" customFormat="1" ht="75" customHeight="1">
      <c r="B50" s="47"/>
      <c r="C50" s="48">
        <v>17</v>
      </c>
      <c r="D50" s="197">
        <f ca="1">'JUSTIFICATIVA DE USINA'!C19</f>
        <v>1672.605580675172</v>
      </c>
      <c r="E50" s="197"/>
      <c r="F50" s="201">
        <f>'JUSTIFICATIVA DE USINA'!D19</f>
        <v>0</v>
      </c>
      <c r="G50" s="201"/>
      <c r="H50" s="201"/>
      <c r="I50" s="201"/>
      <c r="J50" s="201"/>
      <c r="K50" s="201"/>
      <c r="M50" s="48">
        <v>17</v>
      </c>
      <c r="N50" s="197">
        <f ca="1">'JUSTIFICATIVA DE USINA'!G19</f>
        <v>-3680.04</v>
      </c>
      <c r="O50" s="197"/>
      <c r="P50" s="201" t="str">
        <f>'JUSTIFICATIVA DE USINA'!H19</f>
        <v>Impacto Principal: -Classificação/DP3011-02 rolamento danificado alimentando somente Bloco B (TR 3011-19 obstrução);</v>
      </c>
      <c r="Q50" s="201"/>
      <c r="R50" s="201"/>
      <c r="S50" s="201"/>
      <c r="T50" s="201"/>
      <c r="U50" s="201"/>
      <c r="W50" s="48">
        <v>17</v>
      </c>
      <c r="X50" s="197">
        <f ca="1">'JUSTIFICATIVA DE USINA'!K19</f>
        <v>704.34960000000001</v>
      </c>
      <c r="Y50" s="197"/>
      <c r="Z50" s="201">
        <f>'JUSTIFICATIVA DE USINA'!L19</f>
        <v>0</v>
      </c>
      <c r="AA50" s="201"/>
      <c r="AB50" s="201"/>
      <c r="AC50" s="201"/>
      <c r="AD50" s="201"/>
      <c r="AE50" s="201"/>
      <c r="AG50" s="48">
        <v>17</v>
      </c>
      <c r="AH50" s="197">
        <f ca="1">'JUSTIFICATIVA DE USINA'!O19</f>
        <v>213.04166666666669</v>
      </c>
      <c r="AI50" s="197"/>
      <c r="AJ50" s="201">
        <f>'JUSTIFICATIVA DE USINA'!P19</f>
        <v>0</v>
      </c>
      <c r="AK50" s="201"/>
      <c r="AL50" s="201"/>
      <c r="AM50" s="201"/>
      <c r="AN50" s="201"/>
      <c r="AO50" s="201"/>
      <c r="AP50" s="49"/>
    </row>
    <row r="51" spans="2:42" s="46" customFormat="1" ht="75" customHeight="1">
      <c r="B51" s="47"/>
      <c r="C51" s="48">
        <v>18</v>
      </c>
      <c r="D51" s="197">
        <f ca="1">'JUSTIFICATIVA DE USINA'!C20</f>
        <v>948.85175457357855</v>
      </c>
      <c r="E51" s="197"/>
      <c r="F51" s="201">
        <f>'JUSTIFICATIVA DE USINA'!D19</f>
        <v>0</v>
      </c>
      <c r="G51" s="201"/>
      <c r="H51" s="201"/>
      <c r="I51" s="201"/>
      <c r="J51" s="201"/>
      <c r="K51" s="201"/>
      <c r="M51" s="48">
        <v>18</v>
      </c>
      <c r="N51" s="197">
        <f ca="1">'JUSTIFICATIVA DE USINA'!G20</f>
        <v>-2936.76</v>
      </c>
      <c r="O51" s="197"/>
      <c r="P51" s="201" t="str">
        <f>'JUSTIFICATIVA DE USINA'!H20</f>
        <v>Impacto Principal: -Classificação/DP3011-02 rolamento danificado alimentando somente Bloco B (TR 3011-19 obstrução);</v>
      </c>
      <c r="Q51" s="201"/>
      <c r="R51" s="201"/>
      <c r="S51" s="201"/>
      <c r="T51" s="201"/>
      <c r="U51" s="201"/>
      <c r="W51" s="48">
        <v>18</v>
      </c>
      <c r="X51" s="197">
        <f ca="1">'JUSTIFICATIVA DE USINA'!K20</f>
        <v>544.8735999999999</v>
      </c>
      <c r="Y51" s="197"/>
      <c r="Z51" s="201">
        <f>'JUSTIFICATIVA DE USINA'!L20</f>
        <v>0</v>
      </c>
      <c r="AA51" s="201"/>
      <c r="AB51" s="201"/>
      <c r="AC51" s="201"/>
      <c r="AD51" s="201"/>
      <c r="AE51" s="201"/>
      <c r="AG51" s="48">
        <v>18</v>
      </c>
      <c r="AH51" s="197">
        <f ca="1">'JUSTIFICATIVA DE USINA'!O20</f>
        <v>289.04166666666669</v>
      </c>
      <c r="AI51" s="197"/>
      <c r="AJ51" s="201">
        <f>'JUSTIFICATIVA DE USINA'!P20</f>
        <v>0</v>
      </c>
      <c r="AK51" s="201"/>
      <c r="AL51" s="201"/>
      <c r="AM51" s="201"/>
      <c r="AN51" s="201"/>
      <c r="AO51" s="201"/>
      <c r="AP51" s="49"/>
    </row>
    <row r="52" spans="2:42" s="46" customFormat="1" ht="75" customHeight="1">
      <c r="B52" s="47"/>
      <c r="C52" s="48">
        <v>19</v>
      </c>
      <c r="D52" s="197">
        <f ca="1">'JUSTIFICATIVA DE USINA'!C21</f>
        <v>2505.9345295388321</v>
      </c>
      <c r="E52" s="197"/>
      <c r="F52" s="201">
        <f>'JUSTIFICATIVA DE USINA'!D21</f>
        <v>0</v>
      </c>
      <c r="G52" s="201"/>
      <c r="H52" s="201"/>
      <c r="I52" s="201"/>
      <c r="J52" s="201"/>
      <c r="K52" s="201"/>
      <c r="M52" s="48">
        <v>19</v>
      </c>
      <c r="N52" s="197">
        <f ca="1">'JUSTIFICATIVA DE USINA'!G21</f>
        <v>-1871.5599999999995</v>
      </c>
      <c r="O52" s="197"/>
      <c r="P52" s="201" t="str">
        <f>'JUSTIFICATIVA DE USINA'!H21</f>
        <v>Impacto Principal: - TR 3011-19/Classificação: Obstrução no chute de descarga;</v>
      </c>
      <c r="Q52" s="201"/>
      <c r="R52" s="201"/>
      <c r="S52" s="201"/>
      <c r="T52" s="201"/>
      <c r="U52" s="201"/>
      <c r="W52" s="48">
        <v>19</v>
      </c>
      <c r="X52" s="197">
        <f ca="1">'JUSTIFICATIVA DE USINA'!K21</f>
        <v>-1659.7475999999999</v>
      </c>
      <c r="Y52" s="197"/>
      <c r="Z52" s="201" t="str">
        <f>'JUSTIFICATIVA DE USINA'!L21</f>
        <v>Impacto Principal: - REP 02,06: Troca de turno;</v>
      </c>
      <c r="AA52" s="201"/>
      <c r="AB52" s="201"/>
      <c r="AC52" s="201"/>
      <c r="AD52" s="201"/>
      <c r="AE52" s="201"/>
      <c r="AG52" s="48">
        <v>19</v>
      </c>
      <c r="AH52" s="197">
        <f ca="1">'JUSTIFICATIVA DE USINA'!O21</f>
        <v>-142.95833333333331</v>
      </c>
      <c r="AI52" s="197"/>
      <c r="AJ52" s="201" t="str">
        <f>'JUSTIFICATIVA DE USINA'!P21</f>
        <v>Impacto Principal: - REP 03: recompondo pulmão;</v>
      </c>
      <c r="AK52" s="201"/>
      <c r="AL52" s="201"/>
      <c r="AM52" s="201"/>
      <c r="AN52" s="201"/>
      <c r="AO52" s="201"/>
      <c r="AP52" s="49"/>
    </row>
    <row r="53" spans="2:42" s="46" customFormat="1" ht="75" customHeight="1">
      <c r="B53" s="47"/>
      <c r="C53" s="48">
        <v>20</v>
      </c>
      <c r="D53" s="197">
        <f ca="1">'JUSTIFICATIVA DE USINA'!C22</f>
        <v>376.83794036794006</v>
      </c>
      <c r="E53" s="197"/>
      <c r="F53" s="201">
        <f>'JUSTIFICATIVA DE USINA'!D22</f>
        <v>0</v>
      </c>
      <c r="G53" s="201"/>
      <c r="H53" s="201"/>
      <c r="I53" s="201"/>
      <c r="J53" s="201"/>
      <c r="K53" s="201"/>
      <c r="M53" s="48">
        <v>20</v>
      </c>
      <c r="N53" s="197">
        <f ca="1">'JUSTIFICATIVA DE USINA'!G22</f>
        <v>-1435.5199999999995</v>
      </c>
      <c r="O53" s="197"/>
      <c r="P53" s="201" t="str">
        <f>'JUSTIFICATIVA DE USINA'!H22</f>
        <v>Impacto Principal: - TR 3011-19/Classificação: Obstrução no chute de descarga;</v>
      </c>
      <c r="Q53" s="201"/>
      <c r="R53" s="201"/>
      <c r="S53" s="201"/>
      <c r="T53" s="201"/>
      <c r="U53" s="201"/>
      <c r="W53" s="48">
        <v>20</v>
      </c>
      <c r="X53" s="197">
        <f ca="1">'JUSTIFICATIVA DE USINA'!K22</f>
        <v>-478.28440000000001</v>
      </c>
      <c r="Y53" s="197"/>
      <c r="Z53" s="201" t="str">
        <f>'JUSTIFICATIVA DE USINA'!L22</f>
        <v>Impacto Principal: - REP6 baixa oferta ESC 0901 reposicionamento;</v>
      </c>
      <c r="AA53" s="201"/>
      <c r="AB53" s="201"/>
      <c r="AC53" s="201"/>
      <c r="AD53" s="201"/>
      <c r="AE53" s="201"/>
      <c r="AG53" s="48">
        <v>20</v>
      </c>
      <c r="AH53" s="197">
        <f ca="1">'JUSTIFICATIVA DE USINA'!O22</f>
        <v>-89.958333333333314</v>
      </c>
      <c r="AI53" s="197"/>
      <c r="AJ53" s="201" t="str">
        <f>'JUSTIFICATIVA DE USINA'!P22</f>
        <v>Impacto Principal: - REP 03: recompondo pulmão;</v>
      </c>
      <c r="AK53" s="201"/>
      <c r="AL53" s="201"/>
      <c r="AM53" s="201"/>
      <c r="AN53" s="201"/>
      <c r="AO53" s="201"/>
      <c r="AP53" s="49"/>
    </row>
    <row r="54" spans="2:42" s="46" customFormat="1" ht="75" customHeight="1">
      <c r="B54" s="47"/>
      <c r="C54" s="48">
        <v>21</v>
      </c>
      <c r="D54" s="197">
        <f ca="1">'JUSTIFICATIVA DE USINA'!C23</f>
        <v>2446.3706502041141</v>
      </c>
      <c r="E54" s="197"/>
      <c r="F54" s="201">
        <f>'JUSTIFICATIVA DE USINA'!D23</f>
        <v>0</v>
      </c>
      <c r="G54" s="201"/>
      <c r="H54" s="201"/>
      <c r="I54" s="201"/>
      <c r="J54" s="201"/>
      <c r="K54" s="201"/>
      <c r="M54" s="48">
        <v>21</v>
      </c>
      <c r="N54" s="197">
        <f ca="1">'JUSTIFICATIVA DE USINA'!G23</f>
        <v>-335.48000000000047</v>
      </c>
      <c r="O54" s="197"/>
      <c r="P54" s="201" t="str">
        <f>'JUSTIFICATIVA DE USINA'!H23</f>
        <v>Impacto Principal: - TR 3011-19/Classificação: Obstrução no chute de descarga;</v>
      </c>
      <c r="Q54" s="201"/>
      <c r="R54" s="201"/>
      <c r="S54" s="201"/>
      <c r="T54" s="201"/>
      <c r="U54" s="201"/>
      <c r="W54" s="48">
        <v>21</v>
      </c>
      <c r="X54" s="197">
        <f ca="1">'JUSTIFICATIVA DE USINA'!K23</f>
        <v>-711.4563999999998</v>
      </c>
      <c r="Y54" s="197"/>
      <c r="Z54" s="201" t="str">
        <f>'JUSTIFICATIVA DE USINA'!L23</f>
        <v>Impacto Principal: - REP6 baixa oferta ESC 0901 reposicionamento, REP 02: Baixa oferta, DF da PC 8109 PUL BSM 07;</v>
      </c>
      <c r="AA54" s="201"/>
      <c r="AB54" s="201"/>
      <c r="AC54" s="201"/>
      <c r="AD54" s="201"/>
      <c r="AE54" s="201"/>
      <c r="AG54" s="48">
        <v>21</v>
      </c>
      <c r="AH54" s="197">
        <f ca="1">'JUSTIFICATIVA DE USINA'!O23</f>
        <v>68.041666666666686</v>
      </c>
      <c r="AI54" s="197"/>
      <c r="AJ54" s="201">
        <f>'JUSTIFICATIVA DE USINA'!P23</f>
        <v>0</v>
      </c>
      <c r="AK54" s="201"/>
      <c r="AL54" s="201"/>
      <c r="AM54" s="201"/>
      <c r="AN54" s="201"/>
      <c r="AO54" s="201"/>
      <c r="AP54" s="49"/>
    </row>
    <row r="55" spans="2:42" s="46" customFormat="1" ht="75" customHeight="1">
      <c r="B55" s="47"/>
      <c r="C55" s="48">
        <v>22</v>
      </c>
      <c r="D55" s="197">
        <f ca="1">'JUSTIFICATIVA DE USINA'!C24</f>
        <v>3573.127527322582</v>
      </c>
      <c r="E55" s="197"/>
      <c r="F55" s="201">
        <f>'JUSTIFICATIVA DE USINA'!D24</f>
        <v>0</v>
      </c>
      <c r="G55" s="201"/>
      <c r="H55" s="201"/>
      <c r="I55" s="201"/>
      <c r="J55" s="201"/>
      <c r="K55" s="201"/>
      <c r="M55" s="48">
        <v>22</v>
      </c>
      <c r="N55" s="197">
        <f ca="1">'JUSTIFICATIVA DE USINA'!G24</f>
        <v>701.11999999999989</v>
      </c>
      <c r="O55" s="197"/>
      <c r="P55" s="201">
        <f>'JUSTIFICATIVA DE USINA'!H24</f>
        <v>0</v>
      </c>
      <c r="Q55" s="201"/>
      <c r="R55" s="201"/>
      <c r="S55" s="201"/>
      <c r="T55" s="201"/>
      <c r="U55" s="201"/>
      <c r="W55" s="48">
        <v>22</v>
      </c>
      <c r="X55" s="197">
        <f ca="1">'JUSTIFICATIVA DE USINA'!K24</f>
        <v>-711.4563999999998</v>
      </c>
      <c r="Y55" s="197"/>
      <c r="Z55" s="201" t="str">
        <f>'JUSTIFICATIVA DE USINA'!L24</f>
        <v>Impacto Principal: - REP6 baixa oferta ESC 0901 reposicionamento, REP 02: Baixa oferta, DF da PC 8109 PUL BSM 07;</v>
      </c>
      <c r="AA55" s="201"/>
      <c r="AB55" s="201"/>
      <c r="AC55" s="201"/>
      <c r="AD55" s="201"/>
      <c r="AE55" s="201"/>
      <c r="AG55" s="48">
        <v>22</v>
      </c>
      <c r="AH55" s="197">
        <f ca="1">'JUSTIFICATIVA DE USINA'!O24</f>
        <v>50.041666666666686</v>
      </c>
      <c r="AI55" s="197"/>
      <c r="AJ55" s="201">
        <f>'JUSTIFICATIVA DE USINA'!P24</f>
        <v>0</v>
      </c>
      <c r="AK55" s="201"/>
      <c r="AL55" s="201"/>
      <c r="AM55" s="201"/>
      <c r="AN55" s="201"/>
      <c r="AO55" s="201"/>
      <c r="AP55" s="49"/>
    </row>
    <row r="56" spans="2:42" s="46" customFormat="1" ht="75" customHeight="1">
      <c r="B56" s="47"/>
      <c r="C56" s="48">
        <v>23</v>
      </c>
      <c r="D56" s="197">
        <f ca="1">'JUSTIFICATIVA DE USINA'!C25</f>
        <v>3624.8250864764868</v>
      </c>
      <c r="E56" s="197"/>
      <c r="F56" s="201">
        <f>'JUSTIFICATIVA DE USINA'!D25</f>
        <v>0</v>
      </c>
      <c r="G56" s="201"/>
      <c r="H56" s="201"/>
      <c r="I56" s="201"/>
      <c r="J56" s="201"/>
      <c r="K56" s="201"/>
      <c r="M56" s="48">
        <v>23</v>
      </c>
      <c r="N56" s="197">
        <f ca="1">'JUSTIFICATIVA DE USINA'!G25</f>
        <v>511</v>
      </c>
      <c r="O56" s="197"/>
      <c r="P56" s="201">
        <f>'JUSTIFICATIVA DE USINA'!H26</f>
        <v>0</v>
      </c>
      <c r="Q56" s="201"/>
      <c r="R56" s="201"/>
      <c r="S56" s="201"/>
      <c r="T56" s="201"/>
      <c r="U56" s="201"/>
      <c r="W56" s="48">
        <v>23</v>
      </c>
      <c r="X56" s="197">
        <f ca="1">'JUSTIFICATIVA DE USINA'!K25</f>
        <v>-811.05519999999979</v>
      </c>
      <c r="Y56" s="197"/>
      <c r="Z56" s="201" t="str">
        <f>'JUSTIFICATIVA DE USINA'!L25</f>
        <v>Impacto Principal: - REP6 baixa oferta ESC 0901 reposicionamento, REP 02: Baixa oferta, DF da PC 8109 PUL BSM 07;</v>
      </c>
      <c r="AA56" s="201"/>
      <c r="AB56" s="201"/>
      <c r="AC56" s="201"/>
      <c r="AD56" s="201"/>
      <c r="AE56" s="201"/>
      <c r="AG56" s="48">
        <v>23</v>
      </c>
      <c r="AH56" s="197">
        <f ca="1">'JUSTIFICATIVA DE USINA'!O25</f>
        <v>-14.958333333333314</v>
      </c>
      <c r="AI56" s="197"/>
      <c r="AJ56" s="201" t="str">
        <f>'JUSTIFICATIVA DE USINA'!P25</f>
        <v xml:space="preserve"> </v>
      </c>
      <c r="AK56" s="201"/>
      <c r="AL56" s="201"/>
      <c r="AM56" s="201"/>
      <c r="AN56" s="201"/>
      <c r="AO56" s="201"/>
      <c r="AP56" s="49"/>
    </row>
    <row r="57" spans="2:42" s="46" customFormat="1" ht="75" customHeight="1">
      <c r="B57" s="47"/>
      <c r="C57" s="48">
        <v>24</v>
      </c>
      <c r="D57" s="197">
        <f ca="1">'JUSTIFICATIVA DE USINA'!C26</f>
        <v>5047.632798811358</v>
      </c>
      <c r="E57" s="197"/>
      <c r="F57" s="201">
        <f>'JUSTIFICATIVA DE USINA'!D26</f>
        <v>0</v>
      </c>
      <c r="G57" s="201"/>
      <c r="H57" s="201"/>
      <c r="I57" s="201"/>
      <c r="J57" s="201"/>
      <c r="K57" s="201"/>
      <c r="M57" s="48">
        <v>24</v>
      </c>
      <c r="N57" s="197">
        <f ca="1">'JUSTIFICATIVA DE USINA'!G26</f>
        <v>372.48</v>
      </c>
      <c r="O57" s="197"/>
      <c r="P57" s="201" t="e">
        <f>'JUSTIFICATIVA DE USINA'!#REF!</f>
        <v>#REF!</v>
      </c>
      <c r="Q57" s="201"/>
      <c r="R57" s="201"/>
      <c r="S57" s="201"/>
      <c r="T57" s="201"/>
      <c r="U57" s="201"/>
      <c r="W57" s="48">
        <v>24</v>
      </c>
      <c r="X57" s="197">
        <f ca="1">'JUSTIFICATIVA DE USINA'!K26</f>
        <v>60.809200000000146</v>
      </c>
      <c r="Y57" s="197"/>
      <c r="Z57" s="201">
        <f>'JUSTIFICATIVA DE USINA'!L26</f>
        <v>0</v>
      </c>
      <c r="AA57" s="201"/>
      <c r="AB57" s="201"/>
      <c r="AC57" s="201"/>
      <c r="AD57" s="201"/>
      <c r="AE57" s="201"/>
      <c r="AG57" s="48">
        <v>24</v>
      </c>
      <c r="AH57" s="197">
        <f ca="1">'JUSTIFICATIVA DE USINA'!O26</f>
        <v>123.04166666666669</v>
      </c>
      <c r="AI57" s="197"/>
      <c r="AJ57" s="201">
        <f>'JUSTIFICATIVA DE USINA'!P26</f>
        <v>0</v>
      </c>
      <c r="AK57" s="201"/>
      <c r="AL57" s="201"/>
      <c r="AM57" s="201"/>
      <c r="AN57" s="201"/>
      <c r="AO57" s="201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9" t="s">
        <v>1</v>
      </c>
      <c r="AB93" s="220"/>
      <c r="AC93" s="220"/>
      <c r="AD93" s="220"/>
      <c r="AE93" s="220"/>
      <c r="AF93" s="220"/>
      <c r="AG93" s="220"/>
      <c r="AH93" s="220"/>
      <c r="AI93" s="220"/>
      <c r="AJ93" s="220"/>
      <c r="AK93" s="220"/>
      <c r="AL93" s="220"/>
      <c r="AM93" s="220"/>
      <c r="AN93" s="220"/>
      <c r="AO93" s="221"/>
      <c r="AP93" s="24"/>
    </row>
    <row r="94" spans="2:42" ht="24" customHeight="1">
      <c r="B94" s="23"/>
      <c r="AA94" s="222"/>
      <c r="AB94" s="223"/>
      <c r="AC94" s="223"/>
      <c r="AD94" s="223"/>
      <c r="AE94" s="223"/>
      <c r="AF94" s="223"/>
      <c r="AG94" s="223"/>
      <c r="AH94" s="223"/>
      <c r="AI94" s="223"/>
      <c r="AJ94" s="223"/>
      <c r="AK94" s="223"/>
      <c r="AL94" s="223"/>
      <c r="AM94" s="223"/>
      <c r="AN94" s="223"/>
      <c r="AO94" s="224"/>
      <c r="AP94" s="24"/>
    </row>
    <row r="95" spans="2:42" ht="24" customHeight="1">
      <c r="B95" s="23"/>
      <c r="AA95" s="213" t="str">
        <f>'JUSTIFICATIVA DE USINA'!Z3</f>
        <v>- Aderente ao programada.
Ocorrências:*
- Baixa oferta de ROM,  ESC 0901 correção de praça, das 00:32 às 01:35;
- PEN 02: baixa produtividade, material úmido e argiloso PUL 680 JAC e ESC 1002, a partir 01:00h, como ação para corrigir o blend foi direcionada ESC 0901 para priorizar alimentação só para US1, a partir 02:30;
*Ponto de Atenção:
-
*-</v>
      </c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5"/>
      <c r="AP95" s="24"/>
    </row>
    <row r="96" spans="2:42" ht="35.25" customHeight="1">
      <c r="B96" s="23"/>
      <c r="AA96" s="213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5"/>
      <c r="AP96" s="24"/>
    </row>
    <row r="97" spans="2:42" ht="35.25" customHeight="1">
      <c r="B97" s="23"/>
      <c r="AA97" s="213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5"/>
      <c r="AP97" s="24"/>
    </row>
    <row r="98" spans="2:42" ht="35.25" customHeight="1">
      <c r="B98" s="23"/>
      <c r="AA98" s="213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5"/>
      <c r="AP98" s="24"/>
    </row>
    <row r="99" spans="2:42" ht="35.25" customHeight="1">
      <c r="B99" s="23"/>
      <c r="AA99" s="213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5"/>
      <c r="AP99" s="24"/>
    </row>
    <row r="100" spans="2:42" ht="35.25" customHeight="1">
      <c r="B100" s="23"/>
      <c r="AA100" s="213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5"/>
      <c r="AP100" s="24"/>
    </row>
    <row r="101" spans="2:42" ht="35.25" customHeight="1">
      <c r="B101" s="23"/>
      <c r="AA101" s="213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5"/>
      <c r="AP101" s="24"/>
    </row>
    <row r="102" spans="2:42" ht="35.25" customHeight="1">
      <c r="B102" s="23"/>
      <c r="AA102" s="213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5"/>
      <c r="AP102" s="24"/>
    </row>
    <row r="103" spans="2:42" ht="35.25" customHeight="1">
      <c r="B103" s="23"/>
      <c r="AA103" s="213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5"/>
      <c r="AP103" s="24"/>
    </row>
    <row r="104" spans="2:42" ht="51" customHeight="1">
      <c r="B104" s="23"/>
      <c r="AA104" s="213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5"/>
      <c r="AP104" s="24"/>
    </row>
    <row r="105" spans="2:42" ht="51" customHeight="1">
      <c r="B105" s="23"/>
      <c r="AA105" s="213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5"/>
      <c r="AP105" s="24"/>
    </row>
    <row r="106" spans="2:42" ht="51" customHeight="1">
      <c r="B106" s="23"/>
      <c r="AA106" s="213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5"/>
      <c r="AP106" s="24"/>
    </row>
    <row r="107" spans="2:42" ht="51" customHeight="1">
      <c r="B107" s="23"/>
      <c r="AA107" s="213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5"/>
      <c r="AP107" s="24"/>
    </row>
    <row r="108" spans="2:42" ht="51" customHeight="1" thickBot="1">
      <c r="B108" s="23"/>
      <c r="AA108" s="216"/>
      <c r="AB108" s="217"/>
      <c r="AC108" s="217"/>
      <c r="AD108" s="217"/>
      <c r="AE108" s="217"/>
      <c r="AF108" s="217"/>
      <c r="AG108" s="217"/>
      <c r="AH108" s="217"/>
      <c r="AI108" s="217"/>
      <c r="AJ108" s="217"/>
      <c r="AK108" s="217"/>
      <c r="AL108" s="217"/>
      <c r="AM108" s="217"/>
      <c r="AN108" s="217"/>
      <c r="AO108" s="218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19" t="s">
        <v>2</v>
      </c>
      <c r="AB111" s="220"/>
      <c r="AC111" s="220"/>
      <c r="AD111" s="220"/>
      <c r="AE111" s="220"/>
      <c r="AF111" s="220"/>
      <c r="AG111" s="220"/>
      <c r="AH111" s="220"/>
      <c r="AI111" s="220"/>
      <c r="AJ111" s="220"/>
      <c r="AK111" s="220"/>
      <c r="AL111" s="220"/>
      <c r="AM111" s="220"/>
      <c r="AN111" s="220"/>
      <c r="AO111" s="221"/>
      <c r="AP111" s="24"/>
    </row>
    <row r="112" spans="2:42" ht="24" customHeight="1">
      <c r="B112" s="23"/>
      <c r="AA112" s="222"/>
      <c r="AB112" s="223"/>
      <c r="AC112" s="223"/>
      <c r="AD112" s="223"/>
      <c r="AE112" s="223"/>
      <c r="AF112" s="223"/>
      <c r="AG112" s="223"/>
      <c r="AH112" s="223"/>
      <c r="AI112" s="223"/>
      <c r="AJ112" s="223"/>
      <c r="AK112" s="223"/>
      <c r="AL112" s="223"/>
      <c r="AM112" s="223"/>
      <c r="AN112" s="223"/>
      <c r="AO112" s="224"/>
      <c r="AP112" s="24"/>
    </row>
    <row r="113" spans="2:42" ht="24" customHeight="1">
      <c r="B113" s="23"/>
      <c r="AA113" s="213" t="str">
        <f>'JUSTIFICATIVA DE USINA'!AL3</f>
        <v xml:space="preserve">   -Abaixo da programação
- Impactos:
- TR 3011-24/Classificação: ocorreram diversas paradas devido a falhas na partida do motor de acionamento da TR 3011-024. durante a inspeção, foi identificado que o conversor de rede do M2 apresentou falha de comunicação na rede Profibus, sendo substituído, das 00: 15 às 05:00;
- BSM 5 permanece parada, devido atraso na manutenção preventiva, BR 2010KN01 com Falha no contactor, não está aceitando permissão de comando em modo manutenção (liberado), TR.2030KN-02 Com defeito no sensor de rasgo.
Equipe elétrica em campo verificando as falhas.
 PN 2030-10 fala no inverosr, das 13:09 às 13:25;
- TR 3011-19/Classificação,Bloco B, chave de nivel alto, desde  13:08 (vigente);
- SI 3011-03/Classificação: Eco na sonda, das 15:27 às 16:20, das 18:07 às 18:20; 
Ocorrências:
 - Início da alimentação da Classificação às 23h35 com material ensilado para início da PGU. O modo de operação em "anti-avalanche", ativando uma linha por vez.
 -  Alimentação da RC 3011-01 iniciada à retomada às 00h40.
-  TR 3011-18/Classificação: recorrentes paradas por detector de metal;
*Ponto de Atenção:*
- BR 3030-03,05: atraso de manutenção preventiva;
- RC 3011-01: Vazamento no chute da roda 02, a partir 03:50.</v>
      </c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5"/>
      <c r="AP113" s="24"/>
    </row>
    <row r="114" spans="2:42" ht="24" customHeight="1">
      <c r="B114" s="23"/>
      <c r="AA114" s="213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5"/>
      <c r="AP114" s="24"/>
    </row>
    <row r="115" spans="2:42" ht="24" customHeight="1">
      <c r="B115" s="23"/>
      <c r="AA115" s="213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5"/>
      <c r="AP115" s="24"/>
    </row>
    <row r="116" spans="2:42" ht="24" customHeight="1">
      <c r="B116" s="23"/>
      <c r="AA116" s="213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5"/>
      <c r="AP116" s="24"/>
    </row>
    <row r="117" spans="2:42" ht="24" customHeight="1">
      <c r="B117" s="23"/>
      <c r="AA117" s="213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5"/>
      <c r="AP117" s="24"/>
    </row>
    <row r="118" spans="2:42" ht="24" customHeight="1">
      <c r="B118" s="23"/>
      <c r="AA118" s="213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5"/>
      <c r="AP118" s="24"/>
    </row>
    <row r="119" spans="2:42" ht="24" customHeight="1">
      <c r="B119" s="23"/>
      <c r="AA119" s="213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5"/>
      <c r="AP119" s="24"/>
    </row>
    <row r="120" spans="2:42" ht="24" customHeight="1">
      <c r="B120" s="23"/>
      <c r="AA120" s="213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5"/>
      <c r="AP120" s="24"/>
    </row>
    <row r="121" spans="2:42" ht="24" customHeight="1">
      <c r="B121" s="23"/>
      <c r="AA121" s="213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5"/>
      <c r="AP121" s="24"/>
    </row>
    <row r="122" spans="2:42" ht="24" customHeight="1">
      <c r="B122" s="23"/>
      <c r="AA122" s="213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5"/>
      <c r="AP122" s="24"/>
    </row>
    <row r="123" spans="2:42" ht="24" customHeight="1">
      <c r="B123" s="23"/>
      <c r="AA123" s="213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5"/>
      <c r="AP123" s="24"/>
    </row>
    <row r="124" spans="2:42" ht="24" customHeight="1">
      <c r="B124" s="23"/>
      <c r="AA124" s="213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5"/>
      <c r="AP124" s="24"/>
    </row>
    <row r="125" spans="2:42" ht="24" customHeight="1">
      <c r="B125" s="23"/>
      <c r="AA125" s="213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5"/>
      <c r="AP125" s="24"/>
    </row>
    <row r="126" spans="2:42" ht="24" customHeight="1" thickBot="1">
      <c r="B126" s="23"/>
      <c r="AA126" s="216"/>
      <c r="AB126" s="217"/>
      <c r="AC126" s="217"/>
      <c r="AD126" s="217"/>
      <c r="AE126" s="217"/>
      <c r="AF126" s="217"/>
      <c r="AG126" s="217"/>
      <c r="AH126" s="217"/>
      <c r="AI126" s="217"/>
      <c r="AJ126" s="217"/>
      <c r="AK126" s="217"/>
      <c r="AL126" s="217"/>
      <c r="AM126" s="217"/>
      <c r="AN126" s="217"/>
      <c r="AO126" s="218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9" t="s">
        <v>3</v>
      </c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220"/>
      <c r="AL129" s="220"/>
      <c r="AM129" s="220"/>
      <c r="AN129" s="220"/>
      <c r="AO129" s="221"/>
      <c r="AP129" s="24"/>
    </row>
    <row r="130" spans="2:42" ht="19.899999999999999" customHeight="1">
      <c r="B130" s="23"/>
      <c r="AA130" s="222"/>
      <c r="AB130" s="223"/>
      <c r="AC130" s="223"/>
      <c r="AD130" s="223"/>
      <c r="AE130" s="223"/>
      <c r="AF130" s="223"/>
      <c r="AG130" s="223"/>
      <c r="AH130" s="223"/>
      <c r="AI130" s="223"/>
      <c r="AJ130" s="223"/>
      <c r="AK130" s="223"/>
      <c r="AL130" s="223"/>
      <c r="AM130" s="223"/>
      <c r="AN130" s="223"/>
      <c r="AO130" s="224"/>
      <c r="AP130" s="24"/>
    </row>
    <row r="131" spans="2:42" ht="19.899999999999999" customHeight="1">
      <c r="B131" s="23"/>
      <c r="AA131" s="213" t="str">
        <f>'JUSTIFICATIVA DE USINA'!AX3</f>
        <v xml:space="preserve">- Abaixo ao programada.
- Impactos:
- REP 06: Baixa oferta de ROM, ESC 0901 correções de praça, das 00:32 às 01:35;
- REP 02: Baixa oferta de ROM, material do PUL BSM 07 não atende ( fora da granulometria), das 00:00 às 02:00h;
- REP 06:  Baixa produtividade, ESC 0901 priorizando alimentação par US1, a partir 02:30;
*Pontos de Atenção:*
- LN’s 1230- 20/21/REP 02, manutenção preventiva, Previsão17/08 às 23h59.
</v>
      </c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5"/>
      <c r="AP131" s="24"/>
    </row>
    <row r="132" spans="2:42" ht="19.899999999999999" customHeight="1">
      <c r="B132" s="23"/>
      <c r="AA132" s="213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5"/>
      <c r="AP132" s="24"/>
    </row>
    <row r="133" spans="2:42" ht="19.899999999999999" customHeight="1">
      <c r="B133" s="23"/>
      <c r="AA133" s="213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5"/>
      <c r="AP133" s="24"/>
    </row>
    <row r="134" spans="2:42" ht="19.899999999999999" customHeight="1">
      <c r="B134" s="23"/>
      <c r="AA134" s="213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5"/>
      <c r="AP134" s="24"/>
    </row>
    <row r="135" spans="2:42" ht="19.899999999999999" customHeight="1">
      <c r="B135" s="23"/>
      <c r="AA135" s="213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5"/>
      <c r="AP135" s="24"/>
    </row>
    <row r="136" spans="2:42" ht="19.899999999999999" customHeight="1">
      <c r="B136" s="23"/>
      <c r="AA136" s="213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5"/>
      <c r="AP136" s="24"/>
    </row>
    <row r="137" spans="2:42" ht="19.899999999999999" customHeight="1">
      <c r="B137" s="23"/>
      <c r="AA137" s="213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5"/>
      <c r="AP137" s="24"/>
    </row>
    <row r="138" spans="2:42" ht="19.899999999999999" customHeight="1">
      <c r="B138" s="23"/>
      <c r="AA138" s="213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5"/>
      <c r="AP138" s="24"/>
    </row>
    <row r="139" spans="2:42" ht="19.899999999999999" customHeight="1">
      <c r="B139" s="23"/>
      <c r="AA139" s="213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5"/>
      <c r="AP139" s="24"/>
    </row>
    <row r="140" spans="2:42" ht="19.899999999999999" customHeight="1">
      <c r="B140" s="23"/>
      <c r="AA140" s="213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5"/>
      <c r="AP140" s="24"/>
    </row>
    <row r="141" spans="2:42" ht="19.899999999999999" customHeight="1">
      <c r="B141" s="23"/>
      <c r="AA141" s="213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5"/>
      <c r="AP141" s="24"/>
    </row>
    <row r="142" spans="2:42" ht="19.899999999999999" customHeight="1">
      <c r="B142" s="23"/>
      <c r="AA142" s="213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5"/>
      <c r="AP142" s="24"/>
    </row>
    <row r="143" spans="2:42" ht="19.899999999999999" customHeight="1">
      <c r="B143" s="23"/>
      <c r="AA143" s="213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5"/>
      <c r="AP143" s="24"/>
    </row>
    <row r="144" spans="2:42" ht="19.899999999999999" customHeight="1" thickBot="1">
      <c r="B144" s="23"/>
      <c r="AA144" s="216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8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19" t="s">
        <v>4</v>
      </c>
      <c r="AB147" s="220"/>
      <c r="AC147" s="220"/>
      <c r="AD147" s="220"/>
      <c r="AE147" s="220"/>
      <c r="AF147" s="220"/>
      <c r="AG147" s="220"/>
      <c r="AH147" s="220"/>
      <c r="AI147" s="220"/>
      <c r="AJ147" s="220"/>
      <c r="AK147" s="220"/>
      <c r="AL147" s="220"/>
      <c r="AM147" s="220"/>
      <c r="AN147" s="220"/>
      <c r="AO147" s="221"/>
      <c r="AP147" s="24"/>
    </row>
    <row r="148" spans="2:42" ht="19.899999999999999" customHeight="1">
      <c r="B148" s="23"/>
      <c r="AA148" s="222"/>
      <c r="AB148" s="223"/>
      <c r="AC148" s="223"/>
      <c r="AD148" s="223"/>
      <c r="AE148" s="223"/>
      <c r="AF148" s="223"/>
      <c r="AG148" s="223"/>
      <c r="AH148" s="223"/>
      <c r="AI148" s="223"/>
      <c r="AJ148" s="223"/>
      <c r="AK148" s="223"/>
      <c r="AL148" s="223"/>
      <c r="AM148" s="223"/>
      <c r="AN148" s="223"/>
      <c r="AO148" s="224"/>
      <c r="AP148" s="24"/>
    </row>
    <row r="149" spans="2:42" ht="19.899999999999999" customHeight="1">
      <c r="B149" s="23"/>
      <c r="AA149" s="213" t="str">
        <f>'JUSTIFICATIVA DE USINA'!BJ3</f>
        <v>'- Aderente a massa programada.</v>
      </c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5"/>
      <c r="AP149" s="24"/>
    </row>
    <row r="150" spans="2:42" ht="19.899999999999999" customHeight="1">
      <c r="B150" s="23"/>
      <c r="AA150" s="213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5"/>
      <c r="AP150" s="24"/>
    </row>
    <row r="151" spans="2:42" ht="19.899999999999999" customHeight="1">
      <c r="B151" s="23"/>
      <c r="AA151" s="213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5"/>
      <c r="AP151" s="24"/>
    </row>
    <row r="152" spans="2:42" ht="19.899999999999999" customHeight="1">
      <c r="B152" s="23"/>
      <c r="AA152" s="213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5"/>
      <c r="AP152" s="24"/>
    </row>
    <row r="153" spans="2:42" ht="19.899999999999999" customHeight="1">
      <c r="B153" s="23"/>
      <c r="AA153" s="213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5"/>
      <c r="AP153" s="24"/>
    </row>
    <row r="154" spans="2:42" ht="19.899999999999999" customHeight="1">
      <c r="B154" s="23"/>
      <c r="AA154" s="213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5"/>
      <c r="AP154" s="24"/>
    </row>
    <row r="155" spans="2:42" ht="19.899999999999999" customHeight="1">
      <c r="B155" s="23"/>
      <c r="AA155" s="213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5"/>
      <c r="AP155" s="24"/>
    </row>
    <row r="156" spans="2:42" ht="19.899999999999999" customHeight="1">
      <c r="B156" s="23"/>
      <c r="AA156" s="213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5"/>
      <c r="AP156" s="24"/>
    </row>
    <row r="157" spans="2:42" ht="19.899999999999999" customHeight="1">
      <c r="B157" s="23"/>
      <c r="AA157" s="213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5"/>
      <c r="AP157" s="24"/>
    </row>
    <row r="158" spans="2:42" ht="19.899999999999999" customHeight="1">
      <c r="B158" s="23"/>
      <c r="AA158" s="213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5"/>
      <c r="AP158" s="24"/>
    </row>
    <row r="159" spans="2:42" ht="19.899999999999999" customHeight="1">
      <c r="B159" s="23"/>
      <c r="AA159" s="213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5"/>
      <c r="AP159" s="24"/>
    </row>
    <row r="160" spans="2:42" ht="19.899999999999999" customHeight="1">
      <c r="B160" s="23"/>
      <c r="AA160" s="213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5"/>
      <c r="AP160" s="24"/>
    </row>
    <row r="161" spans="2:42" ht="19.899999999999999" customHeight="1">
      <c r="B161" s="23"/>
      <c r="AA161" s="213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5"/>
      <c r="AP161" s="24"/>
    </row>
    <row r="162" spans="2:42" ht="19.899999999999999" customHeight="1" thickBot="1">
      <c r="B162" s="23"/>
      <c r="AA162" s="216"/>
      <c r="AB162" s="217"/>
      <c r="AC162" s="217"/>
      <c r="AD162" s="217"/>
      <c r="AE162" s="217"/>
      <c r="AF162" s="217"/>
      <c r="AG162" s="217"/>
      <c r="AH162" s="217"/>
      <c r="AI162" s="217"/>
      <c r="AJ162" s="217"/>
      <c r="AK162" s="217"/>
      <c r="AL162" s="217"/>
      <c r="AM162" s="217"/>
      <c r="AN162" s="217"/>
      <c r="AO162" s="218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acoesCOI_USINA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topLeftCell="A13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4" t="s">
        <v>25</v>
      </c>
      <c r="AI3" s="204"/>
      <c r="AJ3" s="204"/>
      <c r="AK3" s="205">
        <f>'ACOMPANHAMENTO USINA'!$AK$3</f>
        <v>0</v>
      </c>
      <c r="AL3" s="205"/>
      <c r="AM3" s="205"/>
      <c r="AN3" s="198" t="str">
        <f ca="1">'ACOMPANHAMENTO USINA'!$AN$3</f>
        <v>23:59:59</v>
      </c>
      <c r="AO3" s="198"/>
      <c r="AP3" s="199"/>
      <c r="DA3" s="56"/>
      <c r="DB3" s="57"/>
      <c r="DC3" s="57"/>
      <c r="DD3" s="57"/>
      <c r="DE3" s="57"/>
      <c r="DF3" s="58" t="s">
        <v>27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30" t="s">
        <v>25</v>
      </c>
      <c r="EH3" s="230"/>
      <c r="EI3" s="230"/>
      <c r="EJ3" s="227">
        <f ca="1">NOW()</f>
        <v>45520.036700578705</v>
      </c>
      <c r="EK3" s="227"/>
      <c r="EL3" s="227"/>
      <c r="EM3" s="228">
        <f ca="1">NOW()</f>
        <v>45520.036700578705</v>
      </c>
      <c r="EN3" s="228"/>
      <c r="EO3" s="229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19" t="s">
        <v>1</v>
      </c>
      <c r="AB23" s="220"/>
      <c r="AC23" s="220"/>
      <c r="AD23" s="220"/>
      <c r="AE23" s="220"/>
      <c r="AF23" s="220"/>
      <c r="AG23" s="220"/>
      <c r="AH23" s="220"/>
      <c r="AI23" s="220"/>
      <c r="AJ23" s="220"/>
      <c r="AK23" s="220"/>
      <c r="AL23" s="220"/>
      <c r="AM23" s="220"/>
      <c r="AN23" s="220"/>
      <c r="AO23" s="221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22"/>
      <c r="AB24" s="223"/>
      <c r="AC24" s="223"/>
      <c r="AD24" s="223"/>
      <c r="AE24" s="223"/>
      <c r="AF24" s="223"/>
      <c r="AG24" s="223"/>
      <c r="AH24" s="223"/>
      <c r="AI24" s="223"/>
      <c r="AJ24" s="223"/>
      <c r="AK24" s="223"/>
      <c r="AL24" s="223"/>
      <c r="AM24" s="223"/>
      <c r="AN24" s="223"/>
      <c r="AO24" s="224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31" t="s">
        <v>30</v>
      </c>
      <c r="AB25" s="232"/>
      <c r="AC25" s="232"/>
      <c r="AD25" s="232"/>
      <c r="AE25" s="232"/>
      <c r="AF25" s="232"/>
      <c r="AG25" s="232"/>
      <c r="AH25" s="232"/>
      <c r="AI25" s="232"/>
      <c r="AJ25" s="232"/>
      <c r="AK25" s="232"/>
      <c r="AL25" s="232"/>
      <c r="AM25" s="232"/>
      <c r="AN25" s="232"/>
      <c r="AO25" s="233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4"/>
      <c r="AB26" s="232"/>
      <c r="AC26" s="232"/>
      <c r="AD26" s="232"/>
      <c r="AE26" s="232"/>
      <c r="AF26" s="232"/>
      <c r="AG26" s="232"/>
      <c r="AH26" s="232"/>
      <c r="AI26" s="232"/>
      <c r="AJ26" s="232"/>
      <c r="AK26" s="232"/>
      <c r="AL26" s="232"/>
      <c r="AM26" s="232"/>
      <c r="AN26" s="232"/>
      <c r="AO26" s="233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4"/>
      <c r="AB27" s="232"/>
      <c r="AC27" s="232"/>
      <c r="AD27" s="232"/>
      <c r="AE27" s="232"/>
      <c r="AF27" s="232"/>
      <c r="AG27" s="232"/>
      <c r="AH27" s="232"/>
      <c r="AI27" s="232"/>
      <c r="AJ27" s="232"/>
      <c r="AK27" s="232"/>
      <c r="AL27" s="232"/>
      <c r="AM27" s="232"/>
      <c r="AN27" s="232"/>
      <c r="AO27" s="233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4"/>
      <c r="AB28" s="232"/>
      <c r="AC28" s="232"/>
      <c r="AD28" s="232"/>
      <c r="AE28" s="232"/>
      <c r="AF28" s="232"/>
      <c r="AG28" s="232"/>
      <c r="AH28" s="232"/>
      <c r="AI28" s="232"/>
      <c r="AJ28" s="232"/>
      <c r="AK28" s="232"/>
      <c r="AL28" s="232"/>
      <c r="AM28" s="232"/>
      <c r="AN28" s="232"/>
      <c r="AO28" s="233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4"/>
      <c r="AB29" s="232"/>
      <c r="AC29" s="232"/>
      <c r="AD29" s="232"/>
      <c r="AE29" s="232"/>
      <c r="AF29" s="232"/>
      <c r="AG29" s="232"/>
      <c r="AH29" s="232"/>
      <c r="AI29" s="232"/>
      <c r="AJ29" s="232"/>
      <c r="AK29" s="232"/>
      <c r="AL29" s="232"/>
      <c r="AM29" s="232"/>
      <c r="AN29" s="232"/>
      <c r="AO29" s="233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4"/>
      <c r="AB30" s="232"/>
      <c r="AC30" s="232"/>
      <c r="AD30" s="232"/>
      <c r="AE30" s="232"/>
      <c r="AF30" s="232"/>
      <c r="AG30" s="232"/>
      <c r="AH30" s="232"/>
      <c r="AI30" s="232"/>
      <c r="AJ30" s="232"/>
      <c r="AK30" s="232"/>
      <c r="AL30" s="232"/>
      <c r="AM30" s="232"/>
      <c r="AN30" s="232"/>
      <c r="AO30" s="233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4"/>
      <c r="AB31" s="232"/>
      <c r="AC31" s="232"/>
      <c r="AD31" s="232"/>
      <c r="AE31" s="232"/>
      <c r="AF31" s="232"/>
      <c r="AG31" s="232"/>
      <c r="AH31" s="232"/>
      <c r="AI31" s="232"/>
      <c r="AJ31" s="232"/>
      <c r="AK31" s="232"/>
      <c r="AL31" s="232"/>
      <c r="AM31" s="232"/>
      <c r="AN31" s="232"/>
      <c r="AO31" s="233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4"/>
      <c r="AB32" s="232"/>
      <c r="AC32" s="232"/>
      <c r="AD32" s="232"/>
      <c r="AE32" s="232"/>
      <c r="AF32" s="232"/>
      <c r="AG32" s="232"/>
      <c r="AH32" s="232"/>
      <c r="AI32" s="232"/>
      <c r="AJ32" s="232"/>
      <c r="AK32" s="232"/>
      <c r="AL32" s="232"/>
      <c r="AM32" s="232"/>
      <c r="AN32" s="232"/>
      <c r="AO32" s="233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4"/>
      <c r="AB33" s="232"/>
      <c r="AC33" s="232"/>
      <c r="AD33" s="232"/>
      <c r="AE33" s="232"/>
      <c r="AF33" s="232"/>
      <c r="AG33" s="232"/>
      <c r="AH33" s="232"/>
      <c r="AI33" s="232"/>
      <c r="AJ33" s="232"/>
      <c r="AK33" s="232"/>
      <c r="AL33" s="232"/>
      <c r="AM33" s="232"/>
      <c r="AN33" s="232"/>
      <c r="AO33" s="233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4"/>
      <c r="AB34" s="232"/>
      <c r="AC34" s="232"/>
      <c r="AD34" s="232"/>
      <c r="AE34" s="232"/>
      <c r="AF34" s="232"/>
      <c r="AG34" s="232"/>
      <c r="AH34" s="232"/>
      <c r="AI34" s="232"/>
      <c r="AJ34" s="232"/>
      <c r="AK34" s="232"/>
      <c r="AL34" s="232"/>
      <c r="AM34" s="232"/>
      <c r="AN34" s="232"/>
      <c r="AO34" s="233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4"/>
      <c r="AB35" s="232"/>
      <c r="AC35" s="232"/>
      <c r="AD35" s="232"/>
      <c r="AE35" s="232"/>
      <c r="AF35" s="232"/>
      <c r="AG35" s="232"/>
      <c r="AH35" s="232"/>
      <c r="AI35" s="232"/>
      <c r="AJ35" s="232"/>
      <c r="AK35" s="232"/>
      <c r="AL35" s="232"/>
      <c r="AM35" s="232"/>
      <c r="AN35" s="232"/>
      <c r="AO35" s="233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4"/>
      <c r="AB36" s="232"/>
      <c r="AC36" s="232"/>
      <c r="AD36" s="232"/>
      <c r="AE36" s="232"/>
      <c r="AF36" s="232"/>
      <c r="AG36" s="232"/>
      <c r="AH36" s="232"/>
      <c r="AI36" s="232"/>
      <c r="AJ36" s="232"/>
      <c r="AK36" s="232"/>
      <c r="AL36" s="232"/>
      <c r="AM36" s="232"/>
      <c r="AN36" s="232"/>
      <c r="AO36" s="233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4"/>
      <c r="AB37" s="232"/>
      <c r="AC37" s="232"/>
      <c r="AD37" s="232"/>
      <c r="AE37" s="232"/>
      <c r="AF37" s="232"/>
      <c r="AG37" s="232"/>
      <c r="AH37" s="232"/>
      <c r="AI37" s="232"/>
      <c r="AJ37" s="232"/>
      <c r="AK37" s="232"/>
      <c r="AL37" s="232"/>
      <c r="AM37" s="232"/>
      <c r="AN37" s="232"/>
      <c r="AO37" s="233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5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7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19" t="s">
        <v>2</v>
      </c>
      <c r="AB41" s="220"/>
      <c r="AC41" s="220"/>
      <c r="AD41" s="220"/>
      <c r="AE41" s="220"/>
      <c r="AF41" s="220"/>
      <c r="AG41" s="220"/>
      <c r="AH41" s="220"/>
      <c r="AI41" s="220"/>
      <c r="AJ41" s="220"/>
      <c r="AK41" s="220"/>
      <c r="AL41" s="220"/>
      <c r="AM41" s="220"/>
      <c r="AN41" s="220"/>
      <c r="AO41" s="221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22"/>
      <c r="AB42" s="223"/>
      <c r="AC42" s="223"/>
      <c r="AD42" s="223"/>
      <c r="AE42" s="223"/>
      <c r="AF42" s="223"/>
      <c r="AG42" s="223"/>
      <c r="AH42" s="223"/>
      <c r="AI42" s="223"/>
      <c r="AJ42" s="223"/>
      <c r="AK42" s="223"/>
      <c r="AL42" s="223"/>
      <c r="AM42" s="223"/>
      <c r="AN42" s="223"/>
      <c r="AO42" s="224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213" t="str">
        <f>'JUSTIFICATIVA DE USINA'!$AL$3</f>
        <v xml:space="preserve">   -Abaixo da programação
- Impactos:
- TR 3011-24/Classificação: ocorreram diversas paradas devido a falhas na partida do motor de acionamento da TR 3011-024. durante a inspeção, foi identificado que o conversor de rede do M2 apresentou falha de comunicação na rede Profibus, sendo substituído, das 00: 15 às 05:00;
- BSM 5 permanece parada, devido atraso na manutenção preventiva, BR 2010KN01 com Falha no contactor, não está aceitando permissão de comando em modo manutenção (liberado), TR.2030KN-02 Com defeito no sensor de rasgo.
Equipe elétrica em campo verificando as falhas.
 PN 2030-10 fala no inverosr, das 13:09 às 13:25;
- TR 3011-19/Classificação,Bloco B, chave de nivel alto, desde  13:08 (vigente);
- SI 3011-03/Classificação: Eco na sonda, das 15:27 às 16:20, das 18:07 às 18:20; 
Ocorrências:
 - Início da alimentação da Classificação às 23h35 com material ensilado para início da PGU. O modo de operação em "anti-avalanche", ativando uma linha por vez.
 -  Alimentação da RC 3011-01 iniciada à retomada às 00h40.
-  TR 3011-18/Classificação: recorrentes paradas por detector de metal;
*Ponto de Atenção:*
- BR 3030-03,05: atraso de manutenção preventiva;
- RC 3011-01: Vazamento no chute da roda 02, a partir 03:50.</v>
      </c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5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213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5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213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5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213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5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213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5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213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5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213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5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213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5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213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5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213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5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213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5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213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5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213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5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16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218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19" t="s">
        <v>3</v>
      </c>
      <c r="AB59" s="220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1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22"/>
      <c r="AB60" s="223"/>
      <c r="AC60" s="223"/>
      <c r="AD60" s="223"/>
      <c r="AE60" s="223"/>
      <c r="AF60" s="223"/>
      <c r="AG60" s="223"/>
      <c r="AH60" s="223"/>
      <c r="AI60" s="223"/>
      <c r="AJ60" s="223"/>
      <c r="AK60" s="223"/>
      <c r="AL60" s="223"/>
      <c r="AM60" s="223"/>
      <c r="AN60" s="223"/>
      <c r="AO60" s="224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213" t="str">
        <f>'JUSTIFICATIVA DE USINA'!$AX$3</f>
        <v xml:space="preserve">- Abaixo ao programada.
- Impactos:
- REP 06: Baixa oferta de ROM, ESC 0901 correções de praça, das 00:32 às 01:35;
- REP 02: Baixa oferta de ROM, material do PUL BSM 07 não atende ( fora da granulometria), das 00:00 às 02:00h;
- REP 06:  Baixa produtividade, ESC 0901 priorizando alimentação par US1, a partir 02:30;
*Pontos de Atenção:*
- LN’s 1230- 20/21/REP 02, manutenção preventiva, Previsão17/08 às 23h59.
</v>
      </c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5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213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5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213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5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213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5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213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5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213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5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213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5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213"/>
      <c r="AB68" s="214"/>
      <c r="AC68" s="214"/>
      <c r="AD68" s="214"/>
      <c r="AE68" s="214"/>
      <c r="AF68" s="214"/>
      <c r="AG68" s="214"/>
      <c r="AH68" s="214"/>
      <c r="AI68" s="214"/>
      <c r="AJ68" s="214"/>
      <c r="AK68" s="214"/>
      <c r="AL68" s="214"/>
      <c r="AM68" s="214"/>
      <c r="AN68" s="214"/>
      <c r="AO68" s="215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213"/>
      <c r="AB69" s="214"/>
      <c r="AC69" s="214"/>
      <c r="AD69" s="214"/>
      <c r="AE69" s="214"/>
      <c r="AF69" s="214"/>
      <c r="AG69" s="214"/>
      <c r="AH69" s="214"/>
      <c r="AI69" s="214"/>
      <c r="AJ69" s="214"/>
      <c r="AK69" s="214"/>
      <c r="AL69" s="214"/>
      <c r="AM69" s="214"/>
      <c r="AN69" s="214"/>
      <c r="AO69" s="215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213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5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213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5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213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5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213"/>
      <c r="AB73" s="214"/>
      <c r="AC73" s="214"/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5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16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  <c r="AL74" s="217"/>
      <c r="AM74" s="217"/>
      <c r="AN74" s="217"/>
      <c r="AO74" s="218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19" t="s">
        <v>4</v>
      </c>
      <c r="AB77" s="220"/>
      <c r="AC77" s="220"/>
      <c r="AD77" s="220"/>
      <c r="AE77" s="220"/>
      <c r="AF77" s="220"/>
      <c r="AG77" s="220"/>
      <c r="AH77" s="220"/>
      <c r="AI77" s="220"/>
      <c r="AJ77" s="220"/>
      <c r="AK77" s="220"/>
      <c r="AL77" s="220"/>
      <c r="AM77" s="220"/>
      <c r="AN77" s="220"/>
      <c r="AO77" s="221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22"/>
      <c r="AB78" s="223"/>
      <c r="AC78" s="223"/>
      <c r="AD78" s="223"/>
      <c r="AE78" s="223"/>
      <c r="AF78" s="223"/>
      <c r="AG78" s="223"/>
      <c r="AH78" s="223"/>
      <c r="AI78" s="223"/>
      <c r="AJ78" s="223"/>
      <c r="AK78" s="223"/>
      <c r="AL78" s="223"/>
      <c r="AM78" s="223"/>
      <c r="AN78" s="223"/>
      <c r="AO78" s="224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213" t="str">
        <f>'JUSTIFICATIVA DE USINA'!$BJ$3</f>
        <v>'- Aderente a massa programada.</v>
      </c>
      <c r="AB79" s="214"/>
      <c r="AC79" s="214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5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213"/>
      <c r="AB80" s="214"/>
      <c r="AC80" s="214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5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213"/>
      <c r="AB81" s="214"/>
      <c r="AC81" s="214"/>
      <c r="AD81" s="214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5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213"/>
      <c r="AB82" s="214"/>
      <c r="AC82" s="214"/>
      <c r="AD82" s="214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5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213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5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213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5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213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5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213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5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213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5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213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5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213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5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213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5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213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5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16"/>
      <c r="AB92" s="217"/>
      <c r="AC92" s="217"/>
      <c r="AD92" s="217"/>
      <c r="AE92" s="217"/>
      <c r="AF92" s="217"/>
      <c r="AG92" s="217"/>
      <c r="AH92" s="217"/>
      <c r="AI92" s="217"/>
      <c r="AJ92" s="217"/>
      <c r="AK92" s="217"/>
      <c r="AL92" s="217"/>
      <c r="AM92" s="217"/>
      <c r="AN92" s="217"/>
      <c r="AO92" s="218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19" t="s">
        <v>15</v>
      </c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1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22"/>
      <c r="AB95" s="223"/>
      <c r="AC95" s="223"/>
      <c r="AD95" s="223"/>
      <c r="AE95" s="223"/>
      <c r="AF95" s="223"/>
      <c r="AG95" s="223"/>
      <c r="AH95" s="223"/>
      <c r="AI95" s="223"/>
      <c r="AJ95" s="223"/>
      <c r="AK95" s="223"/>
      <c r="AL95" s="223"/>
      <c r="AM95" s="223"/>
      <c r="AN95" s="223"/>
      <c r="AO95" s="224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6">
        <f>'JUSTIFICATIVA DE USINA'!$BT$3</f>
        <v>0</v>
      </c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5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213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5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213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5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213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5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213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5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213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5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213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5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213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5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213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5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213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5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213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5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213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5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213"/>
      <c r="AB108" s="214"/>
      <c r="AC108" s="214"/>
      <c r="AD108" s="214"/>
      <c r="AE108" s="214"/>
      <c r="AF108" s="214"/>
      <c r="AG108" s="214"/>
      <c r="AH108" s="214"/>
      <c r="AI108" s="214"/>
      <c r="AJ108" s="214"/>
      <c r="AK108" s="214"/>
      <c r="AL108" s="214"/>
      <c r="AM108" s="214"/>
      <c r="AN108" s="214"/>
      <c r="AO108" s="215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16"/>
      <c r="AB109" s="217"/>
      <c r="AC109" s="217"/>
      <c r="AD109" s="217"/>
      <c r="AE109" s="217"/>
      <c r="AF109" s="217"/>
      <c r="AG109" s="217"/>
      <c r="AH109" s="217"/>
      <c r="AI109" s="217"/>
      <c r="AJ109" s="217"/>
      <c r="AK109" s="217"/>
      <c r="AL109" s="217"/>
      <c r="AM109" s="217"/>
      <c r="AN109" s="217"/>
      <c r="AO109" s="218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31</v>
      </c>
      <c r="E2" s="4" t="s">
        <v>32</v>
      </c>
      <c r="F2" s="4" t="s">
        <v>33</v>
      </c>
      <c r="G2" s="8" t="s">
        <v>32</v>
      </c>
      <c r="H2" s="8" t="s">
        <v>31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8485</v>
      </c>
      <c r="G3" s="1">
        <f ca="1">F3-E3</f>
        <v>-1114.8250000000007</v>
      </c>
      <c r="H3" s="1">
        <f ca="1">F3-D3</f>
        <v>63.164442329112717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9231</v>
      </c>
      <c r="G4" s="1">
        <f t="shared" ref="G4:G26" ca="1" si="0">F4-E4</f>
        <v>2831.6989999999996</v>
      </c>
      <c r="H4" s="1">
        <f t="shared" ref="H4:H25" ca="1" si="1">F4-D4</f>
        <v>4009.6884745324996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8562</v>
      </c>
      <c r="G5" s="1">
        <f t="shared" ca="1" si="0"/>
        <v>941.39599999999973</v>
      </c>
      <c r="H5" s="1">
        <f t="shared" ca="1" si="1"/>
        <v>2119.3854626626171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8263</v>
      </c>
      <c r="G6" s="1">
        <f t="shared" ca="1" si="0"/>
        <v>-1737.2000000000007</v>
      </c>
      <c r="H6" s="1">
        <f t="shared" ca="1" si="1"/>
        <v>-559.21016750659146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9004</v>
      </c>
      <c r="G7" s="1">
        <f t="shared" ca="1" si="0"/>
        <v>1868.1310000000003</v>
      </c>
      <c r="H7" s="1">
        <f t="shared" ca="1" si="1"/>
        <v>3046.1200032553115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10414</v>
      </c>
      <c r="G8" s="1">
        <f t="shared" ca="1" si="0"/>
        <v>3118.2830000000004</v>
      </c>
      <c r="H8" s="1">
        <f t="shared" ca="1" si="1"/>
        <v>4296.2721863722963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9114.1</v>
      </c>
      <c r="G9" s="1">
        <f t="shared" ca="1" si="0"/>
        <v>1686.567</v>
      </c>
      <c r="H9" s="1">
        <f t="shared" ca="1" si="1"/>
        <v>2864.5562551849926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8620.2999999999993</v>
      </c>
      <c r="G10" s="1">
        <f t="shared" ca="1" si="0"/>
        <v>422.14499999999862</v>
      </c>
      <c r="H10" s="1">
        <f t="shared" ca="1" si="1"/>
        <v>1600.1342338774584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7556.2000000000007</v>
      </c>
      <c r="G11" s="1">
        <f t="shared" ca="1" si="0"/>
        <v>-2702.08</v>
      </c>
      <c r="H11" s="1">
        <f t="shared" ca="1" si="1"/>
        <v>-1524.0922828141702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7041.9</v>
      </c>
      <c r="G12" s="1">
        <f t="shared" ca="1" si="0"/>
        <v>-3078.2000000000007</v>
      </c>
      <c r="H12" s="1">
        <f t="shared" ca="1" si="1"/>
        <v>-1900.2149068595572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8802.4</v>
      </c>
      <c r="G13" s="1">
        <f t="shared" ca="1" si="0"/>
        <v>-796.82099999999991</v>
      </c>
      <c r="H13" s="1">
        <f t="shared" ca="1" si="1"/>
        <v>381.16849643164642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7164.4000000000015</v>
      </c>
      <c r="G14" s="1">
        <f t="shared" ca="1" si="0"/>
        <v>-1987.0839999999989</v>
      </c>
      <c r="H14" s="1">
        <f t="shared" ca="1" si="1"/>
        <v>-809.09527675585286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7468.2999999999993</v>
      </c>
      <c r="G15" s="1">
        <f t="shared" ca="1" si="0"/>
        <v>-2334.7130000000016</v>
      </c>
      <c r="H15" s="1">
        <f t="shared" ca="1" si="1"/>
        <v>-1156.7242564107055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7414.5</v>
      </c>
      <c r="G16" s="1">
        <f t="shared" ca="1" si="0"/>
        <v>-2507.6059999999998</v>
      </c>
      <c r="H16" s="1">
        <f t="shared" ca="1" si="1"/>
        <v>-1329.6172980633892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8214</v>
      </c>
      <c r="G17" s="1">
        <f t="shared" ca="1" si="0"/>
        <v>-2953.1000000000004</v>
      </c>
      <c r="H17" s="1">
        <f t="shared" ca="1" si="1"/>
        <v>-1775.1105567670202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8605.6</v>
      </c>
      <c r="G18" s="1">
        <f t="shared" ca="1" si="0"/>
        <v>780.95800000000054</v>
      </c>
      <c r="H18" s="1">
        <f t="shared" ca="1" si="1"/>
        <v>1958.9473128411119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8836.2000000000007</v>
      </c>
      <c r="G19" s="1">
        <f t="shared" ca="1" si="0"/>
        <v>-559.83199999999852</v>
      </c>
      <c r="H19" s="1">
        <f t="shared" ca="1" si="1"/>
        <v>618.15719517146499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7780.9</v>
      </c>
      <c r="G20" s="1">
        <f t="shared" ca="1" si="0"/>
        <v>-21.240999999999985</v>
      </c>
      <c r="H20" s="1">
        <f t="shared" ca="1" si="1"/>
        <v>1156.7483281604964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8386</v>
      </c>
      <c r="G21" s="1">
        <f t="shared" ca="1" si="0"/>
        <v>-52.945999999999913</v>
      </c>
      <c r="H21" s="1">
        <f t="shared" ca="1" si="1"/>
        <v>1125.0431672549093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7649</v>
      </c>
      <c r="G22" s="1">
        <f t="shared" ca="1" si="0"/>
        <v>-3065.76</v>
      </c>
      <c r="H22" s="1">
        <f t="shared" ca="1" si="1"/>
        <v>-1887.7684174227034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9552</v>
      </c>
      <c r="G23" s="1">
        <f t="shared" ca="1" si="0"/>
        <v>-1174.8999999999996</v>
      </c>
      <c r="H23" s="1">
        <f t="shared" ca="1" si="1"/>
        <v>3.0938704545078508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10282</v>
      </c>
      <c r="G24" s="1">
        <f t="shared" ca="1" si="0"/>
        <v>1728.5669999999991</v>
      </c>
      <c r="H24" s="1">
        <f t="shared" ca="1" si="1"/>
        <v>2906.5560381340447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11150</v>
      </c>
      <c r="G25" s="1">
        <f t="shared" ca="1" si="0"/>
        <v>4637.6279999999997</v>
      </c>
      <c r="H25" s="1">
        <f t="shared" ca="1" si="1"/>
        <v>5815.6170972144491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12421</v>
      </c>
      <c r="G26" s="1">
        <f t="shared" ca="1" si="0"/>
        <v>6088.73</v>
      </c>
      <c r="H26" s="1">
        <f ca="1">D26-F26</f>
        <v>-7266.7196032230513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8" t="s">
        <v>34</v>
      </c>
      <c r="X4" s="239"/>
      <c r="Y4" s="240"/>
    </row>
    <row r="5" spans="3:27" ht="29.25" customHeight="1">
      <c r="N5" s="243" t="s">
        <v>35</v>
      </c>
      <c r="O5" s="244"/>
      <c r="P5" s="244"/>
      <c r="Q5" s="244"/>
      <c r="R5" s="244"/>
      <c r="S5" s="244"/>
      <c r="T5" s="244"/>
      <c r="U5" s="245"/>
      <c r="W5" s="122" t="s">
        <v>36</v>
      </c>
      <c r="X5" s="122" t="s">
        <v>37</v>
      </c>
      <c r="Y5" s="122" t="s">
        <v>38</v>
      </c>
    </row>
    <row r="6" spans="3:27" ht="54.75" customHeight="1">
      <c r="C6" s="104" t="s">
        <v>39</v>
      </c>
      <c r="D6" s="105" t="s">
        <v>40</v>
      </c>
      <c r="E6" s="114">
        <v>0</v>
      </c>
      <c r="F6" s="114" t="str">
        <f>LEFT(E6,4)</f>
        <v>0</v>
      </c>
      <c r="G6" s="107" t="s">
        <v>41</v>
      </c>
      <c r="H6" s="105" t="s">
        <v>42</v>
      </c>
      <c r="I6" s="114">
        <v>0</v>
      </c>
      <c r="J6" s="114" t="str">
        <f>LEFT(I6,4)</f>
        <v>0</v>
      </c>
      <c r="K6" s="107" t="s">
        <v>41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41" t="s">
        <v>43</v>
      </c>
      <c r="Q6" s="242"/>
      <c r="R6" s="242"/>
      <c r="S6" s="242"/>
      <c r="T6" s="242"/>
      <c r="U6" s="242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44</v>
      </c>
      <c r="D7" s="105" t="s">
        <v>40</v>
      </c>
      <c r="E7" s="114">
        <v>0</v>
      </c>
      <c r="F7" s="114" t="str">
        <f t="shared" ref="F7:F12" si="0">LEFT(E7,4)</f>
        <v>0</v>
      </c>
      <c r="G7" s="107" t="s">
        <v>41</v>
      </c>
      <c r="H7" s="105" t="s">
        <v>42</v>
      </c>
      <c r="I7" s="114">
        <v>1.9470000000000001</v>
      </c>
      <c r="J7" s="114" t="str">
        <f t="shared" ref="J7:J12" si="1">LEFT(I7,4)</f>
        <v>1,94</v>
      </c>
      <c r="K7" s="107" t="s">
        <v>41</v>
      </c>
      <c r="L7" s="124">
        <v>0</v>
      </c>
      <c r="M7" s="114" t="str">
        <f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41" t="s">
        <v>45</v>
      </c>
      <c r="Q7" s="242"/>
      <c r="R7" s="242"/>
      <c r="S7" s="242"/>
      <c r="T7" s="242"/>
      <c r="U7" s="242"/>
      <c r="V7" s="123"/>
    </row>
    <row r="8" spans="3:27" ht="29.25" customHeight="1">
      <c r="C8" s="104" t="s">
        <v>46</v>
      </c>
      <c r="D8" s="105" t="s">
        <v>40</v>
      </c>
      <c r="E8" s="114">
        <v>0</v>
      </c>
      <c r="F8" s="114" t="str">
        <f t="shared" si="0"/>
        <v>0</v>
      </c>
      <c r="G8" s="107" t="s">
        <v>41</v>
      </c>
      <c r="H8" s="105" t="s">
        <v>42</v>
      </c>
      <c r="I8" s="114">
        <v>0</v>
      </c>
      <c r="J8" s="114" t="str">
        <f t="shared" si="1"/>
        <v>0</v>
      </c>
      <c r="K8" s="107" t="s">
        <v>41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41" t="s">
        <v>47</v>
      </c>
      <c r="Q8" s="242"/>
      <c r="R8" s="242"/>
      <c r="S8" s="242"/>
      <c r="T8" s="242"/>
      <c r="U8" s="242"/>
      <c r="V8" s="123"/>
    </row>
    <row r="9" spans="3:27" ht="39.75" customHeight="1">
      <c r="C9" s="104" t="s">
        <v>48</v>
      </c>
      <c r="D9" s="105" t="s">
        <v>49</v>
      </c>
      <c r="E9" s="114">
        <v>0</v>
      </c>
      <c r="F9" s="114" t="str">
        <f t="shared" si="0"/>
        <v>0</v>
      </c>
      <c r="G9" s="107" t="s">
        <v>41</v>
      </c>
      <c r="H9" s="105" t="s">
        <v>42</v>
      </c>
      <c r="I9" s="114">
        <v>0</v>
      </c>
      <c r="J9" s="114" t="str">
        <f t="shared" si="1"/>
        <v>0</v>
      </c>
      <c r="K9" s="107" t="s">
        <v>41</v>
      </c>
      <c r="L9" s="124">
        <v>0</v>
      </c>
      <c r="M9" s="114" t="str">
        <f>LEFT(L9,4)</f>
        <v>0</v>
      </c>
      <c r="N9" s="118" t="str">
        <f>_xlfn.CONCAT(C9,D9,M9,G9,H9,J9,K9)</f>
        <v>BSM6 -&gt; Prog:0Kt / Real: 0Kt</v>
      </c>
      <c r="O9" s="116">
        <f>I9-L9</f>
        <v>0</v>
      </c>
      <c r="P9" s="241" t="s">
        <v>45</v>
      </c>
      <c r="Q9" s="242"/>
      <c r="R9" s="242"/>
      <c r="S9" s="242"/>
      <c r="T9" s="242"/>
      <c r="U9" s="242"/>
      <c r="V9" s="123"/>
    </row>
    <row r="10" spans="3:27" ht="42.75" customHeight="1">
      <c r="C10" s="104" t="s">
        <v>50</v>
      </c>
      <c r="D10" s="105" t="s">
        <v>40</v>
      </c>
      <c r="E10" s="114">
        <v>0</v>
      </c>
      <c r="F10" s="114" t="str">
        <f t="shared" si="0"/>
        <v>0</v>
      </c>
      <c r="G10" s="107" t="s">
        <v>41</v>
      </c>
      <c r="H10" s="105" t="s">
        <v>42</v>
      </c>
      <c r="I10" s="114">
        <v>0</v>
      </c>
      <c r="J10" s="114" t="str">
        <f t="shared" si="1"/>
        <v>0</v>
      </c>
      <c r="K10" s="107" t="s">
        <v>41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41" t="s">
        <v>51</v>
      </c>
      <c r="Q10" s="242"/>
      <c r="R10" s="242"/>
      <c r="S10" s="242"/>
      <c r="T10" s="242"/>
      <c r="U10" s="242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3" t="s">
        <v>52</v>
      </c>
      <c r="O11" s="244"/>
      <c r="P11" s="244"/>
      <c r="Q11" s="244"/>
      <c r="R11" s="244"/>
      <c r="S11" s="244"/>
      <c r="T11" s="244"/>
      <c r="U11" s="245"/>
      <c r="V11" s="123"/>
    </row>
    <row r="12" spans="3:27" ht="29.25" customHeight="1">
      <c r="C12" s="104" t="s">
        <v>53</v>
      </c>
      <c r="D12" s="105" t="s">
        <v>40</v>
      </c>
      <c r="E12" s="114">
        <v>76.724040000000002</v>
      </c>
      <c r="F12" s="114" t="str">
        <f t="shared" si="0"/>
        <v>76,7</v>
      </c>
      <c r="G12" s="107" t="s">
        <v>54</v>
      </c>
      <c r="H12" s="105" t="s">
        <v>55</v>
      </c>
      <c r="I12" s="114">
        <v>53.984999999999999</v>
      </c>
      <c r="J12" s="114" t="str">
        <f t="shared" si="1"/>
        <v>53,9</v>
      </c>
      <c r="K12" s="107" t="s">
        <v>41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41" t="s">
        <v>56</v>
      </c>
      <c r="Q12" s="242"/>
      <c r="R12" s="242"/>
      <c r="S12" s="242"/>
      <c r="T12" s="242"/>
      <c r="U12" s="242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57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K6" sqref="K6"/>
    </sheetView>
  </sheetViews>
  <sheetFormatPr defaultRowHeight="43.5" customHeight="1"/>
  <cols>
    <col min="1" max="1" width="48.85546875" bestFit="1" customWidth="1"/>
    <col min="2" max="2" width="22.5703125" customWidth="1"/>
    <col min="8" max="8" width="78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6"/>
      <c r="B1" s="176"/>
      <c r="C1" s="176"/>
      <c r="D1" s="176"/>
      <c r="E1" s="176"/>
      <c r="F1" s="176"/>
      <c r="G1" s="176"/>
      <c r="H1" s="176"/>
    </row>
    <row r="2" spans="1:29" ht="30" customHeight="1" thickBot="1">
      <c r="A2" s="177"/>
      <c r="B2" s="177"/>
      <c r="C2" s="177"/>
      <c r="D2" s="177"/>
      <c r="E2" s="177"/>
      <c r="F2" s="177"/>
      <c r="G2" s="177"/>
      <c r="H2" s="177"/>
    </row>
    <row r="3" spans="1:29" s="168" customFormat="1" ht="18.600000000000001" customHeight="1" thickTop="1">
      <c r="A3" s="179">
        <f ca="1">NOW()</f>
        <v>45520.036700578705</v>
      </c>
      <c r="B3" s="180">
        <f ca="1" xml:space="preserve"> NOW()</f>
        <v>45520.036700578705</v>
      </c>
      <c r="C3" s="167"/>
      <c r="D3" s="167"/>
      <c r="E3" s="167"/>
      <c r="F3" s="167"/>
      <c r="G3" s="167"/>
      <c r="H3" s="178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58</v>
      </c>
      <c r="Q6" s="127"/>
      <c r="R6" s="127"/>
      <c r="S6" s="128" t="s">
        <v>59</v>
      </c>
      <c r="T6" s="128" t="s">
        <v>60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61</v>
      </c>
      <c r="Q7" s="130" t="s">
        <v>62</v>
      </c>
      <c r="R7" s="131" t="s">
        <v>63</v>
      </c>
      <c r="S7" s="132" t="s">
        <v>64</v>
      </c>
      <c r="T7" s="133" t="s">
        <v>65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31</v>
      </c>
      <c r="Q8" s="163">
        <v>339122.4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66</v>
      </c>
      <c r="Q9" s="135"/>
      <c r="R9" s="136">
        <f>Q33</f>
        <v>340299.84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67</v>
      </c>
      <c r="P10" s="139" t="str">
        <f>IF(OR(S10=ABS(U36),T10=ABS(U36)),V36,IF(S23=0,T23,V36))</f>
        <v>BSM 5</v>
      </c>
      <c r="Q10" s="140">
        <f>R9-T10+S10</f>
        <v>268282.88</v>
      </c>
      <c r="R10" s="135"/>
      <c r="S10" s="136">
        <f>ABS(S36)</f>
        <v>0</v>
      </c>
      <c r="T10" s="136">
        <f>ABS(T36)</f>
        <v>72016.959999999992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68</v>
      </c>
      <c r="P11" s="139" t="str">
        <f t="shared" ref="P11:P17" si="0">IF(OR(S11=ABS(U37),T11=ABS(U37)),V37,IF(S24=0,T24,V37))</f>
        <v>BSM 3</v>
      </c>
      <c r="Q11" s="140">
        <f t="shared" ref="Q11:Q17" si="1">IF(AND(T11&lt;&gt;0,S11=0),Q10+S11-T11,Q10+S10)</f>
        <v>250364.96</v>
      </c>
      <c r="R11" s="135"/>
      <c r="S11" s="136">
        <f t="shared" ref="S11:T17" si="2">ABS(S37)</f>
        <v>0</v>
      </c>
      <c r="T11" s="136">
        <f t="shared" si="2"/>
        <v>17917.920000000013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69</v>
      </c>
      <c r="P12" s="139" t="str">
        <f t="shared" si="0"/>
        <v>BSM 2</v>
      </c>
      <c r="Q12" s="140">
        <f t="shared" si="1"/>
        <v>241407.12</v>
      </c>
      <c r="R12" s="135"/>
      <c r="S12" s="136">
        <f t="shared" si="2"/>
        <v>0</v>
      </c>
      <c r="T12" s="136">
        <f t="shared" si="2"/>
        <v>8957.84</v>
      </c>
      <c r="W12" s="126"/>
      <c r="X12" s="139" t="s">
        <v>70</v>
      </c>
      <c r="Y12" s="140">
        <f>IF(AND(AB12&lt;&gt;0,AA12=0),Q12+AA12-AB12,Q12+S12)</f>
        <v>241407.12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71</v>
      </c>
      <c r="P13" s="139" t="str">
        <f t="shared" si="0"/>
        <v>REP 02</v>
      </c>
      <c r="Q13" s="140">
        <f t="shared" si="1"/>
        <v>235290.56</v>
      </c>
      <c r="R13" s="135"/>
      <c r="S13" s="136">
        <f t="shared" si="2"/>
        <v>0</v>
      </c>
      <c r="T13" s="136">
        <f t="shared" si="2"/>
        <v>6116.5599999999977</v>
      </c>
      <c r="W13" s="126"/>
      <c r="X13" s="139" t="s">
        <v>72</v>
      </c>
      <c r="Y13" s="140">
        <f>IF(AND(AB13&lt;&gt;0,AA13=0),Y12+AA13-AB13,Y12+AA12)</f>
        <v>241407.12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73</v>
      </c>
      <c r="P14" s="139" t="str">
        <f t="shared" si="0"/>
        <v>REP 06</v>
      </c>
      <c r="Q14" s="140">
        <f t="shared" si="1"/>
        <v>231301.84</v>
      </c>
      <c r="R14" s="135"/>
      <c r="S14" s="136">
        <f t="shared" si="2"/>
        <v>0</v>
      </c>
      <c r="T14" s="136">
        <f t="shared" si="2"/>
        <v>3988.7200000000012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74</v>
      </c>
      <c r="P15" s="139" t="str">
        <f t="shared" si="0"/>
        <v>BRIT 1</v>
      </c>
      <c r="Q15" s="140">
        <f t="shared" si="1"/>
        <v>231301.84</v>
      </c>
      <c r="R15" s="135"/>
      <c r="S15" s="136">
        <f t="shared" si="2"/>
        <v>2756.5600000000013</v>
      </c>
      <c r="T15" s="136">
        <f t="shared" si="2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6" t="s">
        <v>35</v>
      </c>
      <c r="B16" s="247"/>
      <c r="C16" s="247"/>
      <c r="D16" s="247"/>
      <c r="E16" s="247"/>
      <c r="F16" s="247"/>
      <c r="G16" s="247"/>
      <c r="H16" s="248"/>
      <c r="O16" s="5" t="s">
        <v>75</v>
      </c>
      <c r="P16" s="139" t="str">
        <f t="shared" si="0"/>
        <v>BSM 7</v>
      </c>
      <c r="Q16" s="140">
        <f t="shared" si="1"/>
        <v>234058.4</v>
      </c>
      <c r="R16" s="135"/>
      <c r="S16" s="136">
        <f t="shared" si="2"/>
        <v>7423.4000000000087</v>
      </c>
      <c r="T16" s="136">
        <f t="shared" si="2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67</v>
      </c>
      <c r="B17" s="174">
        <f>SUMIFS($S$23:$S$30,$P$23:$P$30,A17)</f>
        <v>2756.5600000000013</v>
      </c>
      <c r="C17" s="249"/>
      <c r="D17" s="250"/>
      <c r="E17" s="250"/>
      <c r="F17" s="250"/>
      <c r="G17" s="250"/>
      <c r="H17" s="250"/>
      <c r="O17" s="5" t="s">
        <v>76</v>
      </c>
      <c r="P17" s="139" t="str">
        <f t="shared" si="0"/>
        <v>BSM 6</v>
      </c>
      <c r="Q17" s="140">
        <f t="shared" si="1"/>
        <v>241481.8</v>
      </c>
      <c r="R17" s="135"/>
      <c r="S17" s="136">
        <f t="shared" si="2"/>
        <v>49443.199999999997</v>
      </c>
      <c r="T17" s="136">
        <f t="shared" si="2"/>
        <v>0</v>
      </c>
      <c r="W17" s="126"/>
      <c r="X17" s="126"/>
      <c r="Y17" s="126"/>
      <c r="Z17" s="126"/>
      <c r="AA17" s="126"/>
      <c r="AB17" s="126"/>
      <c r="AC17" s="126"/>
    </row>
    <row r="18" spans="1:29" ht="50.1" customHeight="1">
      <c r="A18" s="164" t="s">
        <v>77</v>
      </c>
      <c r="B18" s="174">
        <f>SUMIFS($S$23:$S$30,$P$23:$P$30,A18)</f>
        <v>-8957.84</v>
      </c>
      <c r="C18" s="249"/>
      <c r="D18" s="250"/>
      <c r="E18" s="250"/>
      <c r="F18" s="250"/>
      <c r="G18" s="250"/>
      <c r="H18" s="250"/>
      <c r="O18" s="5"/>
      <c r="P18" s="134" t="s">
        <v>78</v>
      </c>
      <c r="Q18" s="135">
        <f>IF(S33&lt;0,R9-ABS(S33),R9)</f>
        <v>290925</v>
      </c>
      <c r="R18" s="136"/>
      <c r="S18" s="136" t="str">
        <f>IF(S33&lt;0,"",S33)</f>
        <v/>
      </c>
      <c r="T18" s="137">
        <f>IF(S33&gt;0,"",ABS(S33))</f>
        <v>49374.84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79</v>
      </c>
      <c r="B19" s="174">
        <f>SUMIFS($S$23:$S$30,$P$23:$P$30,A19)</f>
        <v>-17917.920000000013</v>
      </c>
      <c r="C19" s="249"/>
      <c r="D19" s="250"/>
      <c r="E19" s="250"/>
      <c r="F19" s="250"/>
      <c r="G19" s="250"/>
      <c r="H19" s="250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80</v>
      </c>
      <c r="B20" s="174">
        <f>SUMIFS($S$23:$S$30,$P$23:$P$30,A20)</f>
        <v>49443.199999999997</v>
      </c>
      <c r="C20" s="249"/>
      <c r="D20" s="250"/>
      <c r="E20" s="250"/>
      <c r="F20" s="250"/>
      <c r="G20" s="250"/>
      <c r="H20" s="250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81</v>
      </c>
      <c r="B21" s="174">
        <f>SUMIFS($S$23:$S$30,$P$23:$P$30,A21)</f>
        <v>7423.4000000000087</v>
      </c>
      <c r="C21" s="249"/>
      <c r="D21" s="250"/>
      <c r="E21" s="250"/>
      <c r="F21" s="250"/>
      <c r="G21" s="250"/>
      <c r="H21" s="250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6"/>
      <c r="B22" s="247"/>
      <c r="C22" s="247"/>
      <c r="D22" s="247"/>
      <c r="E22" s="247"/>
      <c r="F22" s="247"/>
      <c r="G22" s="247"/>
      <c r="H22" s="248"/>
      <c r="P22" s="143" t="s">
        <v>82</v>
      </c>
      <c r="Q22" s="128" t="s">
        <v>83</v>
      </c>
      <c r="R22" s="128" t="s">
        <v>84</v>
      </c>
      <c r="S22" s="128" t="s">
        <v>85</v>
      </c>
      <c r="T22" s="128" t="s">
        <v>86</v>
      </c>
      <c r="U22" s="125"/>
      <c r="V22" s="144" t="s">
        <v>87</v>
      </c>
      <c r="W22" s="128" t="s">
        <v>88</v>
      </c>
      <c r="X22" s="128" t="s">
        <v>31</v>
      </c>
      <c r="Y22" s="128" t="s">
        <v>89</v>
      </c>
      <c r="Z22" s="126"/>
      <c r="AA22" s="126"/>
      <c r="AB22" s="126"/>
      <c r="AC22" s="126"/>
    </row>
    <row r="23" spans="1:29" ht="50.1" customHeight="1">
      <c r="A23" s="164" t="s">
        <v>90</v>
      </c>
      <c r="B23" s="174">
        <f>SUMIFS($S$23:$S$30,$P$23:$P$30,A23)</f>
        <v>-72016.959999999992</v>
      </c>
      <c r="C23" s="249"/>
      <c r="D23" s="250"/>
      <c r="E23" s="250"/>
      <c r="F23" s="250"/>
      <c r="G23" s="250"/>
      <c r="H23" s="250"/>
      <c r="P23" s="126" t="s">
        <v>80</v>
      </c>
      <c r="Q23" s="157" cm="1">
        <f t="array" ref="Q23">_xlfn.XLOOKUP(P23,TB_Entradas[[#All],[CIRCUITO ENTRADAS]],TB_Entradas[[#All],[D+1]])</f>
        <v>7504.7999999999993</v>
      </c>
      <c r="R23" s="157" cm="1">
        <f t="array" ref="R23">_xlfn.XLOOKUP(P23,TB_Entradas[[#All],[CIRCUITO ENTRADAS]],TB_Entradas[[#All],[EXEC]])</f>
        <v>56948</v>
      </c>
      <c r="S23" s="146">
        <f t="shared" ref="S23:S30" si="3">R23-Q23</f>
        <v>49443.199999999997</v>
      </c>
      <c r="T23" s="147" t="str">
        <f t="shared" ref="T23:T30" si="4">IF(AND(Q23=0,R23=0),"",P23)</f>
        <v>BSM 6</v>
      </c>
      <c r="U23" s="158" t="s">
        <v>91</v>
      </c>
      <c r="V23" s="148" t="str">
        <f>TEXT(S33,"0.0")&amp;" kt"</f>
        <v>-49.375 kt</v>
      </c>
      <c r="W23" s="159"/>
      <c r="X23" s="159"/>
      <c r="Y23" s="159">
        <f t="shared" ref="Y23:Y30" si="5">X23-Q23</f>
        <v>-7504.7999999999993</v>
      </c>
      <c r="Z23" s="126"/>
      <c r="AA23" s="126"/>
      <c r="AB23" s="126"/>
      <c r="AC23" s="126"/>
    </row>
    <row r="24" spans="1:29" ht="30" customHeight="1">
      <c r="A24" s="246" t="s">
        <v>92</v>
      </c>
      <c r="B24" s="247"/>
      <c r="C24" s="247"/>
      <c r="D24" s="247"/>
      <c r="E24" s="247"/>
      <c r="F24" s="247"/>
      <c r="G24" s="247"/>
      <c r="H24" s="248"/>
      <c r="P24" s="126" t="s">
        <v>67</v>
      </c>
      <c r="Q24" s="157" cm="1">
        <f t="array" ref="Q24">_xlfn.XLOOKUP(P24,TB_Entradas[[#All],[CIRCUITO ENTRADAS]],TB_Entradas[[#All],[D+1]])</f>
        <v>28363.439999999999</v>
      </c>
      <c r="R24" s="157" cm="1">
        <f t="array" ref="R24">_xlfn.XLOOKUP(P24,TB_Entradas[[#All],[CIRCUITO ENTRADAS]],TB_Entradas[[#All],[EXEC]])</f>
        <v>31120</v>
      </c>
      <c r="S24" s="146">
        <f t="shared" si="3"/>
        <v>2756.5600000000013</v>
      </c>
      <c r="T24" s="147" t="str">
        <f t="shared" si="4"/>
        <v>BRIT 1</v>
      </c>
      <c r="U24" s="158" t="s">
        <v>91</v>
      </c>
      <c r="V24" s="125"/>
      <c r="W24" s="159"/>
      <c r="X24" s="159"/>
      <c r="Y24" s="159">
        <f t="shared" si="5"/>
        <v>-28363.439999999999</v>
      </c>
      <c r="Z24" s="126"/>
      <c r="AA24" s="126"/>
      <c r="AB24" s="126"/>
      <c r="AC24" s="126"/>
    </row>
    <row r="25" spans="1:29" ht="50.1" customHeight="1">
      <c r="A25" s="164" t="s">
        <v>93</v>
      </c>
      <c r="B25" s="174">
        <f>SUMIFS($S$23:$S$30,$P$23:$P$30,A25)</f>
        <v>-6116.5599999999977</v>
      </c>
      <c r="C25" s="249"/>
      <c r="D25" s="250"/>
      <c r="E25" s="250"/>
      <c r="F25" s="250"/>
      <c r="G25" s="250"/>
      <c r="H25" s="250"/>
      <c r="P25" s="126" t="s">
        <v>79</v>
      </c>
      <c r="Q25" s="157" cm="1">
        <f t="array" ref="Q25">_xlfn.XLOOKUP(P25,TB_Entradas[[#All],[CIRCUITO ENTRADAS]],TB_Entradas[[#All],[D+1]])</f>
        <v>92767.920000000013</v>
      </c>
      <c r="R25" s="157" cm="1">
        <f t="array" ref="R25">_xlfn.XLOOKUP(P25,TB_Entradas[[#All],[CIRCUITO ENTRADAS]],TB_Entradas[[#All],[EXEC]])</f>
        <v>74850</v>
      </c>
      <c r="S25" s="146">
        <f t="shared" si="3"/>
        <v>-17917.920000000013</v>
      </c>
      <c r="T25" s="147" t="str">
        <f t="shared" si="4"/>
        <v>BSM 3</v>
      </c>
      <c r="U25" s="158"/>
      <c r="V25" s="125"/>
      <c r="W25" s="159"/>
      <c r="X25" s="159"/>
      <c r="Y25" s="159">
        <f t="shared" si="5"/>
        <v>-92767.920000000013</v>
      </c>
      <c r="Z25" s="126"/>
      <c r="AA25" s="126"/>
      <c r="AB25" s="126"/>
      <c r="AC25" s="126"/>
    </row>
    <row r="26" spans="1:29" ht="50.1" customHeight="1">
      <c r="A26" s="164" t="s">
        <v>94</v>
      </c>
      <c r="B26" s="174">
        <f>SUMIFS($S$23:$S$30,$P$23:$P$30,A26)</f>
        <v>-3988.7200000000012</v>
      </c>
      <c r="C26" s="249"/>
      <c r="D26" s="250"/>
      <c r="E26" s="250"/>
      <c r="F26" s="250"/>
      <c r="G26" s="250"/>
      <c r="H26" s="250"/>
      <c r="P26" s="126" t="s">
        <v>90</v>
      </c>
      <c r="Q26" s="157" cm="1">
        <f t="array" ref="Q26">_xlfn.XLOOKUP(P26,TB_Entradas[[#All],[CIRCUITO ENTRADAS]],TB_Entradas[[#All],[D+1]])</f>
        <v>106530.95999999999</v>
      </c>
      <c r="R26" s="157" cm="1">
        <f t="array" ref="R26">_xlfn.XLOOKUP(P26,TB_Entradas[[#All],[CIRCUITO ENTRADAS]],TB_Entradas[[#All],[EXEC]])</f>
        <v>34514</v>
      </c>
      <c r="S26" s="146">
        <f t="shared" si="3"/>
        <v>-72016.959999999992</v>
      </c>
      <c r="T26" s="147" t="str">
        <f t="shared" si="4"/>
        <v>BSM 5</v>
      </c>
      <c r="U26" s="158" t="s">
        <v>91</v>
      </c>
      <c r="V26" s="125"/>
      <c r="W26" s="159"/>
      <c r="X26" s="159"/>
      <c r="Y26" s="159">
        <f t="shared" si="5"/>
        <v>-106530.95999999999</v>
      </c>
      <c r="Z26" s="126"/>
      <c r="AA26" s="126"/>
      <c r="AB26" s="126"/>
      <c r="AC26" s="126"/>
    </row>
    <row r="27" spans="1:29" ht="6.75" customHeight="1">
      <c r="P27" s="126" t="s">
        <v>81</v>
      </c>
      <c r="Q27" s="157" cm="1">
        <f t="array" ref="Q27">_xlfn.XLOOKUP(P27,TB_Entradas[[#All],[CIRCUITO ENTRADAS]],TB_Entradas[[#All],[D+1]])</f>
        <v>38490.599999999991</v>
      </c>
      <c r="R27" s="157" cm="1">
        <f t="array" ref="R27">_xlfn.XLOOKUP(P27,TB_Entradas[[#All],[CIRCUITO ENTRADAS]],TB_Entradas[[#All],[EXEC]])</f>
        <v>45914</v>
      </c>
      <c r="S27" s="146">
        <f t="shared" si="3"/>
        <v>7423.4000000000087</v>
      </c>
      <c r="T27" s="147" t="str">
        <f t="shared" si="4"/>
        <v>BSM 7</v>
      </c>
      <c r="U27" s="158" t="s">
        <v>91</v>
      </c>
      <c r="V27" s="125"/>
      <c r="W27" s="159"/>
      <c r="X27" s="159"/>
      <c r="Y27" s="159">
        <f t="shared" si="5"/>
        <v>-38490.599999999991</v>
      </c>
      <c r="Z27" s="126"/>
      <c r="AA27" s="126"/>
      <c r="AB27" s="126"/>
      <c r="AC27" s="126"/>
    </row>
    <row r="28" spans="1:29" ht="43.5" customHeight="1">
      <c r="A28" s="175"/>
      <c r="B28" s="175"/>
      <c r="C28" s="175"/>
      <c r="D28" s="175"/>
      <c r="E28" s="175"/>
      <c r="F28" s="175"/>
      <c r="G28" s="175"/>
      <c r="H28" s="175"/>
      <c r="P28" s="126" t="s">
        <v>93</v>
      </c>
      <c r="Q28" s="157" cm="1">
        <f t="array" ref="Q28">_xlfn.XLOOKUP(P28,TB_Entradas[[#All],[CIRCUITO ENTRADAS]],TB_Entradas[[#All],[D+1]])</f>
        <v>13756.559999999998</v>
      </c>
      <c r="R28" s="157" cm="1">
        <f t="array" ref="R28">_xlfn.XLOOKUP(P28,TB_Entradas[[#All],[CIRCUITO ENTRADAS]],TB_Entradas[[#All],[EXEC]])</f>
        <v>7640</v>
      </c>
      <c r="S28" s="146">
        <f t="shared" si="3"/>
        <v>-6116.5599999999977</v>
      </c>
      <c r="T28" s="147" t="str">
        <f t="shared" si="4"/>
        <v>REP 02</v>
      </c>
      <c r="U28" s="158" t="s">
        <v>95</v>
      </c>
      <c r="V28" s="125"/>
      <c r="W28" s="159"/>
      <c r="X28" s="159"/>
      <c r="Y28" s="159">
        <f t="shared" si="5"/>
        <v>-13756.559999999998</v>
      </c>
      <c r="Z28" s="126"/>
      <c r="AA28" s="126"/>
      <c r="AB28" s="126"/>
      <c r="AC28" s="126"/>
    </row>
    <row r="29" spans="1:29" ht="43.5" customHeight="1">
      <c r="P29" s="126" t="s">
        <v>94</v>
      </c>
      <c r="Q29" s="157" cm="1">
        <f t="array" ref="Q29">_xlfn.XLOOKUP(P29,TB_Entradas[[#All],[CIRCUITO ENTRADAS]],TB_Entradas[[#All],[D+1]])</f>
        <v>23511.72</v>
      </c>
      <c r="R29" s="157" cm="1">
        <f t="array" ref="R29">_xlfn.XLOOKUP(P29,TB_Entradas[[#All],[CIRCUITO ENTRADAS]],TB_Entradas[[#All],[EXEC]])</f>
        <v>19523</v>
      </c>
      <c r="S29" s="146">
        <f t="shared" si="3"/>
        <v>-3988.7200000000012</v>
      </c>
      <c r="T29" s="147" t="str">
        <f t="shared" si="4"/>
        <v>REP 06</v>
      </c>
      <c r="U29" s="158" t="s">
        <v>95</v>
      </c>
      <c r="V29" s="125"/>
      <c r="W29" s="159"/>
      <c r="X29" s="159"/>
      <c r="Y29" s="159">
        <f t="shared" si="5"/>
        <v>-23511.72</v>
      </c>
      <c r="Z29" s="126"/>
      <c r="AA29" s="126"/>
      <c r="AB29" s="126"/>
      <c r="AC29" s="126"/>
    </row>
    <row r="30" spans="1:29" ht="43.5" customHeight="1">
      <c r="P30" s="126" t="s">
        <v>77</v>
      </c>
      <c r="Q30" s="157" cm="1">
        <f t="array" ref="Q30">_xlfn.XLOOKUP(P30,TB_Entradas[[#All],[CIRCUITO ENTRADAS]],TB_Entradas[[#All],[D+1]])</f>
        <v>29373.84</v>
      </c>
      <c r="R30" s="157" cm="1">
        <f t="array" ref="R30">_xlfn.XLOOKUP(P30,TB_Entradas[[#All],[CIRCUITO ENTRADAS]],TB_Entradas[[#All],[EXEC]])</f>
        <v>20416</v>
      </c>
      <c r="S30" s="146">
        <f t="shared" si="3"/>
        <v>-8957.84</v>
      </c>
      <c r="T30" s="147" t="str">
        <f t="shared" si="4"/>
        <v>BSM 2</v>
      </c>
      <c r="U30" s="158"/>
      <c r="V30" s="125"/>
      <c r="W30" s="159"/>
      <c r="X30" s="159"/>
      <c r="Y30" s="159">
        <f t="shared" si="5"/>
        <v>-29373.84</v>
      </c>
      <c r="Z30" s="126"/>
      <c r="AA30" s="126"/>
      <c r="AB30" s="126"/>
      <c r="AC30" s="126"/>
    </row>
    <row r="31" spans="1:29" ht="43.5" customHeight="1">
      <c r="F31" s="181" t="s">
        <v>96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97</v>
      </c>
      <c r="Q33" s="131">
        <f>SUM(Q22:Q32)</f>
        <v>340299.84</v>
      </c>
      <c r="R33" s="131">
        <f>SUM(R22:R32)</f>
        <v>290925</v>
      </c>
      <c r="S33" s="131">
        <f>SUM(S23:S32)</f>
        <v>-49374.84</v>
      </c>
      <c r="T33" s="150" t="s">
        <v>98</v>
      </c>
      <c r="U33" s="125">
        <f>SUMIF(U23:U32,"n5",Q23:Q32)</f>
        <v>37268.28</v>
      </c>
      <c r="V33" s="151">
        <f>Q33-U33</f>
        <v>303031.56000000006</v>
      </c>
      <c r="W33" s="131">
        <f>SUM(W22:W32)</f>
        <v>0</v>
      </c>
      <c r="X33" s="131">
        <f>SUM(X22:X32)</f>
        <v>0</v>
      </c>
      <c r="Y33" s="131">
        <f>SUM(Y22:Y32)</f>
        <v>-340299.84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64</v>
      </c>
      <c r="Q35" s="155" t="s">
        <v>65</v>
      </c>
      <c r="R35" s="125"/>
      <c r="S35" s="154" t="s">
        <v>64</v>
      </c>
      <c r="T35" s="155" t="s">
        <v>65</v>
      </c>
      <c r="U35" s="128" t="s">
        <v>99</v>
      </c>
      <c r="V35" s="128" t="s">
        <v>99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-72016.959999999992</v>
      </c>
      <c r="Q36" s="160">
        <f>SMALL($S$23:$S$32,1)</f>
        <v>-72016.959999999992</v>
      </c>
      <c r="R36" s="125"/>
      <c r="S36" s="156">
        <f>IF(P36&gt;0,P36,0)</f>
        <v>0</v>
      </c>
      <c r="T36" s="156">
        <f>IF(Q36&lt;0,Q36,0)</f>
        <v>-72016.959999999992</v>
      </c>
      <c r="U36" s="156">
        <f>+S36+T36</f>
        <v>-72016.959999999992</v>
      </c>
      <c r="V36" s="156" t="str">
        <f t="shared" ref="V36:V43" si="6">VLOOKUP(U36,$S$23:$T$30,2,FALSE)</f>
        <v>BSM 5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-17917.920000000013</v>
      </c>
      <c r="Q37" s="160">
        <f>SMALL($S$23:$S$32,2)</f>
        <v>-17917.920000000013</v>
      </c>
      <c r="R37" s="125"/>
      <c r="S37" s="156">
        <f t="shared" ref="S37:S43" si="7">IF(P37&gt;0,P37,0)</f>
        <v>0</v>
      </c>
      <c r="T37" s="156">
        <f t="shared" ref="T37:T43" si="8">IF(Q37&lt;0,Q37,0)</f>
        <v>-17917.920000000013</v>
      </c>
      <c r="U37" s="156">
        <f t="shared" ref="U37:U43" si="9">+S37+T37</f>
        <v>-17917.920000000013</v>
      </c>
      <c r="V37" s="156" t="str">
        <f t="shared" si="6"/>
        <v>BSM 3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-8957.84</v>
      </c>
      <c r="Q38" s="160">
        <f>SMALL($S$23:$S$32,3)</f>
        <v>-8957.84</v>
      </c>
      <c r="R38" s="125"/>
      <c r="S38" s="156">
        <f t="shared" si="7"/>
        <v>0</v>
      </c>
      <c r="T38" s="156">
        <f t="shared" si="8"/>
        <v>-8957.84</v>
      </c>
      <c r="U38" s="156">
        <f t="shared" si="9"/>
        <v>-8957.84</v>
      </c>
      <c r="V38" s="156" t="str">
        <f t="shared" si="6"/>
        <v>BSM 2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-6116.5599999999977</v>
      </c>
      <c r="Q39" s="160">
        <f>SMALL($S$23:$S$32,4)</f>
        <v>-6116.5599999999977</v>
      </c>
      <c r="R39" s="125"/>
      <c r="S39" s="156">
        <f t="shared" si="7"/>
        <v>0</v>
      </c>
      <c r="T39" s="156">
        <f t="shared" si="8"/>
        <v>-6116.5599999999977</v>
      </c>
      <c r="U39" s="156">
        <f t="shared" si="9"/>
        <v>-6116.5599999999977</v>
      </c>
      <c r="V39" s="156" t="str">
        <f t="shared" si="6"/>
        <v>REP 02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-3988.7200000000012</v>
      </c>
      <c r="Q40" s="160">
        <f>SMALL($S$23:$S$32,5)</f>
        <v>-3988.7200000000012</v>
      </c>
      <c r="R40" s="125"/>
      <c r="S40" s="156">
        <f t="shared" si="7"/>
        <v>0</v>
      </c>
      <c r="T40" s="156">
        <f t="shared" si="8"/>
        <v>-3988.7200000000012</v>
      </c>
      <c r="U40" s="156">
        <f t="shared" si="9"/>
        <v>-3988.7200000000012</v>
      </c>
      <c r="V40" s="156" t="str">
        <f t="shared" si="6"/>
        <v>REP 06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2756.5600000000013</v>
      </c>
      <c r="Q41" s="160">
        <f>SMALL($S$23:$S$32,6)</f>
        <v>2756.5600000000013</v>
      </c>
      <c r="R41" s="125"/>
      <c r="S41" s="156">
        <f t="shared" si="7"/>
        <v>2756.5600000000013</v>
      </c>
      <c r="T41" s="156">
        <f t="shared" si="8"/>
        <v>0</v>
      </c>
      <c r="U41" s="156">
        <f t="shared" si="9"/>
        <v>2756.5600000000013</v>
      </c>
      <c r="V41" s="156" t="str">
        <f t="shared" si="6"/>
        <v>BRIT 1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7423.4000000000087</v>
      </c>
      <c r="Q42" s="160">
        <f>SMALL($S$23:$S$32,7)</f>
        <v>7423.4000000000087</v>
      </c>
      <c r="R42" s="125"/>
      <c r="S42" s="156">
        <f t="shared" si="7"/>
        <v>7423.4000000000087</v>
      </c>
      <c r="T42" s="156">
        <f t="shared" si="8"/>
        <v>0</v>
      </c>
      <c r="U42" s="156">
        <f t="shared" si="9"/>
        <v>7423.4000000000087</v>
      </c>
      <c r="V42" s="156" t="str">
        <f t="shared" si="6"/>
        <v>BSM 7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49443.199999999997</v>
      </c>
      <c r="Q43" s="160">
        <f>SMALL($S$23:$S$32,8)</f>
        <v>49443.199999999997</v>
      </c>
      <c r="R43" s="125"/>
      <c r="S43" s="156">
        <f t="shared" si="7"/>
        <v>49443.199999999997</v>
      </c>
      <c r="T43" s="156">
        <f t="shared" si="8"/>
        <v>0</v>
      </c>
      <c r="U43" s="156">
        <f t="shared" si="9"/>
        <v>49443.199999999997</v>
      </c>
      <c r="V43" s="156" t="str">
        <f t="shared" si="6"/>
        <v>BSM 6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24:H24"/>
    <mergeCell ref="C25:H25"/>
    <mergeCell ref="C26:H26"/>
    <mergeCell ref="C21:H21"/>
    <mergeCell ref="A22:H22"/>
    <mergeCell ref="C23:H23"/>
    <mergeCell ref="A16:H16"/>
    <mergeCell ref="C17:H17"/>
    <mergeCell ref="C18:H18"/>
    <mergeCell ref="C19:H19"/>
    <mergeCell ref="C20:H20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DasEntrada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zoomScale="90" zoomScaleNormal="90" workbookViewId="0">
      <selection activeCell="K17" sqref="K17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285156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4" width="9.85546875" bestFit="1" customWidth="1"/>
    <col min="85" max="85" width="9.4257812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100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101</v>
      </c>
      <c r="BB1" t="s">
        <v>102</v>
      </c>
      <c r="BC1" t="s">
        <v>103</v>
      </c>
      <c r="BD1" t="s">
        <v>104</v>
      </c>
      <c r="BE1" t="s">
        <v>105</v>
      </c>
      <c r="BF1" t="s">
        <v>106</v>
      </c>
      <c r="BG1" t="s">
        <v>107</v>
      </c>
      <c r="BH1" t="s">
        <v>108</v>
      </c>
      <c r="BI1" t="s">
        <v>109</v>
      </c>
      <c r="BJ1" t="s">
        <v>110</v>
      </c>
      <c r="BK1" t="s">
        <v>111</v>
      </c>
      <c r="BM1" s="93" t="s">
        <v>6</v>
      </c>
      <c r="BN1" s="93" t="s">
        <v>112</v>
      </c>
      <c r="BO1" s="93" t="s">
        <v>113</v>
      </c>
      <c r="BP1" s="93" t="s">
        <v>114</v>
      </c>
      <c r="BQ1" s="93" t="s">
        <v>115</v>
      </c>
      <c r="BR1" s="93" t="s">
        <v>116</v>
      </c>
      <c r="CD1" s="93" t="s">
        <v>117</v>
      </c>
      <c r="CE1" s="93" t="s">
        <v>31</v>
      </c>
      <c r="CF1" s="93" t="s">
        <v>118</v>
      </c>
      <c r="CG1" s="93" t="s">
        <v>119</v>
      </c>
    </row>
    <row r="2" spans="1:85" ht="15.75">
      <c r="A2" s="3" t="s">
        <v>120</v>
      </c>
      <c r="B2" s="4" t="s">
        <v>31</v>
      </c>
      <c r="C2" s="4" t="s">
        <v>33</v>
      </c>
      <c r="D2" s="8" t="s">
        <v>121</v>
      </c>
      <c r="E2" s="8" t="s">
        <v>122</v>
      </c>
      <c r="F2" s="8" t="s">
        <v>123</v>
      </c>
      <c r="G2" s="8" t="s">
        <v>124</v>
      </c>
      <c r="I2" s="3" t="s">
        <v>10</v>
      </c>
      <c r="J2" s="4" t="s">
        <v>31</v>
      </c>
      <c r="K2" s="4" t="s">
        <v>33</v>
      </c>
      <c r="L2" s="8" t="s">
        <v>121</v>
      </c>
      <c r="M2" s="8" t="s">
        <v>122</v>
      </c>
      <c r="N2" s="8" t="s">
        <v>123</v>
      </c>
      <c r="O2" s="8" t="s">
        <v>124</v>
      </c>
      <c r="Q2" s="3" t="s">
        <v>12</v>
      </c>
      <c r="R2" s="4" t="s">
        <v>31</v>
      </c>
      <c r="S2" s="4" t="s">
        <v>33</v>
      </c>
      <c r="T2" s="8" t="s">
        <v>121</v>
      </c>
      <c r="U2" s="8" t="s">
        <v>122</v>
      </c>
      <c r="V2" s="8" t="s">
        <v>123</v>
      </c>
      <c r="W2" s="8" t="s">
        <v>124</v>
      </c>
      <c r="Y2" s="3" t="s">
        <v>13</v>
      </c>
      <c r="Z2" s="4" t="s">
        <v>31</v>
      </c>
      <c r="AA2" s="4" t="s">
        <v>33</v>
      </c>
      <c r="AB2" s="8" t="s">
        <v>121</v>
      </c>
      <c r="AC2" s="8" t="s">
        <v>122</v>
      </c>
      <c r="AD2" s="8" t="s">
        <v>123</v>
      </c>
      <c r="AE2" s="8" t="s">
        <v>124</v>
      </c>
      <c r="AG2" s="3" t="s">
        <v>14</v>
      </c>
      <c r="AH2" s="4" t="s">
        <v>31</v>
      </c>
      <c r="AI2" s="4" t="s">
        <v>33</v>
      </c>
      <c r="AJ2" s="8" t="s">
        <v>121</v>
      </c>
      <c r="AK2" s="8" t="s">
        <v>122</v>
      </c>
      <c r="AL2" s="8" t="s">
        <v>123</v>
      </c>
      <c r="AM2" s="8" t="s">
        <v>124</v>
      </c>
      <c r="AP2" s="3" t="s">
        <v>15</v>
      </c>
      <c r="AQ2" s="4" t="s">
        <v>31</v>
      </c>
      <c r="AR2" s="4" t="s">
        <v>33</v>
      </c>
      <c r="AS2" s="8" t="s">
        <v>121</v>
      </c>
      <c r="AT2" s="8" t="s">
        <v>122</v>
      </c>
      <c r="AU2" s="8" t="s">
        <v>123</v>
      </c>
      <c r="AV2" s="8" t="s">
        <v>124</v>
      </c>
      <c r="BA2">
        <v>1</v>
      </c>
      <c r="BB2">
        <v>8470.6132451548528</v>
      </c>
      <c r="BC2">
        <v>8485</v>
      </c>
      <c r="BD2">
        <v>2474.7600000000002</v>
      </c>
      <c r="BE2">
        <v>982</v>
      </c>
      <c r="BF2">
        <v>2106.1415999999995</v>
      </c>
      <c r="BG2">
        <v>1160</v>
      </c>
      <c r="BH2">
        <v>142.95833333333331</v>
      </c>
      <c r="BI2">
        <v>290</v>
      </c>
      <c r="BJ2">
        <v>0</v>
      </c>
      <c r="BK2">
        <v>269</v>
      </c>
      <c r="BM2" s="94" t="str">
        <f ca="1">'ACOMPANHAMENTO USINA'!$AN$3</f>
        <v>23:59:59</v>
      </c>
      <c r="BN2" s="95">
        <f>'JUSTIFICATIVA DE USINA'!$AG$2</f>
        <v>205000</v>
      </c>
      <c r="BO2" s="95">
        <f>'JUSTIFICATIVA DE USINA'!$AS$2</f>
        <v>46000</v>
      </c>
      <c r="BP2" s="95">
        <f>'JUSTIFICATIVA DE USINA'!$BE$2</f>
        <v>31000</v>
      </c>
      <c r="BQ2" s="95">
        <f>'JUSTIFICATIVA DE USINA'!$BQ$2</f>
        <v>5000</v>
      </c>
      <c r="BR2">
        <f>'JUSTIFICATIVA DE USINA'!$CA$2</f>
        <v>0</v>
      </c>
      <c r="CD2" s="162" t="s">
        <v>90</v>
      </c>
      <c r="CE2" s="184">
        <v>106530.95999999999</v>
      </c>
      <c r="CF2" s="184">
        <v>34514</v>
      </c>
      <c r="CG2" s="184">
        <f>TB_Entradas[[#This Row],[EXEC]]-TB_Entradas[[#This Row],[D+1]]</f>
        <v>-72016.959999999992</v>
      </c>
    </row>
    <row r="3" spans="1:85" ht="15.75">
      <c r="A3" s="2">
        <v>1</v>
      </c>
      <c r="B3" s="1">
        <f>SUM(J3,R3,Z3,AH3)</f>
        <v>13194.473178488186</v>
      </c>
      <c r="C3" s="1">
        <f t="shared" ref="C3:C26" ca="1" si="0">IF(K3="","",SUM(K3,S3,AA3,AI3))</f>
        <v>10917</v>
      </c>
      <c r="D3" s="1">
        <f t="shared" ref="D3:D26" ca="1" si="1">IF(C3="","",B3)</f>
        <v>13194.473178488186</v>
      </c>
      <c r="E3" s="1" t="str">
        <f ca="1">IF(C3="",B3,"")</f>
        <v/>
      </c>
      <c r="F3" s="1"/>
      <c r="G3" s="1"/>
      <c r="H3" s="12">
        <f ca="1">IF(C3="","",C3-B3)</f>
        <v>-2277.473178488186</v>
      </c>
      <c r="I3" s="2">
        <v>1</v>
      </c>
      <c r="J3" s="1">
        <f>BB2</f>
        <v>8470.6132451548528</v>
      </c>
      <c r="K3" s="1">
        <f ca="1">IF(I3-1&lt;=$A$1,IF($BC2="","",$BC2),"")</f>
        <v>8485</v>
      </c>
      <c r="L3" s="1">
        <f t="shared" ref="L3:L26" ca="1" si="2">IF(K3="","",J3)</f>
        <v>8470.6132451548528</v>
      </c>
      <c r="M3" s="1" t="str">
        <f ca="1">IF(K3="",J3,"")</f>
        <v/>
      </c>
      <c r="N3" s="1"/>
      <c r="O3" s="1"/>
      <c r="P3" s="12">
        <f ca="1">IF(K3="","",K3-J3)</f>
        <v>14.386754845147152</v>
      </c>
      <c r="Q3" s="2">
        <v>1</v>
      </c>
      <c r="R3" s="1">
        <f>$BD2</f>
        <v>2474.7600000000002</v>
      </c>
      <c r="S3" s="1">
        <f ca="1">IF(Q3-1&lt;=$A$1,IF($BE2="","",$BE2),"")</f>
        <v>982</v>
      </c>
      <c r="T3" s="1">
        <f t="shared" ref="T3:T26" ca="1" si="3">IF(S3="","",R3)</f>
        <v>2474.7600000000002</v>
      </c>
      <c r="U3" s="1" t="str">
        <f ca="1">IF(S3="",R3,"")</f>
        <v/>
      </c>
      <c r="V3" s="1"/>
      <c r="W3" s="1"/>
      <c r="X3" s="12">
        <f ca="1">IF(S3="","",S3-R3)</f>
        <v>-1492.7600000000002</v>
      </c>
      <c r="Y3" s="2">
        <v>1</v>
      </c>
      <c r="Z3" s="1">
        <f>BF2</f>
        <v>2106.1415999999995</v>
      </c>
      <c r="AA3" s="1">
        <f ca="1">IF(Y3-1&lt;=$A$1,IF($BG2="","",$BG2),"")</f>
        <v>1160</v>
      </c>
      <c r="AB3" s="1">
        <f t="shared" ref="AB3:AB26" ca="1" si="4">IF(AA3="","",Z3)</f>
        <v>2106.1415999999995</v>
      </c>
      <c r="AC3" s="1" t="str">
        <f ca="1">IF(AA3="",Z3,"")</f>
        <v/>
      </c>
      <c r="AD3" s="1"/>
      <c r="AE3" s="1"/>
      <c r="AF3" s="12">
        <f ca="1">IF(AA3="","",AA3-Z3)</f>
        <v>-946.14159999999947</v>
      </c>
      <c r="AG3" s="2">
        <v>1</v>
      </c>
      <c r="AH3" s="1">
        <f>BH2</f>
        <v>142.95833333333331</v>
      </c>
      <c r="AI3" s="1">
        <f ca="1">IF(AG3-1&lt;=$A$1,IF($BI2="","",$BI2),"")</f>
        <v>290</v>
      </c>
      <c r="AJ3" s="1">
        <f t="shared" ref="AJ3:AJ26" ca="1" si="5">IF(AI3="","",AH3)</f>
        <v>142.95833333333331</v>
      </c>
      <c r="AK3" s="1" t="str">
        <f ca="1">IF(AI3="",AH3,"")</f>
        <v/>
      </c>
      <c r="AL3" s="1"/>
      <c r="AM3" s="1"/>
      <c r="AN3" s="12">
        <f ca="1">IF(AI3="","",AI3-AH3)</f>
        <v>147.04166666666669</v>
      </c>
      <c r="AP3" s="2">
        <v>1</v>
      </c>
      <c r="AQ3" s="1">
        <f>BJ2</f>
        <v>0</v>
      </c>
      <c r="AR3" s="1">
        <f ca="1">IF(AP3-1&lt;=$A$1,IF($BK2="","",$BK2),"")</f>
        <v>269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8556.3921988529255</v>
      </c>
      <c r="BC3">
        <v>9231</v>
      </c>
      <c r="BD3">
        <v>2289.48</v>
      </c>
      <c r="BE3">
        <v>1025</v>
      </c>
      <c r="BF3">
        <v>2472.1032</v>
      </c>
      <c r="BG3">
        <v>1080</v>
      </c>
      <c r="BH3">
        <v>142.95833333333331</v>
      </c>
      <c r="BI3">
        <v>205</v>
      </c>
      <c r="BJ3">
        <v>0</v>
      </c>
      <c r="BK3">
        <v>927</v>
      </c>
      <c r="BM3" t="s">
        <v>125</v>
      </c>
      <c r="BN3" s="96" t="str">
        <f>'JUSTIFICATIVA DE USINA'!$Z$3</f>
        <v>- Aderente ao programada.
Ocorrências:*
- Baixa oferta de ROM,  ESC 0901 correção de praça, das 00:32 às 01:35;
- PEN 02: baixa produtividade, material úmido e argiloso PUL 680 JAC e ESC 1002, a partir 01:00h, como ação para corrigir o blend foi direcionada ESC 0901 para priorizar alimentação só para US1, a partir 02:30;
*Ponto de Atenção:
-
*-</v>
      </c>
      <c r="BO3" s="96" t="str">
        <f>'JUSTIFICATIVA DE USINA'!$AL$3</f>
        <v xml:space="preserve">   -Abaixo da programação
- Impactos:
- TR 3011-24/Classificação: ocorreram diversas paradas devido a falhas na partida do motor de acionamento da TR 3011-024. durante a inspeção, foi identificado que o conversor de rede do M2 apresentou falha de comunicação na rede Profibus, sendo substituído, das 00: 15 às 05:00;
- BSM 5 permanece parada, devido atraso na manutenção preventiva, BR 2010KN01 com Falha no contactor, não está aceitando permissão de comando em modo manutenção (liberado), TR.2030KN-02 Com defeito no sensor de rasgo.
Equipe elétrica em campo verificando as falhas.
 PN 2030-10 fala no inverosr, das 13:09 às 13:25;
- TR 3011-19/Classificação,Bloco B, chave de nivel alto, desde  13:08 (vigente);
- SI 3011-03/Classificação: Eco na sonda, das 15:27 às 16:20, das 18:07 às 18:20; 
Ocorrências:
 - Início da alimentação da Classificação às 23h35 com material ensilado para início da PGU. O modo de operação em "anti-avalanche", ativando uma linha por vez.
 -  Alimentação da RC 3011-01 iniciada à retomada às 00h40.
-  TR 3011-18/Classificação: recorrentes paradas por detector de metal;
*Ponto de Atenção:*
- BR 3030-03,05: atraso de manutenção preventiva;
- RC 3011-01: Vazamento no chute da roda 02, a partir 03:50.</v>
      </c>
      <c r="BP3" s="96" t="str">
        <f>'JUSTIFICATIVA DE USINA'!$AX$3</f>
        <v xml:space="preserve">- Abaixo ao programada.
- Impactos:
- REP 06: Baixa oferta de ROM, ESC 0901 correções de praça, das 00:32 às 01:35;
- REP 02: Baixa oferta de ROM, material do PUL BSM 07 não atende ( fora da granulometria), das 00:00 às 02:00h;
- REP 06:  Baixa produtividade, ESC 0901 priorizando alimentação par US1, a partir 02:30;
*Pontos de Atenção:*
- LN’s 1230- 20/21/REP 02, manutenção preventiva, Previsão17/08 às 23h59.
</v>
      </c>
      <c r="BQ3" s="96" t="str">
        <f>'JUSTIFICATIVA DE USINA'!$BJ$3</f>
        <v>'- Aderente a massa programada.</v>
      </c>
      <c r="BR3" s="96">
        <f>'JUSTIFICATIVA DE USINA'!$BT$3</f>
        <v>0</v>
      </c>
      <c r="CD3" s="162" t="s">
        <v>79</v>
      </c>
      <c r="CE3" s="184">
        <v>92767.920000000013</v>
      </c>
      <c r="CF3" s="184">
        <v>74850</v>
      </c>
      <c r="CG3" s="184">
        <f>TB_Entradas[[#This Row],[EXEC]]-TB_Entradas[[#This Row],[D+1]]</f>
        <v>-17917.920000000013</v>
      </c>
    </row>
    <row r="4" spans="1:85" ht="15.75">
      <c r="A4" s="2">
        <v>2</v>
      </c>
      <c r="B4" s="1">
        <f>SUM(J4,R4,Z4,AH4)</f>
        <v>13460.933732186259</v>
      </c>
      <c r="C4" s="1">
        <f t="shared" ca="1" si="0"/>
        <v>11541</v>
      </c>
      <c r="D4" s="1">
        <f t="shared" ca="1" si="1"/>
        <v>13460.933732186259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-1919.9337321862586</v>
      </c>
      <c r="I4" s="2">
        <v>2</v>
      </c>
      <c r="J4" s="1">
        <f t="shared" ref="J4:J26" si="8">BB3</f>
        <v>8556.3921988529255</v>
      </c>
      <c r="K4" s="1">
        <f t="shared" ref="K4:K26" ca="1" si="9">IF(I4-1&lt;=$A$1,IF($BC3="","",$BC3),"")</f>
        <v>9231</v>
      </c>
      <c r="L4" s="1">
        <f t="shared" ca="1" si="2"/>
        <v>8556.3921988529255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674.6078011470745</v>
      </c>
      <c r="Q4" s="2">
        <v>2</v>
      </c>
      <c r="R4" s="1">
        <f t="shared" ref="R4:R26" si="12">$BD3</f>
        <v>2289.48</v>
      </c>
      <c r="S4" s="1">
        <f t="shared" ref="S4:S26" ca="1" si="13">IF(Q4-1&lt;=$A$1,IF($BE3="","",$BE3),"")</f>
        <v>1025</v>
      </c>
      <c r="T4" s="1">
        <f t="shared" ca="1" si="3"/>
        <v>2289.48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-1264.48</v>
      </c>
      <c r="Y4" s="2">
        <v>2</v>
      </c>
      <c r="Z4" s="1">
        <f t="shared" ref="Z4:Z26" si="16">BF3</f>
        <v>2472.1032</v>
      </c>
      <c r="AA4" s="1">
        <f t="shared" ref="AA4:AA26" ca="1" si="17">IF(Y4-1&lt;=$A$1,IF($BG3="","",$BG3),"")</f>
        <v>1080</v>
      </c>
      <c r="AB4" s="1">
        <f t="shared" ca="1" si="4"/>
        <v>2472.1032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-1392.1032</v>
      </c>
      <c r="AG4" s="2">
        <v>2</v>
      </c>
      <c r="AH4" s="1">
        <f t="shared" ref="AH4:AH26" si="20">BH3</f>
        <v>142.95833333333331</v>
      </c>
      <c r="AI4" s="1">
        <f t="shared" ref="AI4:AI26" ca="1" si="21">IF(AG4-1&lt;=$A$1,IF($BI3="","",$BI3),"")</f>
        <v>205</v>
      </c>
      <c r="AJ4" s="1">
        <f t="shared" ca="1" si="5"/>
        <v>142.95833333333331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62.041666666666686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927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7985.0389227904261</v>
      </c>
      <c r="BC4">
        <v>8562</v>
      </c>
      <c r="BD4">
        <v>4453.2</v>
      </c>
      <c r="BE4">
        <v>250</v>
      </c>
      <c r="BF4">
        <v>1365.3719999999998</v>
      </c>
      <c r="BG4">
        <v>780</v>
      </c>
      <c r="BH4">
        <v>142.95833333333331</v>
      </c>
      <c r="BI4">
        <v>349</v>
      </c>
      <c r="BJ4">
        <v>0</v>
      </c>
      <c r="BK4">
        <v>1348</v>
      </c>
      <c r="CD4" s="162" t="s">
        <v>77</v>
      </c>
      <c r="CE4" s="184">
        <v>29373.84</v>
      </c>
      <c r="CF4" s="184">
        <v>20416</v>
      </c>
      <c r="CG4" s="184">
        <f>TB_Entradas[[#This Row],[EXEC]]-TB_Entradas[[#This Row],[D+1]]</f>
        <v>-8957.84</v>
      </c>
    </row>
    <row r="5" spans="1:85" ht="15.75">
      <c r="A5" s="2">
        <v>3</v>
      </c>
      <c r="B5" s="1">
        <f t="shared" ref="B5:B26" si="28">SUM(J5,R5,Z5,AH5)</f>
        <v>13946.569256123759</v>
      </c>
      <c r="C5" s="1">
        <f t="shared" ca="1" si="0"/>
        <v>9941</v>
      </c>
      <c r="D5" s="1">
        <f t="shared" ca="1" si="1"/>
        <v>13946.569256123759</v>
      </c>
      <c r="E5" s="1" t="str">
        <f t="shared" ca="1" si="6"/>
        <v/>
      </c>
      <c r="F5" s="1"/>
      <c r="G5" s="1"/>
      <c r="H5" s="12">
        <f t="shared" ca="1" si="7"/>
        <v>-4005.5692561237593</v>
      </c>
      <c r="I5" s="2">
        <v>3</v>
      </c>
      <c r="J5" s="1">
        <f t="shared" si="8"/>
        <v>7985.0389227904261</v>
      </c>
      <c r="K5" s="1">
        <f t="shared" ca="1" si="9"/>
        <v>8562</v>
      </c>
      <c r="L5" s="1">
        <f t="shared" ca="1" si="2"/>
        <v>7985.0389227904261</v>
      </c>
      <c r="M5" s="1" t="str">
        <f t="shared" ca="1" si="10"/>
        <v/>
      </c>
      <c r="N5" s="1"/>
      <c r="O5" s="1"/>
      <c r="P5" s="12">
        <f t="shared" ca="1" si="11"/>
        <v>576.96107720957389</v>
      </c>
      <c r="Q5" s="2">
        <v>3</v>
      </c>
      <c r="R5" s="1">
        <f t="shared" si="12"/>
        <v>4453.2</v>
      </c>
      <c r="S5" s="1">
        <f t="shared" ca="1" si="13"/>
        <v>250</v>
      </c>
      <c r="T5" s="1">
        <f t="shared" ca="1" si="3"/>
        <v>4453.2</v>
      </c>
      <c r="U5" s="1" t="str">
        <f t="shared" ca="1" si="14"/>
        <v/>
      </c>
      <c r="V5" s="1"/>
      <c r="W5" s="1"/>
      <c r="X5" s="12">
        <f t="shared" ca="1" si="15"/>
        <v>-4203.2</v>
      </c>
      <c r="Y5" s="2">
        <v>3</v>
      </c>
      <c r="Z5" s="1">
        <f t="shared" si="16"/>
        <v>1365.3719999999998</v>
      </c>
      <c r="AA5" s="1">
        <f t="shared" ca="1" si="17"/>
        <v>780</v>
      </c>
      <c r="AB5" s="1">
        <f t="shared" ca="1" si="4"/>
        <v>1365.3719999999998</v>
      </c>
      <c r="AC5" s="1" t="str">
        <f t="shared" ca="1" si="18"/>
        <v/>
      </c>
      <c r="AD5" s="1"/>
      <c r="AE5" s="1"/>
      <c r="AF5" s="12">
        <f t="shared" ca="1" si="19"/>
        <v>-585.37199999999984</v>
      </c>
      <c r="AG5" s="2">
        <v>3</v>
      </c>
      <c r="AH5" s="1">
        <f t="shared" si="20"/>
        <v>142.95833333333331</v>
      </c>
      <c r="AI5" s="1">
        <f t="shared" ca="1" si="21"/>
        <v>349</v>
      </c>
      <c r="AJ5" s="1">
        <f t="shared" ca="1" si="5"/>
        <v>142.95833333333331</v>
      </c>
      <c r="AK5" s="1" t="str">
        <f t="shared" ca="1" si="22"/>
        <v/>
      </c>
      <c r="AL5" s="1"/>
      <c r="AM5" s="1"/>
      <c r="AN5" s="12">
        <f t="shared" ca="1" si="23"/>
        <v>206.04166666666669</v>
      </c>
      <c r="AP5" s="2">
        <v>3</v>
      </c>
      <c r="AQ5" s="1">
        <f t="shared" si="24"/>
        <v>0</v>
      </c>
      <c r="AR5" s="1">
        <f t="shared" ca="1" si="25"/>
        <v>1348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7949.8625398706454</v>
      </c>
      <c r="BC5">
        <v>8263</v>
      </c>
      <c r="BD5">
        <v>4786.08</v>
      </c>
      <c r="BE5">
        <v>3904</v>
      </c>
      <c r="BF5">
        <v>1365.3719999999998</v>
      </c>
      <c r="BG5">
        <v>1170</v>
      </c>
      <c r="BH5">
        <v>142.95833333333331</v>
      </c>
      <c r="BI5">
        <v>221</v>
      </c>
      <c r="BJ5">
        <v>0</v>
      </c>
      <c r="BK5">
        <v>1092</v>
      </c>
      <c r="CD5" s="162" t="s">
        <v>93</v>
      </c>
      <c r="CE5" s="184">
        <v>13756.559999999998</v>
      </c>
      <c r="CF5" s="184">
        <v>7640</v>
      </c>
      <c r="CG5" s="184">
        <f>TB_Entradas[[#This Row],[EXEC]]-TB_Entradas[[#This Row],[D+1]]</f>
        <v>-6116.5599999999977</v>
      </c>
    </row>
    <row r="6" spans="1:85" ht="15.75">
      <c r="A6" s="2">
        <v>4</v>
      </c>
      <c r="B6" s="1">
        <f t="shared" si="28"/>
        <v>14244.272873203978</v>
      </c>
      <c r="C6" s="1">
        <f t="shared" ca="1" si="0"/>
        <v>13558</v>
      </c>
      <c r="D6" s="1">
        <f t="shared" ca="1" si="1"/>
        <v>14244.272873203978</v>
      </c>
      <c r="E6" s="1" t="str">
        <f t="shared" ca="1" si="6"/>
        <v/>
      </c>
      <c r="F6" s="1"/>
      <c r="G6" s="1"/>
      <c r="H6" s="12">
        <f t="shared" ca="1" si="7"/>
        <v>-686.27287320397772</v>
      </c>
      <c r="I6" s="2">
        <v>4</v>
      </c>
      <c r="J6" s="1">
        <f t="shared" si="8"/>
        <v>7949.8625398706454</v>
      </c>
      <c r="K6" s="1">
        <f t="shared" ca="1" si="9"/>
        <v>8263</v>
      </c>
      <c r="L6" s="1">
        <f t="shared" ca="1" si="2"/>
        <v>7949.8625398706454</v>
      </c>
      <c r="M6" s="1" t="str">
        <f t="shared" ca="1" si="10"/>
        <v/>
      </c>
      <c r="N6" s="1"/>
      <c r="O6" s="1"/>
      <c r="P6" s="12">
        <f t="shared" ca="1" si="11"/>
        <v>313.13746012935462</v>
      </c>
      <c r="Q6" s="2">
        <v>4</v>
      </c>
      <c r="R6" s="1">
        <f t="shared" si="12"/>
        <v>4786.08</v>
      </c>
      <c r="S6" s="1">
        <f t="shared" ca="1" si="13"/>
        <v>3904</v>
      </c>
      <c r="T6" s="1">
        <f t="shared" ca="1" si="3"/>
        <v>4786.08</v>
      </c>
      <c r="U6" s="1" t="str">
        <f t="shared" ca="1" si="14"/>
        <v/>
      </c>
      <c r="V6" s="1"/>
      <c r="W6" s="1"/>
      <c r="X6" s="12">
        <f t="shared" ca="1" si="15"/>
        <v>-882.07999999999993</v>
      </c>
      <c r="Y6" s="2">
        <v>4</v>
      </c>
      <c r="Z6" s="1">
        <f t="shared" si="16"/>
        <v>1365.3719999999998</v>
      </c>
      <c r="AA6" s="1">
        <f t="shared" ca="1" si="17"/>
        <v>1170</v>
      </c>
      <c r="AB6" s="1">
        <f t="shared" ca="1" si="4"/>
        <v>1365.3719999999998</v>
      </c>
      <c r="AC6" s="1" t="str">
        <f t="shared" ca="1" si="18"/>
        <v/>
      </c>
      <c r="AD6" s="1"/>
      <c r="AE6" s="1"/>
      <c r="AF6" s="12">
        <f t="shared" ca="1" si="19"/>
        <v>-195.37199999999984</v>
      </c>
      <c r="AG6" s="2">
        <v>4</v>
      </c>
      <c r="AH6" s="1">
        <f t="shared" si="20"/>
        <v>142.95833333333331</v>
      </c>
      <c r="AI6" s="1">
        <f t="shared" ca="1" si="21"/>
        <v>221</v>
      </c>
      <c r="AJ6" s="1">
        <f t="shared" ca="1" si="5"/>
        <v>142.95833333333331</v>
      </c>
      <c r="AK6" s="1" t="str">
        <f t="shared" ca="1" si="22"/>
        <v/>
      </c>
      <c r="AL6" s="1"/>
      <c r="AM6" s="1"/>
      <c r="AN6" s="12">
        <f t="shared" ca="1" si="23"/>
        <v>78.041666666666686</v>
      </c>
      <c r="AP6" s="2">
        <v>4</v>
      </c>
      <c r="AQ6" s="1">
        <f t="shared" si="24"/>
        <v>0</v>
      </c>
      <c r="AR6" s="1">
        <f t="shared" ca="1" si="25"/>
        <v>1092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8238.8698320986168</v>
      </c>
      <c r="BC6">
        <v>9004</v>
      </c>
      <c r="BD6">
        <v>4911.84</v>
      </c>
      <c r="BE6">
        <v>1204</v>
      </c>
      <c r="BF6">
        <v>1114.0644</v>
      </c>
      <c r="BG6">
        <v>2030</v>
      </c>
      <c r="BH6">
        <v>142.95833333333331</v>
      </c>
      <c r="BI6">
        <v>356</v>
      </c>
      <c r="BJ6">
        <v>0</v>
      </c>
      <c r="BK6">
        <v>1</v>
      </c>
      <c r="CD6" s="162" t="s">
        <v>94</v>
      </c>
      <c r="CE6" s="184">
        <v>23511.72</v>
      </c>
      <c r="CF6" s="184">
        <v>19523</v>
      </c>
      <c r="CG6" s="184">
        <f>TB_Entradas[[#This Row],[EXEC]]-TB_Entradas[[#This Row],[D+1]]</f>
        <v>-3988.7200000000012</v>
      </c>
    </row>
    <row r="7" spans="1:85" ht="15.75">
      <c r="A7" s="2">
        <v>5</v>
      </c>
      <c r="B7" s="1">
        <f t="shared" si="28"/>
        <v>14407.73256543195</v>
      </c>
      <c r="C7" s="1">
        <f t="shared" ca="1" si="0"/>
        <v>12594</v>
      </c>
      <c r="D7" s="1">
        <f t="shared" ca="1" si="1"/>
        <v>14407.73256543195</v>
      </c>
      <c r="E7" s="1" t="str">
        <f t="shared" ca="1" si="6"/>
        <v/>
      </c>
      <c r="F7" s="1"/>
      <c r="G7" s="1"/>
      <c r="H7" s="12">
        <f t="shared" ca="1" si="7"/>
        <v>-1813.7325654319502</v>
      </c>
      <c r="I7" s="2">
        <v>5</v>
      </c>
      <c r="J7" s="1">
        <f t="shared" si="8"/>
        <v>8238.8698320986168</v>
      </c>
      <c r="K7" s="1">
        <f t="shared" ca="1" si="9"/>
        <v>9004</v>
      </c>
      <c r="L7" s="1">
        <f t="shared" ca="1" si="2"/>
        <v>8238.8698320986168</v>
      </c>
      <c r="M7" s="1" t="str">
        <f t="shared" ca="1" si="10"/>
        <v/>
      </c>
      <c r="N7" s="1"/>
      <c r="O7" s="1"/>
      <c r="P7" s="12">
        <f t="shared" ca="1" si="11"/>
        <v>765.13016790138317</v>
      </c>
      <c r="Q7" s="2">
        <v>5</v>
      </c>
      <c r="R7" s="1">
        <f t="shared" si="12"/>
        <v>4911.84</v>
      </c>
      <c r="S7" s="1">
        <f t="shared" ca="1" si="13"/>
        <v>1204</v>
      </c>
      <c r="T7" s="1">
        <f t="shared" ca="1" si="3"/>
        <v>4911.84</v>
      </c>
      <c r="U7" s="1" t="str">
        <f t="shared" ca="1" si="14"/>
        <v/>
      </c>
      <c r="V7" s="1"/>
      <c r="W7" s="1"/>
      <c r="X7" s="12">
        <f t="shared" ca="1" si="15"/>
        <v>-3707.84</v>
      </c>
      <c r="Y7" s="2">
        <v>5</v>
      </c>
      <c r="Z7" s="1">
        <f t="shared" si="16"/>
        <v>1114.0644</v>
      </c>
      <c r="AA7" s="1">
        <f t="shared" ca="1" si="17"/>
        <v>2030</v>
      </c>
      <c r="AB7" s="1">
        <f t="shared" ca="1" si="4"/>
        <v>1114.0644</v>
      </c>
      <c r="AC7" s="1" t="str">
        <f t="shared" ca="1" si="18"/>
        <v/>
      </c>
      <c r="AD7" s="1"/>
      <c r="AE7" s="1"/>
      <c r="AF7" s="12">
        <f t="shared" ca="1" si="19"/>
        <v>915.93560000000002</v>
      </c>
      <c r="AG7" s="2">
        <v>5</v>
      </c>
      <c r="AH7" s="1">
        <f t="shared" si="20"/>
        <v>142.95833333333331</v>
      </c>
      <c r="AI7" s="1">
        <f t="shared" ca="1" si="21"/>
        <v>356</v>
      </c>
      <c r="AJ7" s="1">
        <f t="shared" ca="1" si="5"/>
        <v>142.95833333333331</v>
      </c>
      <c r="AK7" s="1" t="str">
        <f t="shared" ca="1" si="22"/>
        <v/>
      </c>
      <c r="AL7" s="1"/>
      <c r="AM7" s="1"/>
      <c r="AN7" s="12">
        <f t="shared" ca="1" si="23"/>
        <v>213.04166666666669</v>
      </c>
      <c r="AP7" s="2">
        <v>5</v>
      </c>
      <c r="AQ7" s="1">
        <f t="shared" si="24"/>
        <v>0</v>
      </c>
      <c r="AR7" s="1">
        <f t="shared" ca="1" si="25"/>
        <v>1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8425.8539273532715</v>
      </c>
      <c r="BC7">
        <v>10414</v>
      </c>
      <c r="BD7">
        <v>4060.08</v>
      </c>
      <c r="BE7">
        <v>1476</v>
      </c>
      <c r="BF7">
        <v>905.1264000000001</v>
      </c>
      <c r="BG7">
        <v>1550</v>
      </c>
      <c r="BH7">
        <v>142.95833333333331</v>
      </c>
      <c r="BI7">
        <v>161</v>
      </c>
      <c r="BJ7">
        <v>0</v>
      </c>
      <c r="BK7">
        <v>1</v>
      </c>
      <c r="CD7" s="162" t="s">
        <v>67</v>
      </c>
      <c r="CE7" s="184">
        <v>28363.439999999999</v>
      </c>
      <c r="CF7" s="184">
        <v>31120</v>
      </c>
      <c r="CG7" s="184">
        <f>TB_Entradas[[#This Row],[EXEC]]-TB_Entradas[[#This Row],[D+1]]</f>
        <v>2756.5600000000013</v>
      </c>
    </row>
    <row r="8" spans="1:85" ht="15.75">
      <c r="A8" s="2">
        <v>6</v>
      </c>
      <c r="B8" s="1">
        <f t="shared" si="28"/>
        <v>13534.018660686606</v>
      </c>
      <c r="C8" s="1">
        <f t="shared" ca="1" si="0"/>
        <v>13601</v>
      </c>
      <c r="D8" s="1">
        <f t="shared" ca="1" si="1"/>
        <v>13534.018660686606</v>
      </c>
      <c r="E8" s="1" t="str">
        <f t="shared" ca="1" si="6"/>
        <v/>
      </c>
      <c r="F8" s="1"/>
      <c r="G8" s="1"/>
      <c r="H8" s="12">
        <f t="shared" ca="1" si="7"/>
        <v>66.981339313393619</v>
      </c>
      <c r="I8" s="2">
        <v>6</v>
      </c>
      <c r="J8" s="1">
        <f t="shared" si="8"/>
        <v>8425.8539273532715</v>
      </c>
      <c r="K8" s="1">
        <f t="shared" ca="1" si="9"/>
        <v>10414</v>
      </c>
      <c r="L8" s="1">
        <f t="shared" ca="1" si="2"/>
        <v>8425.8539273532715</v>
      </c>
      <c r="M8" s="1" t="str">
        <f t="shared" ca="1" si="10"/>
        <v/>
      </c>
      <c r="N8" s="1"/>
      <c r="O8" s="1"/>
      <c r="P8" s="12">
        <f t="shared" ca="1" si="11"/>
        <v>1988.1460726467285</v>
      </c>
      <c r="Q8" s="2">
        <v>6</v>
      </c>
      <c r="R8" s="1">
        <f t="shared" si="12"/>
        <v>4060.08</v>
      </c>
      <c r="S8" s="1">
        <f t="shared" ca="1" si="13"/>
        <v>1476</v>
      </c>
      <c r="T8" s="1">
        <f t="shared" ca="1" si="3"/>
        <v>4060.08</v>
      </c>
      <c r="U8" s="1" t="str">
        <f t="shared" ca="1" si="14"/>
        <v/>
      </c>
      <c r="V8" s="1"/>
      <c r="W8" s="1"/>
      <c r="X8" s="12">
        <f t="shared" ca="1" si="15"/>
        <v>-2584.08</v>
      </c>
      <c r="Y8" s="2">
        <v>6</v>
      </c>
      <c r="Z8" s="1">
        <f t="shared" si="16"/>
        <v>905.1264000000001</v>
      </c>
      <c r="AA8" s="1">
        <f t="shared" ca="1" si="17"/>
        <v>1550</v>
      </c>
      <c r="AB8" s="1">
        <f t="shared" ca="1" si="4"/>
        <v>905.1264000000001</v>
      </c>
      <c r="AC8" s="1" t="str">
        <f t="shared" ca="1" si="18"/>
        <v/>
      </c>
      <c r="AD8" s="1"/>
      <c r="AE8" s="1"/>
      <c r="AF8" s="12">
        <f t="shared" ca="1" si="19"/>
        <v>644.8735999999999</v>
      </c>
      <c r="AG8" s="2">
        <v>6</v>
      </c>
      <c r="AH8" s="1">
        <f t="shared" si="20"/>
        <v>142.95833333333331</v>
      </c>
      <c r="AI8" s="1">
        <f t="shared" ca="1" si="21"/>
        <v>161</v>
      </c>
      <c r="AJ8" s="1">
        <f t="shared" ca="1" si="5"/>
        <v>142.95833333333331</v>
      </c>
      <c r="AK8" s="1" t="str">
        <f t="shared" ca="1" si="22"/>
        <v/>
      </c>
      <c r="AL8" s="1"/>
      <c r="AM8" s="1"/>
      <c r="AN8" s="12">
        <f t="shared" ca="1" si="23"/>
        <v>18.041666666666686</v>
      </c>
      <c r="AP8" s="2">
        <v>6</v>
      </c>
      <c r="AQ8" s="1">
        <f t="shared" si="24"/>
        <v>0</v>
      </c>
      <c r="AR8" s="1">
        <f t="shared" ca="1" si="25"/>
        <v>1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8656.8961500523019</v>
      </c>
      <c r="BC8">
        <v>9114.1</v>
      </c>
      <c r="BD8">
        <v>4496.88</v>
      </c>
      <c r="BE8">
        <v>0</v>
      </c>
      <c r="BF8">
        <v>1063.6632</v>
      </c>
      <c r="BG8">
        <v>990</v>
      </c>
      <c r="BH8">
        <v>142.95833333333331</v>
      </c>
      <c r="BI8">
        <v>0</v>
      </c>
      <c r="BJ8">
        <v>0</v>
      </c>
      <c r="BK8">
        <v>0</v>
      </c>
      <c r="CD8" s="162" t="s">
        <v>81</v>
      </c>
      <c r="CE8" s="184">
        <v>38490.599999999991</v>
      </c>
      <c r="CF8" s="184">
        <v>45914</v>
      </c>
      <c r="CG8" s="184">
        <f>TB_Entradas[[#This Row],[EXEC]]-TB_Entradas[[#This Row],[D+1]]</f>
        <v>7423.4000000000087</v>
      </c>
    </row>
    <row r="9" spans="1:85" ht="15.75">
      <c r="A9" s="2">
        <v>7</v>
      </c>
      <c r="B9" s="1">
        <f t="shared" si="28"/>
        <v>14360.397683385634</v>
      </c>
      <c r="C9" s="1">
        <f t="shared" ca="1" si="0"/>
        <v>10104.1</v>
      </c>
      <c r="D9" s="1">
        <f t="shared" ca="1" si="1"/>
        <v>14360.397683385634</v>
      </c>
      <c r="E9" s="1" t="str">
        <f t="shared" ca="1" si="6"/>
        <v/>
      </c>
      <c r="F9" s="1"/>
      <c r="G9" s="1"/>
      <c r="H9" s="12">
        <f t="shared" ca="1" si="7"/>
        <v>-4256.2976833856337</v>
      </c>
      <c r="I9" s="2">
        <v>7</v>
      </c>
      <c r="J9" s="1">
        <f t="shared" si="8"/>
        <v>8656.8961500523019</v>
      </c>
      <c r="K9" s="1">
        <f t="shared" ca="1" si="9"/>
        <v>9114.1</v>
      </c>
      <c r="L9" s="1">
        <f t="shared" ca="1" si="2"/>
        <v>8656.8961500523019</v>
      </c>
      <c r="M9" s="1" t="str">
        <f t="shared" ca="1" si="10"/>
        <v/>
      </c>
      <c r="N9" s="1"/>
      <c r="O9" s="1"/>
      <c r="P9" s="12">
        <f t="shared" ca="1" si="11"/>
        <v>457.20384994769847</v>
      </c>
      <c r="Q9" s="2">
        <v>7</v>
      </c>
      <c r="R9" s="1">
        <f t="shared" si="12"/>
        <v>4496.88</v>
      </c>
      <c r="S9" s="1">
        <f t="shared" ca="1" si="13"/>
        <v>0</v>
      </c>
      <c r="T9" s="1">
        <f t="shared" ca="1" si="3"/>
        <v>4496.88</v>
      </c>
      <c r="U9" s="1" t="str">
        <f t="shared" ca="1" si="14"/>
        <v/>
      </c>
      <c r="V9" s="1"/>
      <c r="W9" s="1"/>
      <c r="X9" s="12">
        <f t="shared" ca="1" si="15"/>
        <v>-4496.88</v>
      </c>
      <c r="Y9" s="2">
        <v>7</v>
      </c>
      <c r="Z9" s="1">
        <f t="shared" si="16"/>
        <v>1063.6632</v>
      </c>
      <c r="AA9" s="1">
        <f t="shared" ca="1" si="17"/>
        <v>990</v>
      </c>
      <c r="AB9" s="1">
        <f t="shared" ca="1" si="4"/>
        <v>1063.6632</v>
      </c>
      <c r="AC9" s="1" t="str">
        <f t="shared" ca="1" si="18"/>
        <v/>
      </c>
      <c r="AD9" s="1"/>
      <c r="AE9" s="1"/>
      <c r="AF9" s="12">
        <f t="shared" ca="1" si="19"/>
        <v>-73.663199999999961</v>
      </c>
      <c r="AG9" s="2">
        <v>7</v>
      </c>
      <c r="AH9" s="1">
        <f t="shared" si="20"/>
        <v>142.95833333333331</v>
      </c>
      <c r="AI9" s="1">
        <f t="shared" ca="1" si="21"/>
        <v>0</v>
      </c>
      <c r="AJ9" s="1">
        <f t="shared" ca="1" si="5"/>
        <v>142.95833333333331</v>
      </c>
      <c r="AK9" s="1" t="str">
        <f t="shared" ca="1" si="22"/>
        <v/>
      </c>
      <c r="AL9" s="1"/>
      <c r="AM9" s="1"/>
      <c r="AN9" s="12">
        <f t="shared" ca="1" si="23"/>
        <v>-142.95833333333331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8627.5630201092281</v>
      </c>
      <c r="BC9">
        <v>8620.2999999999993</v>
      </c>
      <c r="BD9">
        <v>4786.08</v>
      </c>
      <c r="BE9">
        <v>0</v>
      </c>
      <c r="BF9">
        <v>883.94159999999999</v>
      </c>
      <c r="BG9">
        <v>2020</v>
      </c>
      <c r="BH9">
        <v>142.95833333333331</v>
      </c>
      <c r="BI9">
        <v>209</v>
      </c>
      <c r="BJ9">
        <v>0</v>
      </c>
      <c r="BK9">
        <v>0</v>
      </c>
      <c r="CD9" s="162" t="s">
        <v>80</v>
      </c>
      <c r="CE9" s="184">
        <v>7504.7999999999993</v>
      </c>
      <c r="CF9" s="184">
        <v>56948</v>
      </c>
      <c r="CG9" s="184">
        <f>TB_Entradas[[#This Row],[EXEC]]-TB_Entradas[[#This Row],[D+1]]</f>
        <v>49443.199999999997</v>
      </c>
    </row>
    <row r="10" spans="1:85" ht="15.75">
      <c r="A10" s="2">
        <v>8</v>
      </c>
      <c r="B10" s="1">
        <f t="shared" si="28"/>
        <v>14440.542953442562</v>
      </c>
      <c r="C10" s="1">
        <f t="shared" ca="1" si="0"/>
        <v>10849.3</v>
      </c>
      <c r="D10" s="1">
        <f t="shared" ca="1" si="1"/>
        <v>14440.542953442562</v>
      </c>
      <c r="E10" s="1" t="str">
        <f t="shared" ca="1" si="6"/>
        <v/>
      </c>
      <c r="F10" s="1"/>
      <c r="G10" s="1"/>
      <c r="H10" s="12">
        <f t="shared" ca="1" si="7"/>
        <v>-3591.2429534425628</v>
      </c>
      <c r="I10" s="2">
        <v>8</v>
      </c>
      <c r="J10" s="1">
        <f t="shared" si="8"/>
        <v>8627.5630201092281</v>
      </c>
      <c r="K10" s="1">
        <f t="shared" ca="1" si="9"/>
        <v>8620.2999999999993</v>
      </c>
      <c r="L10" s="1">
        <f t="shared" ca="1" si="2"/>
        <v>8627.5630201092281</v>
      </c>
      <c r="M10" s="1" t="str">
        <f t="shared" ca="1" si="10"/>
        <v/>
      </c>
      <c r="N10" s="1"/>
      <c r="O10" s="1"/>
      <c r="P10" s="12">
        <f t="shared" ca="1" si="11"/>
        <v>-7.2630201092288189</v>
      </c>
      <c r="Q10" s="2">
        <v>8</v>
      </c>
      <c r="R10" s="1">
        <f t="shared" si="12"/>
        <v>4786.08</v>
      </c>
      <c r="S10" s="1">
        <f t="shared" ca="1" si="13"/>
        <v>0</v>
      </c>
      <c r="T10" s="1">
        <f t="shared" ca="1" si="3"/>
        <v>4786.08</v>
      </c>
      <c r="U10" s="1" t="str">
        <f t="shared" ca="1" si="14"/>
        <v/>
      </c>
      <c r="V10" s="1"/>
      <c r="W10" s="1"/>
      <c r="X10" s="12">
        <f t="shared" ca="1" si="15"/>
        <v>-4786.08</v>
      </c>
      <c r="Y10" s="2">
        <v>8</v>
      </c>
      <c r="Z10" s="1">
        <f t="shared" si="16"/>
        <v>883.94159999999999</v>
      </c>
      <c r="AA10" s="1">
        <f t="shared" ca="1" si="17"/>
        <v>2020</v>
      </c>
      <c r="AB10" s="1">
        <f t="shared" ca="1" si="4"/>
        <v>883.94159999999999</v>
      </c>
      <c r="AC10" s="1" t="str">
        <f t="shared" ca="1" si="18"/>
        <v/>
      </c>
      <c r="AD10" s="1"/>
      <c r="AE10" s="1"/>
      <c r="AF10" s="12">
        <f t="shared" ca="1" si="19"/>
        <v>1136.0583999999999</v>
      </c>
      <c r="AG10" s="2">
        <v>8</v>
      </c>
      <c r="AH10" s="1">
        <f t="shared" si="20"/>
        <v>142.95833333333331</v>
      </c>
      <c r="AI10" s="1">
        <f t="shared" ca="1" si="21"/>
        <v>209</v>
      </c>
      <c r="AJ10" s="1">
        <f t="shared" ca="1" si="5"/>
        <v>142.95833333333331</v>
      </c>
      <c r="AK10" s="1" t="str">
        <f t="shared" ca="1" si="22"/>
        <v/>
      </c>
      <c r="AL10" s="1"/>
      <c r="AM10" s="1"/>
      <c r="AN10" s="12">
        <f t="shared" ca="1" si="23"/>
        <v>66.041666666666686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8338.5557278812539</v>
      </c>
      <c r="BC10">
        <v>7556.2000000000007</v>
      </c>
      <c r="BD10">
        <v>4570.68</v>
      </c>
      <c r="BE10">
        <v>574</v>
      </c>
      <c r="BF10">
        <v>653.8187999999999</v>
      </c>
      <c r="BG10">
        <v>1250</v>
      </c>
      <c r="BH10">
        <v>142.95833333333331</v>
      </c>
      <c r="BI10">
        <v>288</v>
      </c>
      <c r="BJ10">
        <v>0</v>
      </c>
      <c r="BK10">
        <v>0</v>
      </c>
      <c r="CD10" s="165"/>
      <c r="CE10" s="166">
        <f>SUBTOTAL(109,CE2:CE9)</f>
        <v>340299.83999999997</v>
      </c>
      <c r="CF10" s="166">
        <f>SUBTOTAL(109,CF2:CF9)</f>
        <v>290925</v>
      </c>
      <c r="CG10" s="166">
        <f>TB_Entradas[[#Totals],[EXEC]]-TB_Entradas[[#Totals],[D+1]]</f>
        <v>-49374.839999999967</v>
      </c>
    </row>
    <row r="11" spans="1:85">
      <c r="A11" s="2">
        <v>9</v>
      </c>
      <c r="B11" s="1">
        <f t="shared" si="28"/>
        <v>13706.012861214587</v>
      </c>
      <c r="C11" s="1">
        <f t="shared" ca="1" si="0"/>
        <v>9668.2000000000007</v>
      </c>
      <c r="D11" s="1">
        <f t="shared" ca="1" si="1"/>
        <v>13706.012861214587</v>
      </c>
      <c r="E11" s="1" t="str">
        <f t="shared" ca="1" si="6"/>
        <v/>
      </c>
      <c r="F11" s="1"/>
      <c r="G11" s="1"/>
      <c r="H11" s="12">
        <f t="shared" ca="1" si="7"/>
        <v>-4037.8128612145865</v>
      </c>
      <c r="I11" s="2">
        <v>9</v>
      </c>
      <c r="J11" s="1">
        <f t="shared" si="8"/>
        <v>8338.5557278812539</v>
      </c>
      <c r="K11" s="1">
        <f t="shared" ca="1" si="9"/>
        <v>7556.2000000000007</v>
      </c>
      <c r="L11" s="1">
        <f t="shared" ca="1" si="2"/>
        <v>8338.5557278812539</v>
      </c>
      <c r="M11" s="1" t="str">
        <f t="shared" ca="1" si="10"/>
        <v/>
      </c>
      <c r="N11" s="1"/>
      <c r="O11" s="1"/>
      <c r="P11" s="12">
        <f t="shared" ca="1" si="11"/>
        <v>-782.35572788125319</v>
      </c>
      <c r="Q11" s="2">
        <v>9</v>
      </c>
      <c r="R11" s="1">
        <f t="shared" si="12"/>
        <v>4570.68</v>
      </c>
      <c r="S11" s="1">
        <f t="shared" ca="1" si="13"/>
        <v>574</v>
      </c>
      <c r="T11" s="1">
        <f t="shared" ca="1" si="3"/>
        <v>4570.68</v>
      </c>
      <c r="U11" s="1" t="str">
        <f t="shared" ca="1" si="14"/>
        <v/>
      </c>
      <c r="V11" s="1"/>
      <c r="W11" s="1"/>
      <c r="X11" s="12">
        <f t="shared" ca="1" si="15"/>
        <v>-3996.6800000000003</v>
      </c>
      <c r="Y11" s="2">
        <v>9</v>
      </c>
      <c r="Z11" s="1">
        <f t="shared" si="16"/>
        <v>653.8187999999999</v>
      </c>
      <c r="AA11" s="1">
        <f t="shared" ca="1" si="17"/>
        <v>1250</v>
      </c>
      <c r="AB11" s="1">
        <f t="shared" ca="1" si="4"/>
        <v>653.8187999999999</v>
      </c>
      <c r="AC11" s="1" t="str">
        <f t="shared" ca="1" si="18"/>
        <v/>
      </c>
      <c r="AD11" s="1"/>
      <c r="AE11" s="1"/>
      <c r="AF11" s="12">
        <f t="shared" ca="1" si="19"/>
        <v>596.1812000000001</v>
      </c>
      <c r="AG11" s="2">
        <v>9</v>
      </c>
      <c r="AH11" s="1">
        <f t="shared" si="20"/>
        <v>142.95833333333331</v>
      </c>
      <c r="AI11" s="1">
        <f t="shared" ca="1" si="21"/>
        <v>288</v>
      </c>
      <c r="AJ11" s="1">
        <f t="shared" ca="1" si="5"/>
        <v>142.95833333333331</v>
      </c>
      <c r="AK11" s="1" t="str">
        <f t="shared" ca="1" si="22"/>
        <v/>
      </c>
      <c r="AL11" s="1"/>
      <c r="AM11" s="1"/>
      <c r="AN11" s="12">
        <f t="shared" ca="1" si="23"/>
        <v>145.04166666666669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8324.6487857966895</v>
      </c>
      <c r="BC11">
        <v>7041.9</v>
      </c>
      <c r="BD11">
        <v>4600.8</v>
      </c>
      <c r="BE11">
        <v>0</v>
      </c>
      <c r="BF11">
        <v>301.7088</v>
      </c>
      <c r="BG11">
        <v>870</v>
      </c>
      <c r="BH11">
        <v>142.95833333333331</v>
      </c>
      <c r="BI11">
        <v>355</v>
      </c>
      <c r="BJ11">
        <v>0</v>
      </c>
      <c r="BK11">
        <v>0</v>
      </c>
    </row>
    <row r="12" spans="1:85">
      <c r="A12" s="2">
        <v>10</v>
      </c>
      <c r="B12" s="1">
        <f t="shared" si="28"/>
        <v>13370.115919130023</v>
      </c>
      <c r="C12" s="1">
        <f t="shared" ca="1" si="0"/>
        <v>8266.9</v>
      </c>
      <c r="D12" s="1">
        <f t="shared" ca="1" si="1"/>
        <v>13370.115919130023</v>
      </c>
      <c r="E12" s="1" t="str">
        <f t="shared" ca="1" si="6"/>
        <v/>
      </c>
      <c r="F12" s="1"/>
      <c r="G12" s="1"/>
      <c r="H12" s="12">
        <f t="shared" ca="1" si="7"/>
        <v>-5103.2159191300234</v>
      </c>
      <c r="I12" s="2">
        <v>10</v>
      </c>
      <c r="J12" s="1">
        <f t="shared" si="8"/>
        <v>8324.6487857966895</v>
      </c>
      <c r="K12" s="1">
        <f t="shared" ca="1" si="9"/>
        <v>7041.9</v>
      </c>
      <c r="L12" s="1">
        <f t="shared" ca="1" si="2"/>
        <v>8324.6487857966895</v>
      </c>
      <c r="M12" s="1" t="str">
        <f t="shared" ca="1" si="10"/>
        <v/>
      </c>
      <c r="N12" s="1"/>
      <c r="O12" s="1"/>
      <c r="P12" s="12">
        <f t="shared" ca="1" si="11"/>
        <v>-1282.7487857966898</v>
      </c>
      <c r="Q12" s="2">
        <v>10</v>
      </c>
      <c r="R12" s="1">
        <f t="shared" si="12"/>
        <v>4600.8</v>
      </c>
      <c r="S12" s="1">
        <f t="shared" ca="1" si="13"/>
        <v>0</v>
      </c>
      <c r="T12" s="1">
        <f t="shared" ca="1" si="3"/>
        <v>4600.8</v>
      </c>
      <c r="U12" s="1" t="str">
        <f t="shared" ca="1" si="14"/>
        <v/>
      </c>
      <c r="V12" s="1"/>
      <c r="W12" s="1"/>
      <c r="X12" s="12">
        <f t="shared" ca="1" si="15"/>
        <v>-4600.8</v>
      </c>
      <c r="Y12" s="2">
        <v>10</v>
      </c>
      <c r="Z12" s="1">
        <f t="shared" si="16"/>
        <v>301.7088</v>
      </c>
      <c r="AA12" s="1">
        <f t="shared" ca="1" si="17"/>
        <v>870</v>
      </c>
      <c r="AB12" s="1">
        <f t="shared" ca="1" si="4"/>
        <v>301.7088</v>
      </c>
      <c r="AC12" s="1" t="str">
        <f t="shared" ca="1" si="18"/>
        <v/>
      </c>
      <c r="AD12" s="1"/>
      <c r="AE12" s="1"/>
      <c r="AF12" s="12">
        <f t="shared" ca="1" si="19"/>
        <v>568.2912</v>
      </c>
      <c r="AG12" s="2">
        <v>10</v>
      </c>
      <c r="AH12" s="1">
        <f t="shared" si="20"/>
        <v>142.95833333333331</v>
      </c>
      <c r="AI12" s="1">
        <f t="shared" ca="1" si="21"/>
        <v>355</v>
      </c>
      <c r="AJ12" s="1">
        <f t="shared" ca="1" si="5"/>
        <v>142.95833333333331</v>
      </c>
      <c r="AK12" s="1" t="str">
        <f t="shared" ca="1" si="22"/>
        <v/>
      </c>
      <c r="AL12" s="1"/>
      <c r="AM12" s="1"/>
      <c r="AN12" s="12">
        <f t="shared" ca="1" si="23"/>
        <v>212.04166666666669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9118.9805954503609</v>
      </c>
      <c r="BC12">
        <v>8802.4</v>
      </c>
      <c r="BD12">
        <v>4904.28</v>
      </c>
      <c r="BE12">
        <v>2075</v>
      </c>
      <c r="BF12">
        <v>603.41759999999999</v>
      </c>
      <c r="BG12">
        <v>1470</v>
      </c>
      <c r="BH12">
        <v>142.95833333333331</v>
      </c>
      <c r="BI12">
        <v>373</v>
      </c>
      <c r="BJ12">
        <v>0</v>
      </c>
      <c r="BK12">
        <v>0</v>
      </c>
    </row>
    <row r="13" spans="1:85">
      <c r="A13" s="2">
        <v>11</v>
      </c>
      <c r="B13" s="1">
        <f t="shared" si="28"/>
        <v>14769.636528783694</v>
      </c>
      <c r="C13" s="1">
        <f ca="1">IF(K13="","",SUM(K13,S13,AA13,AI13))</f>
        <v>12720.4</v>
      </c>
      <c r="D13" s="1">
        <f ca="1">IF(C13="","",B13)</f>
        <v>14769.636528783694</v>
      </c>
      <c r="E13" s="1" t="str">
        <f t="shared" ca="1" si="6"/>
        <v/>
      </c>
      <c r="F13" s="1"/>
      <c r="G13" s="1"/>
      <c r="H13" s="12">
        <f t="shared" ca="1" si="7"/>
        <v>-2049.2365287836947</v>
      </c>
      <c r="I13" s="2">
        <v>11</v>
      </c>
      <c r="J13" s="1">
        <f t="shared" si="8"/>
        <v>9118.9805954503609</v>
      </c>
      <c r="K13" s="1">
        <f t="shared" ca="1" si="9"/>
        <v>8802.4</v>
      </c>
      <c r="L13" s="1">
        <f t="shared" ca="1" si="2"/>
        <v>9118.9805954503609</v>
      </c>
      <c r="M13" s="1" t="str">
        <f t="shared" ca="1" si="10"/>
        <v/>
      </c>
      <c r="N13" s="1"/>
      <c r="O13" s="1"/>
      <c r="P13" s="12">
        <f t="shared" ca="1" si="11"/>
        <v>-316.58059545036122</v>
      </c>
      <c r="Q13" s="2">
        <v>11</v>
      </c>
      <c r="R13" s="1">
        <f t="shared" si="12"/>
        <v>4904.28</v>
      </c>
      <c r="S13" s="1">
        <f t="shared" ca="1" si="13"/>
        <v>2075</v>
      </c>
      <c r="T13" s="1">
        <f t="shared" ca="1" si="3"/>
        <v>4904.28</v>
      </c>
      <c r="U13" s="1" t="str">
        <f t="shared" ca="1" si="14"/>
        <v/>
      </c>
      <c r="V13" s="1"/>
      <c r="W13" s="1"/>
      <c r="X13" s="12">
        <f t="shared" ca="1" si="15"/>
        <v>-2829.2799999999997</v>
      </c>
      <c r="Y13" s="2">
        <v>11</v>
      </c>
      <c r="Z13" s="1">
        <f t="shared" si="16"/>
        <v>603.41759999999999</v>
      </c>
      <c r="AA13" s="1">
        <f t="shared" ca="1" si="17"/>
        <v>1470</v>
      </c>
      <c r="AB13" s="1">
        <f t="shared" ca="1" si="4"/>
        <v>603.41759999999999</v>
      </c>
      <c r="AC13" s="1" t="str">
        <f t="shared" ca="1" si="18"/>
        <v/>
      </c>
      <c r="AD13" s="1"/>
      <c r="AE13" s="1"/>
      <c r="AF13" s="12">
        <f t="shared" ca="1" si="19"/>
        <v>866.58240000000001</v>
      </c>
      <c r="AG13" s="2">
        <v>11</v>
      </c>
      <c r="AH13" s="1">
        <f t="shared" si="20"/>
        <v>142.95833333333331</v>
      </c>
      <c r="AI13" s="1">
        <f t="shared" ca="1" si="21"/>
        <v>373</v>
      </c>
      <c r="AJ13" s="1">
        <f t="shared" ca="1" si="5"/>
        <v>142.95833333333331</v>
      </c>
      <c r="AK13" s="1" t="str">
        <f t="shared" ca="1" si="22"/>
        <v/>
      </c>
      <c r="AL13" s="1"/>
      <c r="AM13" s="1"/>
      <c r="AN13" s="12">
        <f t="shared" ca="1" si="23"/>
        <v>230.04166666666669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8318.8055328199807</v>
      </c>
      <c r="BC13">
        <v>7164.4000000000015</v>
      </c>
      <c r="BD13">
        <v>4816.2</v>
      </c>
      <c r="BE13">
        <v>3867</v>
      </c>
      <c r="BF13">
        <v>2212.7639999999997</v>
      </c>
      <c r="BG13">
        <v>1380</v>
      </c>
      <c r="BH13">
        <v>142.95833333333331</v>
      </c>
      <c r="BI13">
        <v>397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15490.727866153315</v>
      </c>
      <c r="C14" s="1">
        <f t="shared" ca="1" si="0"/>
        <v>12808.400000000001</v>
      </c>
      <c r="D14" s="1">
        <f t="shared" ca="1" si="1"/>
        <v>15490.727866153315</v>
      </c>
      <c r="E14" s="1" t="str">
        <f t="shared" ca="1" si="6"/>
        <v/>
      </c>
      <c r="F14" s="1"/>
      <c r="G14" s="1"/>
      <c r="H14" s="12">
        <f t="shared" ca="1" si="7"/>
        <v>-2682.3278661533132</v>
      </c>
      <c r="I14" s="2">
        <v>12</v>
      </c>
      <c r="J14" s="1">
        <f t="shared" si="8"/>
        <v>8318.8055328199807</v>
      </c>
      <c r="K14" s="1">
        <f t="shared" ca="1" si="9"/>
        <v>7164.4000000000015</v>
      </c>
      <c r="L14" s="1">
        <f t="shared" ca="1" si="2"/>
        <v>8318.8055328199807</v>
      </c>
      <c r="M14" s="1" t="str">
        <f t="shared" ca="1" si="10"/>
        <v/>
      </c>
      <c r="N14" s="1"/>
      <c r="O14" s="1"/>
      <c r="P14" s="12">
        <f t="shared" ca="1" si="11"/>
        <v>-1154.4055328199793</v>
      </c>
      <c r="Q14" s="2">
        <v>12</v>
      </c>
      <c r="R14" s="1">
        <f t="shared" si="12"/>
        <v>4816.2</v>
      </c>
      <c r="S14" s="1">
        <f t="shared" ca="1" si="13"/>
        <v>3867</v>
      </c>
      <c r="T14" s="1">
        <f t="shared" ca="1" si="3"/>
        <v>4816.2</v>
      </c>
      <c r="U14" s="1" t="str">
        <f t="shared" ca="1" si="14"/>
        <v/>
      </c>
      <c r="V14" s="1"/>
      <c r="W14" s="1"/>
      <c r="X14" s="12">
        <f t="shared" ca="1" si="15"/>
        <v>-949.19999999999982</v>
      </c>
      <c r="Y14" s="2">
        <v>12</v>
      </c>
      <c r="Z14" s="1">
        <f t="shared" si="16"/>
        <v>2212.7639999999997</v>
      </c>
      <c r="AA14" s="1">
        <f t="shared" ca="1" si="17"/>
        <v>1380</v>
      </c>
      <c r="AB14" s="1">
        <f t="shared" ca="1" si="4"/>
        <v>2212.7639999999997</v>
      </c>
      <c r="AC14" s="1" t="str">
        <f t="shared" ca="1" si="18"/>
        <v/>
      </c>
      <c r="AD14" s="1"/>
      <c r="AE14" s="1"/>
      <c r="AF14" s="12">
        <f t="shared" ca="1" si="19"/>
        <v>-832.76399999999967</v>
      </c>
      <c r="AG14" s="2">
        <v>12</v>
      </c>
      <c r="AH14" s="1">
        <f t="shared" si="20"/>
        <v>142.95833333333331</v>
      </c>
      <c r="AI14" s="1">
        <f t="shared" ca="1" si="21"/>
        <v>397</v>
      </c>
      <c r="AJ14" s="1">
        <f t="shared" ca="1" si="5"/>
        <v>142.95833333333331</v>
      </c>
      <c r="AK14" s="1" t="str">
        <f t="shared" ca="1" si="22"/>
        <v/>
      </c>
      <c r="AL14" s="1"/>
      <c r="AM14" s="1"/>
      <c r="AN14" s="12">
        <f t="shared" ca="1" si="23"/>
        <v>254.04166666666669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9097.7111546151446</v>
      </c>
      <c r="BC14">
        <v>7468.2999999999993</v>
      </c>
      <c r="BD14">
        <v>4859.88</v>
      </c>
      <c r="BE14">
        <v>2892</v>
      </c>
      <c r="BF14">
        <v>2212.7639999999997</v>
      </c>
      <c r="BG14">
        <v>1600</v>
      </c>
      <c r="BH14">
        <v>142.95833333333331</v>
      </c>
      <c r="BI14">
        <v>393</v>
      </c>
      <c r="BJ14">
        <v>0</v>
      </c>
      <c r="BK14">
        <v>0</v>
      </c>
    </row>
    <row r="15" spans="1:85">
      <c r="A15" s="2">
        <v>13</v>
      </c>
      <c r="B15" s="1">
        <f t="shared" si="28"/>
        <v>16313.313487948477</v>
      </c>
      <c r="C15" s="1">
        <f t="shared" ca="1" si="0"/>
        <v>12353.3</v>
      </c>
      <c r="D15" s="1">
        <f t="shared" ca="1" si="1"/>
        <v>16313.313487948477</v>
      </c>
      <c r="E15" s="1" t="str">
        <f t="shared" ca="1" si="6"/>
        <v/>
      </c>
      <c r="F15" s="1"/>
      <c r="G15" s="1"/>
      <c r="H15" s="12">
        <f t="shared" ca="1" si="7"/>
        <v>-3960.0134879484776</v>
      </c>
      <c r="I15" s="2">
        <v>13</v>
      </c>
      <c r="J15" s="1">
        <f t="shared" si="8"/>
        <v>9097.7111546151446</v>
      </c>
      <c r="K15" s="1">
        <f t="shared" ca="1" si="9"/>
        <v>7468.2999999999993</v>
      </c>
      <c r="L15" s="1">
        <f t="shared" ca="1" si="2"/>
        <v>9097.7111546151446</v>
      </c>
      <c r="M15" s="1" t="str">
        <f t="shared" ca="1" si="10"/>
        <v/>
      </c>
      <c r="N15" s="1"/>
      <c r="O15" s="1"/>
      <c r="P15" s="12">
        <f t="shared" ca="1" si="11"/>
        <v>-1629.4111546151453</v>
      </c>
      <c r="Q15" s="2">
        <v>13</v>
      </c>
      <c r="R15" s="1">
        <f t="shared" si="12"/>
        <v>4859.88</v>
      </c>
      <c r="S15" s="1">
        <f t="shared" ca="1" si="13"/>
        <v>2892</v>
      </c>
      <c r="T15" s="1">
        <f t="shared" ca="1" si="3"/>
        <v>4859.88</v>
      </c>
      <c r="U15" s="1" t="str">
        <f t="shared" ca="1" si="14"/>
        <v/>
      </c>
      <c r="V15" s="1"/>
      <c r="W15" s="1"/>
      <c r="X15" s="12">
        <f t="shared" ca="1" si="15"/>
        <v>-1967.88</v>
      </c>
      <c r="Y15" s="2">
        <v>13</v>
      </c>
      <c r="Z15" s="1">
        <f t="shared" si="16"/>
        <v>2212.7639999999997</v>
      </c>
      <c r="AA15" s="1">
        <f t="shared" ca="1" si="17"/>
        <v>1600</v>
      </c>
      <c r="AB15" s="1">
        <f t="shared" ca="1" si="4"/>
        <v>2212.7639999999997</v>
      </c>
      <c r="AC15" s="1" t="str">
        <f t="shared" ca="1" si="18"/>
        <v/>
      </c>
      <c r="AD15" s="1"/>
      <c r="AE15" s="1"/>
      <c r="AF15" s="12">
        <f t="shared" ca="1" si="19"/>
        <v>-612.76399999999967</v>
      </c>
      <c r="AG15" s="2">
        <v>13</v>
      </c>
      <c r="AH15" s="1">
        <f t="shared" si="20"/>
        <v>142.95833333333331</v>
      </c>
      <c r="AI15" s="1">
        <f t="shared" ca="1" si="21"/>
        <v>393</v>
      </c>
      <c r="AJ15" s="1">
        <f t="shared" ca="1" si="5"/>
        <v>142.95833333333331</v>
      </c>
      <c r="AK15" s="1" t="str">
        <f t="shared" ca="1" si="22"/>
        <v/>
      </c>
      <c r="AL15" s="1"/>
      <c r="AM15" s="1"/>
      <c r="AN15" s="12">
        <f t="shared" ca="1" si="23"/>
        <v>250.04166666666669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8845.3994910808997</v>
      </c>
      <c r="BC15">
        <v>7414.5</v>
      </c>
      <c r="BD15">
        <v>4971.3599999999997</v>
      </c>
      <c r="BE15">
        <v>856</v>
      </c>
      <c r="BF15">
        <v>1839.4692</v>
      </c>
      <c r="BG15">
        <v>950</v>
      </c>
      <c r="BH15">
        <v>142.95833333333331</v>
      </c>
      <c r="BI15">
        <v>4</v>
      </c>
      <c r="BJ15">
        <v>0</v>
      </c>
      <c r="BK15">
        <v>0</v>
      </c>
    </row>
    <row r="16" spans="1:85">
      <c r="A16" s="2">
        <v>14</v>
      </c>
      <c r="B16" s="1">
        <f t="shared" si="28"/>
        <v>15799.187024414232</v>
      </c>
      <c r="C16" s="1">
        <f t="shared" ca="1" si="0"/>
        <v>9224.5</v>
      </c>
      <c r="D16" s="1">
        <f t="shared" ca="1" si="1"/>
        <v>15799.187024414232</v>
      </c>
      <c r="E16" s="1" t="str">
        <f t="shared" ca="1" si="6"/>
        <v/>
      </c>
      <c r="F16" s="1"/>
      <c r="G16" s="1"/>
      <c r="H16" s="12">
        <f t="shared" ca="1" si="7"/>
        <v>-6574.6870244142319</v>
      </c>
      <c r="I16" s="2">
        <v>14</v>
      </c>
      <c r="J16" s="1">
        <f t="shared" si="8"/>
        <v>8845.3994910808997</v>
      </c>
      <c r="K16" s="1">
        <f t="shared" ca="1" si="9"/>
        <v>7414.5</v>
      </c>
      <c r="L16" s="1">
        <f t="shared" ca="1" si="2"/>
        <v>8845.3994910808997</v>
      </c>
      <c r="M16" s="1" t="str">
        <f t="shared" ca="1" si="10"/>
        <v/>
      </c>
      <c r="N16" s="1"/>
      <c r="O16" s="1"/>
      <c r="P16" s="12">
        <f t="shared" ca="1" si="11"/>
        <v>-1430.8994910808997</v>
      </c>
      <c r="Q16" s="2">
        <v>14</v>
      </c>
      <c r="R16" s="1">
        <f t="shared" si="12"/>
        <v>4971.3599999999997</v>
      </c>
      <c r="S16" s="1">
        <f t="shared" ca="1" si="13"/>
        <v>856</v>
      </c>
      <c r="T16" s="1">
        <f t="shared" ca="1" si="3"/>
        <v>4971.3599999999997</v>
      </c>
      <c r="U16" s="1" t="str">
        <f t="shared" ca="1" si="14"/>
        <v/>
      </c>
      <c r="V16" s="1"/>
      <c r="W16" s="1"/>
      <c r="X16" s="12">
        <f t="shared" ca="1" si="15"/>
        <v>-4115.3599999999997</v>
      </c>
      <c r="Y16" s="2">
        <v>14</v>
      </c>
      <c r="Z16" s="1">
        <f t="shared" si="16"/>
        <v>1839.4692</v>
      </c>
      <c r="AA16" s="1">
        <f t="shared" ca="1" si="17"/>
        <v>950</v>
      </c>
      <c r="AB16" s="1">
        <f t="shared" ca="1" si="4"/>
        <v>1839.4692</v>
      </c>
      <c r="AC16" s="1" t="str">
        <f t="shared" ca="1" si="18"/>
        <v/>
      </c>
      <c r="AD16" s="1"/>
      <c r="AE16" s="1"/>
      <c r="AF16" s="12">
        <f t="shared" ca="1" si="19"/>
        <v>-889.4692</v>
      </c>
      <c r="AG16" s="2">
        <v>14</v>
      </c>
      <c r="AH16" s="1">
        <f t="shared" si="20"/>
        <v>142.95833333333331</v>
      </c>
      <c r="AI16" s="1">
        <f t="shared" ca="1" si="21"/>
        <v>4</v>
      </c>
      <c r="AJ16" s="1">
        <f t="shared" ca="1" si="5"/>
        <v>142.95833333333331</v>
      </c>
      <c r="AK16" s="1" t="str">
        <f t="shared" ca="1" si="22"/>
        <v/>
      </c>
      <c r="AL16" s="1"/>
      <c r="AM16" s="1"/>
      <c r="AN16" s="12">
        <f t="shared" ca="1" si="23"/>
        <v>-138.95833333333331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8318.8055328199807</v>
      </c>
      <c r="BC16">
        <v>8214</v>
      </c>
      <c r="BD16">
        <v>4963.8</v>
      </c>
      <c r="BE16">
        <v>0</v>
      </c>
      <c r="BF16">
        <v>2191.5791999999997</v>
      </c>
      <c r="BG16">
        <v>1460</v>
      </c>
      <c r="BH16">
        <v>142.95833333333331</v>
      </c>
      <c r="BI16">
        <v>0</v>
      </c>
      <c r="BJ16">
        <v>0</v>
      </c>
      <c r="BK16">
        <v>1</v>
      </c>
    </row>
    <row r="17" spans="1:63">
      <c r="A17" s="2">
        <v>15</v>
      </c>
      <c r="B17" s="1">
        <f t="shared" si="28"/>
        <v>15617.143066153314</v>
      </c>
      <c r="C17" s="1">
        <f t="shared" ca="1" si="0"/>
        <v>9674</v>
      </c>
      <c r="D17" s="1">
        <f t="shared" ca="1" si="1"/>
        <v>15617.143066153314</v>
      </c>
      <c r="E17" s="1" t="str">
        <f t="shared" ca="1" si="6"/>
        <v/>
      </c>
      <c r="F17" s="1"/>
      <c r="G17" s="1"/>
      <c r="H17" s="12">
        <f t="shared" ca="1" si="7"/>
        <v>-5943.1430661533141</v>
      </c>
      <c r="I17" s="2">
        <v>15</v>
      </c>
      <c r="J17" s="1">
        <f t="shared" si="8"/>
        <v>8318.8055328199807</v>
      </c>
      <c r="K17" s="1">
        <f t="shared" ca="1" si="9"/>
        <v>8214</v>
      </c>
      <c r="L17" s="1">
        <f t="shared" ca="1" si="2"/>
        <v>8318.8055328199807</v>
      </c>
      <c r="M17" s="1" t="str">
        <f t="shared" ca="1" si="10"/>
        <v/>
      </c>
      <c r="N17" s="1"/>
      <c r="O17" s="1"/>
      <c r="P17" s="12">
        <f t="shared" ca="1" si="11"/>
        <v>-104.80553281998073</v>
      </c>
      <c r="Q17" s="2">
        <v>15</v>
      </c>
      <c r="R17" s="1">
        <f t="shared" si="12"/>
        <v>4963.8</v>
      </c>
      <c r="S17" s="1">
        <f t="shared" ca="1" si="13"/>
        <v>0</v>
      </c>
      <c r="T17" s="1">
        <f t="shared" ca="1" si="3"/>
        <v>4963.8</v>
      </c>
      <c r="U17" s="1" t="str">
        <f t="shared" ca="1" si="14"/>
        <v/>
      </c>
      <c r="V17" s="1"/>
      <c r="W17" s="1"/>
      <c r="X17" s="12">
        <f t="shared" ca="1" si="15"/>
        <v>-4963.8</v>
      </c>
      <c r="Y17" s="2">
        <v>15</v>
      </c>
      <c r="Z17" s="1">
        <f t="shared" si="16"/>
        <v>2191.5791999999997</v>
      </c>
      <c r="AA17" s="1">
        <f t="shared" ca="1" si="17"/>
        <v>1460</v>
      </c>
      <c r="AB17" s="1">
        <f t="shared" ca="1" si="4"/>
        <v>2191.5791999999997</v>
      </c>
      <c r="AC17" s="1" t="str">
        <f t="shared" ca="1" si="18"/>
        <v/>
      </c>
      <c r="AD17" s="1"/>
      <c r="AE17" s="1"/>
      <c r="AF17" s="12">
        <f t="shared" ca="1" si="19"/>
        <v>-731.57919999999967</v>
      </c>
      <c r="AG17" s="2">
        <v>15</v>
      </c>
      <c r="AH17" s="1">
        <f t="shared" si="20"/>
        <v>142.95833333333331</v>
      </c>
      <c r="AI17" s="1">
        <f t="shared" ca="1" si="21"/>
        <v>0</v>
      </c>
      <c r="AJ17" s="1">
        <f t="shared" ca="1" si="5"/>
        <v>142.95833333333331</v>
      </c>
      <c r="AK17" s="1" t="str">
        <f t="shared" ca="1" si="22"/>
        <v/>
      </c>
      <c r="AL17" s="1"/>
      <c r="AM17" s="1"/>
      <c r="AN17" s="12">
        <f t="shared" ca="1" si="23"/>
        <v>-142.95833333333331</v>
      </c>
      <c r="AP17" s="2">
        <v>15</v>
      </c>
      <c r="AQ17" s="1">
        <f t="shared" si="24"/>
        <v>0</v>
      </c>
      <c r="AR17" s="1">
        <f t="shared" ca="1" si="25"/>
        <v>1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8232.2085237051706</v>
      </c>
      <c r="BC17">
        <v>8605.6</v>
      </c>
      <c r="BD17">
        <v>4963.8</v>
      </c>
      <c r="BE17">
        <v>51</v>
      </c>
      <c r="BF17">
        <v>1436.9580000000001</v>
      </c>
      <c r="BG17">
        <v>2120</v>
      </c>
      <c r="BH17">
        <v>142.95833333333331</v>
      </c>
      <c r="BI17">
        <v>144</v>
      </c>
      <c r="BJ17">
        <v>0</v>
      </c>
      <c r="BK17">
        <v>24</v>
      </c>
    </row>
    <row r="18" spans="1:63">
      <c r="A18" s="2">
        <v>16</v>
      </c>
      <c r="B18" s="1">
        <f t="shared" si="28"/>
        <v>14775.924857038506</v>
      </c>
      <c r="C18" s="1">
        <f t="shared" ca="1" si="0"/>
        <v>10920.6</v>
      </c>
      <c r="D18" s="1">
        <f t="shared" ca="1" si="1"/>
        <v>14775.924857038506</v>
      </c>
      <c r="E18" s="1" t="str">
        <f t="shared" ca="1" si="6"/>
        <v/>
      </c>
      <c r="F18" s="1"/>
      <c r="G18" s="1"/>
      <c r="H18" s="12">
        <f t="shared" ca="1" si="7"/>
        <v>-3855.3248570385058</v>
      </c>
      <c r="I18" s="2">
        <v>16</v>
      </c>
      <c r="J18" s="1">
        <f t="shared" si="8"/>
        <v>8232.2085237051706</v>
      </c>
      <c r="K18" s="1">
        <f t="shared" ca="1" si="9"/>
        <v>8605.6</v>
      </c>
      <c r="L18" s="1">
        <f t="shared" ca="1" si="2"/>
        <v>8232.2085237051706</v>
      </c>
      <c r="M18" s="1" t="str">
        <f t="shared" ca="1" si="10"/>
        <v/>
      </c>
      <c r="N18" s="1"/>
      <c r="O18" s="1"/>
      <c r="P18" s="12">
        <f t="shared" ca="1" si="11"/>
        <v>373.39147629482977</v>
      </c>
      <c r="Q18" s="2">
        <v>16</v>
      </c>
      <c r="R18" s="1">
        <f t="shared" si="12"/>
        <v>4963.8</v>
      </c>
      <c r="S18" s="1">
        <f t="shared" ca="1" si="13"/>
        <v>51</v>
      </c>
      <c r="T18" s="1">
        <f t="shared" ca="1" si="3"/>
        <v>4963.8</v>
      </c>
      <c r="U18" s="1" t="str">
        <f t="shared" ca="1" si="14"/>
        <v/>
      </c>
      <c r="V18" s="1"/>
      <c r="W18" s="1"/>
      <c r="X18" s="12">
        <f t="shared" ca="1" si="15"/>
        <v>-4912.8</v>
      </c>
      <c r="Y18" s="2">
        <v>16</v>
      </c>
      <c r="Z18" s="1">
        <f t="shared" si="16"/>
        <v>1436.9580000000001</v>
      </c>
      <c r="AA18" s="1">
        <f t="shared" ca="1" si="17"/>
        <v>2120</v>
      </c>
      <c r="AB18" s="1">
        <f t="shared" ca="1" si="4"/>
        <v>1436.9580000000001</v>
      </c>
      <c r="AC18" s="1" t="str">
        <f t="shared" ca="1" si="18"/>
        <v/>
      </c>
      <c r="AD18" s="1"/>
      <c r="AE18" s="1"/>
      <c r="AF18" s="12">
        <f t="shared" ca="1" si="19"/>
        <v>683.04199999999992</v>
      </c>
      <c r="AG18" s="2">
        <v>16</v>
      </c>
      <c r="AH18" s="1">
        <f t="shared" si="20"/>
        <v>142.95833333333331</v>
      </c>
      <c r="AI18" s="1">
        <f t="shared" ca="1" si="21"/>
        <v>144</v>
      </c>
      <c r="AJ18" s="1">
        <f t="shared" ca="1" si="5"/>
        <v>142.95833333333331</v>
      </c>
      <c r="AK18" s="1" t="str">
        <f t="shared" ca="1" si="22"/>
        <v/>
      </c>
      <c r="AL18" s="1"/>
      <c r="AM18" s="1"/>
      <c r="AN18" s="12">
        <f t="shared" ca="1" si="23"/>
        <v>1.0416666666666856</v>
      </c>
      <c r="AP18" s="2">
        <v>16</v>
      </c>
      <c r="AQ18" s="1">
        <f t="shared" si="24"/>
        <v>0</v>
      </c>
      <c r="AR18" s="1">
        <f t="shared" ca="1" si="25"/>
        <v>24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7163.5944193248288</v>
      </c>
      <c r="BC18">
        <v>8836.2000000000007</v>
      </c>
      <c r="BD18">
        <v>4838.04</v>
      </c>
      <c r="BE18">
        <v>1158</v>
      </c>
      <c r="BF18">
        <v>1185.6504</v>
      </c>
      <c r="BG18">
        <v>1890</v>
      </c>
      <c r="BH18">
        <v>142.95833333333331</v>
      </c>
      <c r="BI18">
        <v>356</v>
      </c>
      <c r="BJ18">
        <v>0</v>
      </c>
      <c r="BK18">
        <v>525</v>
      </c>
    </row>
    <row r="19" spans="1:63">
      <c r="A19" s="2">
        <v>17</v>
      </c>
      <c r="B19" s="1">
        <f t="shared" si="28"/>
        <v>13330.243152658164</v>
      </c>
      <c r="C19" s="1">
        <f t="shared" ca="1" si="0"/>
        <v>12240.2</v>
      </c>
      <c r="D19" s="1">
        <f t="shared" ca="1" si="1"/>
        <v>13330.243152658164</v>
      </c>
      <c r="E19" s="1" t="str">
        <f t="shared" ca="1" si="6"/>
        <v/>
      </c>
      <c r="F19" s="1"/>
      <c r="G19" s="1"/>
      <c r="H19" s="12">
        <f t="shared" ca="1" si="7"/>
        <v>-1090.0431526581633</v>
      </c>
      <c r="I19" s="2">
        <v>17</v>
      </c>
      <c r="J19" s="1">
        <f t="shared" si="8"/>
        <v>7163.5944193248288</v>
      </c>
      <c r="K19" s="1">
        <f t="shared" ca="1" si="9"/>
        <v>8836.2000000000007</v>
      </c>
      <c r="L19" s="1">
        <f t="shared" ca="1" si="2"/>
        <v>7163.5944193248288</v>
      </c>
      <c r="M19" s="1" t="str">
        <f t="shared" ca="1" si="10"/>
        <v/>
      </c>
      <c r="N19" s="1"/>
      <c r="O19" s="1"/>
      <c r="P19" s="12">
        <f t="shared" ca="1" si="11"/>
        <v>1672.605580675172</v>
      </c>
      <c r="Q19" s="2">
        <v>17</v>
      </c>
      <c r="R19" s="1">
        <f t="shared" si="12"/>
        <v>4838.04</v>
      </c>
      <c r="S19" s="1">
        <f t="shared" ca="1" si="13"/>
        <v>1158</v>
      </c>
      <c r="T19" s="1">
        <f t="shared" ca="1" si="3"/>
        <v>4838.04</v>
      </c>
      <c r="U19" s="1" t="str">
        <f t="shared" ca="1" si="14"/>
        <v/>
      </c>
      <c r="V19" s="1"/>
      <c r="W19" s="1"/>
      <c r="X19" s="12">
        <f t="shared" ca="1" si="15"/>
        <v>-3680.04</v>
      </c>
      <c r="Y19" s="2">
        <v>17</v>
      </c>
      <c r="Z19" s="1">
        <f t="shared" si="16"/>
        <v>1185.6504</v>
      </c>
      <c r="AA19" s="1">
        <f t="shared" ca="1" si="17"/>
        <v>1890</v>
      </c>
      <c r="AB19" s="1">
        <f t="shared" ca="1" si="4"/>
        <v>1185.6504</v>
      </c>
      <c r="AC19" s="1" t="str">
        <f t="shared" ca="1" si="18"/>
        <v/>
      </c>
      <c r="AD19" s="1"/>
      <c r="AE19" s="1"/>
      <c r="AF19" s="12">
        <f t="shared" ca="1" si="19"/>
        <v>704.34960000000001</v>
      </c>
      <c r="AG19" s="2">
        <v>17</v>
      </c>
      <c r="AH19" s="1">
        <f t="shared" si="20"/>
        <v>142.95833333333331</v>
      </c>
      <c r="AI19" s="1">
        <f t="shared" ca="1" si="21"/>
        <v>356</v>
      </c>
      <c r="AJ19" s="1">
        <f t="shared" ca="1" si="5"/>
        <v>142.95833333333331</v>
      </c>
      <c r="AK19" s="1" t="str">
        <f t="shared" ca="1" si="22"/>
        <v/>
      </c>
      <c r="AL19" s="1"/>
      <c r="AM19" s="1"/>
      <c r="AN19" s="12">
        <f t="shared" ca="1" si="23"/>
        <v>213.04166666666669</v>
      </c>
      <c r="AP19" s="2">
        <v>17</v>
      </c>
      <c r="AQ19" s="1">
        <f t="shared" si="24"/>
        <v>0</v>
      </c>
      <c r="AR19" s="1">
        <f t="shared" ca="1" si="25"/>
        <v>525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6832.0482454264211</v>
      </c>
      <c r="BC19">
        <v>7780.9</v>
      </c>
      <c r="BD19">
        <v>4289.76</v>
      </c>
      <c r="BE19">
        <v>1353</v>
      </c>
      <c r="BF19">
        <v>905.1264000000001</v>
      </c>
      <c r="BG19">
        <v>1450</v>
      </c>
      <c r="BH19">
        <v>142.95833333333331</v>
      </c>
      <c r="BI19">
        <v>432</v>
      </c>
      <c r="BJ19">
        <v>0</v>
      </c>
      <c r="BK19">
        <v>1182</v>
      </c>
    </row>
    <row r="20" spans="1:63">
      <c r="A20" s="2">
        <v>18</v>
      </c>
      <c r="B20" s="1">
        <f t="shared" si="28"/>
        <v>12169.892978759757</v>
      </c>
      <c r="C20" s="1">
        <f t="shared" ca="1" si="0"/>
        <v>11015.9</v>
      </c>
      <c r="D20" s="1">
        <f t="shared" ca="1" si="1"/>
        <v>12169.892978759757</v>
      </c>
      <c r="E20" s="1" t="str">
        <f t="shared" ca="1" si="6"/>
        <v/>
      </c>
      <c r="F20" s="1"/>
      <c r="G20" s="1"/>
      <c r="H20" s="12">
        <f t="shared" ca="1" si="7"/>
        <v>-1153.9929787597575</v>
      </c>
      <c r="I20" s="2">
        <v>18</v>
      </c>
      <c r="J20" s="1">
        <f t="shared" si="8"/>
        <v>6832.0482454264211</v>
      </c>
      <c r="K20" s="1">
        <f t="shared" ca="1" si="9"/>
        <v>7780.9</v>
      </c>
      <c r="L20" s="1">
        <f t="shared" ca="1" si="2"/>
        <v>6832.0482454264211</v>
      </c>
      <c r="M20" s="1" t="str">
        <f t="shared" ca="1" si="10"/>
        <v/>
      </c>
      <c r="N20" s="1"/>
      <c r="O20" s="1"/>
      <c r="P20" s="12">
        <f t="shared" ca="1" si="11"/>
        <v>948.85175457357855</v>
      </c>
      <c r="Q20" s="2">
        <v>18</v>
      </c>
      <c r="R20" s="1">
        <f t="shared" si="12"/>
        <v>4289.76</v>
      </c>
      <c r="S20" s="1">
        <f t="shared" ca="1" si="13"/>
        <v>1353</v>
      </c>
      <c r="T20" s="1">
        <f t="shared" ca="1" si="3"/>
        <v>4289.76</v>
      </c>
      <c r="U20" s="1" t="str">
        <f t="shared" ca="1" si="14"/>
        <v/>
      </c>
      <c r="V20" s="1"/>
      <c r="W20" s="1"/>
      <c r="X20" s="12">
        <f t="shared" ca="1" si="15"/>
        <v>-2936.76</v>
      </c>
      <c r="Y20" s="2">
        <v>18</v>
      </c>
      <c r="Z20" s="1">
        <f t="shared" si="16"/>
        <v>905.1264000000001</v>
      </c>
      <c r="AA20" s="1">
        <f t="shared" ca="1" si="17"/>
        <v>1450</v>
      </c>
      <c r="AB20" s="1">
        <f t="shared" ca="1" si="4"/>
        <v>905.1264000000001</v>
      </c>
      <c r="AC20" s="1" t="str">
        <f t="shared" ca="1" si="18"/>
        <v/>
      </c>
      <c r="AD20" s="1"/>
      <c r="AE20" s="1"/>
      <c r="AF20" s="12">
        <f t="shared" ca="1" si="19"/>
        <v>544.8735999999999</v>
      </c>
      <c r="AG20" s="2">
        <v>18</v>
      </c>
      <c r="AH20" s="1">
        <f t="shared" si="20"/>
        <v>142.95833333333331</v>
      </c>
      <c r="AI20" s="1">
        <f t="shared" ca="1" si="21"/>
        <v>432</v>
      </c>
      <c r="AJ20" s="1">
        <f t="shared" ca="1" si="5"/>
        <v>142.95833333333331</v>
      </c>
      <c r="AK20" s="1" t="str">
        <f t="shared" ca="1" si="22"/>
        <v/>
      </c>
      <c r="AL20" s="1"/>
      <c r="AM20" s="1"/>
      <c r="AN20" s="12">
        <f t="shared" ca="1" si="23"/>
        <v>289.04166666666669</v>
      </c>
      <c r="AP20" s="2">
        <v>18</v>
      </c>
      <c r="AQ20" s="1">
        <f t="shared" si="24"/>
        <v>0</v>
      </c>
      <c r="AR20" s="1">
        <f t="shared" ca="1" si="25"/>
        <v>1182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5880.0654704611679</v>
      </c>
      <c r="BC20">
        <v>8386</v>
      </c>
      <c r="BD20">
        <v>4726.5599999999995</v>
      </c>
      <c r="BE20">
        <v>2855</v>
      </c>
      <c r="BF20">
        <v>1659.7475999999999</v>
      </c>
      <c r="BG20">
        <v>0</v>
      </c>
      <c r="BH20">
        <v>142.95833333333331</v>
      </c>
      <c r="BI20">
        <v>0</v>
      </c>
      <c r="BJ20">
        <v>0</v>
      </c>
      <c r="BK20">
        <v>620</v>
      </c>
    </row>
    <row r="21" spans="1:63">
      <c r="A21" s="2">
        <v>19</v>
      </c>
      <c r="B21" s="1">
        <f t="shared" si="28"/>
        <v>12409.331403794502</v>
      </c>
      <c r="C21" s="1">
        <f t="shared" ca="1" si="0"/>
        <v>11241</v>
      </c>
      <c r="D21" s="1">
        <f t="shared" ca="1" si="1"/>
        <v>12409.331403794502</v>
      </c>
      <c r="E21" s="1" t="str">
        <f t="shared" ca="1" si="6"/>
        <v/>
      </c>
      <c r="F21" s="1"/>
      <c r="G21" s="1"/>
      <c r="H21" s="12">
        <f t="shared" ca="1" si="7"/>
        <v>-1168.331403794502</v>
      </c>
      <c r="I21" s="2">
        <v>19</v>
      </c>
      <c r="J21" s="1">
        <f t="shared" si="8"/>
        <v>5880.0654704611679</v>
      </c>
      <c r="K21" s="1">
        <f t="shared" ca="1" si="9"/>
        <v>8386</v>
      </c>
      <c r="L21" s="1">
        <f t="shared" ca="1" si="2"/>
        <v>5880.0654704611679</v>
      </c>
      <c r="M21" s="1" t="str">
        <f t="shared" ca="1" si="10"/>
        <v/>
      </c>
      <c r="N21" s="1"/>
      <c r="O21" s="1"/>
      <c r="P21" s="12">
        <f t="shared" ca="1" si="11"/>
        <v>2505.9345295388321</v>
      </c>
      <c r="Q21" s="2">
        <v>19</v>
      </c>
      <c r="R21" s="1">
        <f t="shared" si="12"/>
        <v>4726.5599999999995</v>
      </c>
      <c r="S21" s="1">
        <f t="shared" ca="1" si="13"/>
        <v>2855</v>
      </c>
      <c r="T21" s="1">
        <f t="shared" ca="1" si="3"/>
        <v>4726.5599999999995</v>
      </c>
      <c r="U21" s="1" t="str">
        <f t="shared" ca="1" si="14"/>
        <v/>
      </c>
      <c r="V21" s="1"/>
      <c r="W21" s="1"/>
      <c r="X21" s="12">
        <f t="shared" ca="1" si="15"/>
        <v>-1871.5599999999995</v>
      </c>
      <c r="Y21" s="2">
        <v>19</v>
      </c>
      <c r="Z21" s="1">
        <f t="shared" si="16"/>
        <v>1659.7475999999999</v>
      </c>
      <c r="AA21" s="1">
        <f t="shared" ca="1" si="17"/>
        <v>0</v>
      </c>
      <c r="AB21" s="1">
        <f t="shared" ca="1" si="4"/>
        <v>1659.7475999999999</v>
      </c>
      <c r="AC21" s="1" t="str">
        <f t="shared" ca="1" si="18"/>
        <v/>
      </c>
      <c r="AD21" s="1"/>
      <c r="AE21" s="1"/>
      <c r="AF21" s="12">
        <f t="shared" ca="1" si="19"/>
        <v>-1659.7475999999999</v>
      </c>
      <c r="AG21" s="2">
        <v>19</v>
      </c>
      <c r="AH21" s="1">
        <f t="shared" si="20"/>
        <v>142.95833333333331</v>
      </c>
      <c r="AI21" s="1">
        <f t="shared" ca="1" si="21"/>
        <v>0</v>
      </c>
      <c r="AJ21" s="1">
        <f t="shared" ca="1" si="5"/>
        <v>142.95833333333331</v>
      </c>
      <c r="AK21" s="1" t="str">
        <f t="shared" ca="1" si="22"/>
        <v/>
      </c>
      <c r="AL21" s="1"/>
      <c r="AM21" s="1"/>
      <c r="AN21" s="12">
        <f t="shared" ca="1" si="23"/>
        <v>-142.95833333333331</v>
      </c>
      <c r="AP21" s="2">
        <v>19</v>
      </c>
      <c r="AQ21" s="1">
        <f t="shared" si="24"/>
        <v>0</v>
      </c>
      <c r="AR21" s="1">
        <f t="shared" ca="1" si="25"/>
        <v>620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7272.1620596320599</v>
      </c>
      <c r="BC21">
        <v>7649</v>
      </c>
      <c r="BD21">
        <v>4778.5199999999995</v>
      </c>
      <c r="BE21">
        <v>3343</v>
      </c>
      <c r="BF21">
        <v>1818.2844</v>
      </c>
      <c r="BG21">
        <v>1340</v>
      </c>
      <c r="BH21">
        <v>142.95833333333331</v>
      </c>
      <c r="BI21">
        <v>53</v>
      </c>
      <c r="BJ21">
        <v>0</v>
      </c>
      <c r="BK21">
        <v>996</v>
      </c>
    </row>
    <row r="22" spans="1:63">
      <c r="A22" s="2">
        <v>20</v>
      </c>
      <c r="B22" s="1">
        <f t="shared" si="28"/>
        <v>14011.924792965394</v>
      </c>
      <c r="C22" s="1">
        <f t="shared" ca="1" si="0"/>
        <v>12385</v>
      </c>
      <c r="D22" s="1">
        <f t="shared" ca="1" si="1"/>
        <v>14011.924792965394</v>
      </c>
      <c r="E22" s="1" t="str">
        <f t="shared" ca="1" si="6"/>
        <v/>
      </c>
      <c r="F22" s="1"/>
      <c r="G22" s="1"/>
      <c r="H22" s="12">
        <f t="shared" ca="1" si="7"/>
        <v>-1626.9247929653939</v>
      </c>
      <c r="I22" s="2">
        <v>20</v>
      </c>
      <c r="J22" s="1">
        <f t="shared" si="8"/>
        <v>7272.1620596320599</v>
      </c>
      <c r="K22" s="1">
        <f t="shared" ca="1" si="9"/>
        <v>7649</v>
      </c>
      <c r="L22" s="1">
        <f t="shared" ca="1" si="2"/>
        <v>7272.1620596320599</v>
      </c>
      <c r="M22" s="1" t="str">
        <f t="shared" ca="1" si="10"/>
        <v/>
      </c>
      <c r="N22" s="1"/>
      <c r="O22" s="1"/>
      <c r="P22" s="12">
        <f t="shared" ca="1" si="11"/>
        <v>376.83794036794006</v>
      </c>
      <c r="Q22" s="2">
        <v>20</v>
      </c>
      <c r="R22" s="1">
        <f t="shared" si="12"/>
        <v>4778.5199999999995</v>
      </c>
      <c r="S22" s="1">
        <f t="shared" ca="1" si="13"/>
        <v>3343</v>
      </c>
      <c r="T22" s="1">
        <f ca="1">IF(S22="","",R22)</f>
        <v>4778.5199999999995</v>
      </c>
      <c r="U22" s="1" t="str">
        <f t="shared" ca="1" si="14"/>
        <v/>
      </c>
      <c r="V22" s="1"/>
      <c r="W22" s="1"/>
      <c r="X22" s="12">
        <f t="shared" ca="1" si="15"/>
        <v>-1435.5199999999995</v>
      </c>
      <c r="Y22" s="2">
        <v>20</v>
      </c>
      <c r="Z22" s="1">
        <f t="shared" si="16"/>
        <v>1818.2844</v>
      </c>
      <c r="AA22" s="1">
        <f t="shared" ca="1" si="17"/>
        <v>1340</v>
      </c>
      <c r="AB22" s="1">
        <f t="shared" ca="1" si="4"/>
        <v>1818.2844</v>
      </c>
      <c r="AC22" s="1" t="str">
        <f t="shared" ca="1" si="18"/>
        <v/>
      </c>
      <c r="AD22" s="1"/>
      <c r="AE22" s="1"/>
      <c r="AF22" s="12">
        <f t="shared" ca="1" si="19"/>
        <v>-478.28440000000001</v>
      </c>
      <c r="AG22" s="2">
        <v>20</v>
      </c>
      <c r="AH22" s="1">
        <f t="shared" si="20"/>
        <v>142.95833333333331</v>
      </c>
      <c r="AI22" s="1">
        <f t="shared" ca="1" si="21"/>
        <v>53</v>
      </c>
      <c r="AJ22" s="1">
        <f t="shared" ca="1" si="5"/>
        <v>142.95833333333331</v>
      </c>
      <c r="AK22" s="1" t="str">
        <f t="shared" ca="1" si="22"/>
        <v/>
      </c>
      <c r="AL22" s="1"/>
      <c r="AM22" s="1"/>
      <c r="AN22" s="12">
        <f t="shared" ca="1" si="23"/>
        <v>-89.958333333333314</v>
      </c>
      <c r="AP22" s="2">
        <v>20</v>
      </c>
      <c r="AQ22" s="1">
        <f t="shared" si="24"/>
        <v>0</v>
      </c>
      <c r="AR22" s="1">
        <f t="shared" ca="1" si="25"/>
        <v>996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7105.6293497958859</v>
      </c>
      <c r="BC22">
        <v>9552</v>
      </c>
      <c r="BD22">
        <v>4275.4800000000005</v>
      </c>
      <c r="BE22">
        <v>3940</v>
      </c>
      <c r="BF22">
        <v>1961.4563999999998</v>
      </c>
      <c r="BG22">
        <v>1250</v>
      </c>
      <c r="BH22">
        <v>142.95833333333331</v>
      </c>
      <c r="BI22">
        <v>211</v>
      </c>
      <c r="BJ22">
        <v>0</v>
      </c>
      <c r="BK22">
        <v>651</v>
      </c>
    </row>
    <row r="23" spans="1:63">
      <c r="A23" s="2">
        <v>21</v>
      </c>
      <c r="B23" s="1">
        <f t="shared" si="28"/>
        <v>13485.524083129219</v>
      </c>
      <c r="C23" s="1">
        <f t="shared" ca="1" si="0"/>
        <v>14953</v>
      </c>
      <c r="D23" s="1">
        <f t="shared" ca="1" si="1"/>
        <v>13485.524083129219</v>
      </c>
      <c r="E23" s="1" t="str">
        <f t="shared" ca="1" si="6"/>
        <v/>
      </c>
      <c r="F23" s="1"/>
      <c r="G23" s="1"/>
      <c r="H23" s="12">
        <f t="shared" ca="1" si="7"/>
        <v>1467.4759168707806</v>
      </c>
      <c r="I23" s="2">
        <v>21</v>
      </c>
      <c r="J23" s="1">
        <f t="shared" si="8"/>
        <v>7105.6293497958859</v>
      </c>
      <c r="K23" s="1">
        <f t="shared" ca="1" si="9"/>
        <v>9552</v>
      </c>
      <c r="L23" s="1">
        <f t="shared" ca="1" si="2"/>
        <v>7105.6293497958859</v>
      </c>
      <c r="M23" s="1" t="str">
        <f t="shared" ca="1" si="10"/>
        <v/>
      </c>
      <c r="N23" s="1"/>
      <c r="O23" s="1"/>
      <c r="P23" s="12">
        <f t="shared" ca="1" si="11"/>
        <v>2446.3706502041141</v>
      </c>
      <c r="Q23" s="2">
        <v>21</v>
      </c>
      <c r="R23" s="1">
        <f t="shared" si="12"/>
        <v>4275.4800000000005</v>
      </c>
      <c r="S23" s="1">
        <f t="shared" ca="1" si="13"/>
        <v>3940</v>
      </c>
      <c r="T23" s="1">
        <f t="shared" ca="1" si="3"/>
        <v>4275.4800000000005</v>
      </c>
      <c r="U23" s="1" t="str">
        <f t="shared" ca="1" si="14"/>
        <v/>
      </c>
      <c r="V23" s="1"/>
      <c r="W23" s="1"/>
      <c r="X23" s="12">
        <f t="shared" ca="1" si="15"/>
        <v>-335.48000000000047</v>
      </c>
      <c r="Y23" s="2">
        <v>21</v>
      </c>
      <c r="Z23" s="1">
        <f t="shared" si="16"/>
        <v>1961.4563999999998</v>
      </c>
      <c r="AA23" s="1">
        <f t="shared" ca="1" si="17"/>
        <v>1250</v>
      </c>
      <c r="AB23" s="1">
        <f t="shared" ca="1" si="4"/>
        <v>1961.4563999999998</v>
      </c>
      <c r="AC23" s="1" t="str">
        <f t="shared" ca="1" si="18"/>
        <v/>
      </c>
      <c r="AD23" s="1"/>
      <c r="AE23" s="1"/>
      <c r="AF23" s="12">
        <f t="shared" ca="1" si="19"/>
        <v>-711.4563999999998</v>
      </c>
      <c r="AG23" s="2">
        <v>21</v>
      </c>
      <c r="AH23" s="1">
        <f t="shared" si="20"/>
        <v>142.95833333333331</v>
      </c>
      <c r="AI23" s="1">
        <f t="shared" ca="1" si="21"/>
        <v>211</v>
      </c>
      <c r="AJ23" s="1">
        <f t="shared" ca="1" si="5"/>
        <v>142.95833333333331</v>
      </c>
      <c r="AK23" s="1" t="str">
        <f t="shared" ca="1" si="22"/>
        <v/>
      </c>
      <c r="AL23" s="1"/>
      <c r="AM23" s="1"/>
      <c r="AN23" s="12">
        <f t="shared" ca="1" si="23"/>
        <v>68.041666666666686</v>
      </c>
      <c r="AP23" s="2">
        <v>21</v>
      </c>
      <c r="AQ23" s="1">
        <f t="shared" si="24"/>
        <v>0</v>
      </c>
      <c r="AR23" s="1">
        <f t="shared" ca="1" si="25"/>
        <v>651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6708.872472677418</v>
      </c>
      <c r="BC23">
        <v>10282</v>
      </c>
      <c r="BD23">
        <v>4496.88</v>
      </c>
      <c r="BE23">
        <v>5198</v>
      </c>
      <c r="BF23">
        <v>1961.4563999999998</v>
      </c>
      <c r="BG23">
        <v>1250</v>
      </c>
      <c r="BH23">
        <v>142.95833333333331</v>
      </c>
      <c r="BI23">
        <v>193</v>
      </c>
      <c r="BJ23">
        <v>0</v>
      </c>
      <c r="BK23">
        <v>829</v>
      </c>
    </row>
    <row r="24" spans="1:63">
      <c r="A24" s="2">
        <v>22</v>
      </c>
      <c r="B24" s="1">
        <f t="shared" si="28"/>
        <v>13310.16720601075</v>
      </c>
      <c r="C24" s="1">
        <f t="shared" ca="1" si="0"/>
        <v>16923</v>
      </c>
      <c r="D24" s="1">
        <f t="shared" ca="1" si="1"/>
        <v>13310.16720601075</v>
      </c>
      <c r="E24" s="1" t="str">
        <f t="shared" ca="1" si="6"/>
        <v/>
      </c>
      <c r="F24" s="1"/>
      <c r="G24" s="1"/>
      <c r="H24" s="12">
        <f t="shared" ca="1" si="7"/>
        <v>3612.8327939892497</v>
      </c>
      <c r="I24" s="2">
        <v>22</v>
      </c>
      <c r="J24" s="1">
        <f t="shared" si="8"/>
        <v>6708.872472677418</v>
      </c>
      <c r="K24" s="1">
        <f t="shared" ca="1" si="9"/>
        <v>10282</v>
      </c>
      <c r="L24" s="1">
        <f t="shared" ca="1" si="2"/>
        <v>6708.872472677418</v>
      </c>
      <c r="M24" s="1" t="str">
        <f t="shared" ca="1" si="10"/>
        <v/>
      </c>
      <c r="N24" s="1"/>
      <c r="O24" s="1"/>
      <c r="P24" s="12">
        <f t="shared" ca="1" si="11"/>
        <v>3573.127527322582</v>
      </c>
      <c r="Q24" s="2">
        <v>22</v>
      </c>
      <c r="R24" s="1">
        <f t="shared" si="12"/>
        <v>4496.88</v>
      </c>
      <c r="S24" s="1">
        <f t="shared" ca="1" si="13"/>
        <v>5198</v>
      </c>
      <c r="T24" s="1">
        <f t="shared" ca="1" si="3"/>
        <v>4496.88</v>
      </c>
      <c r="U24" s="1" t="str">
        <f t="shared" ca="1" si="14"/>
        <v/>
      </c>
      <c r="V24" s="1"/>
      <c r="W24" s="1"/>
      <c r="X24" s="12">
        <f t="shared" ca="1" si="15"/>
        <v>701.11999999999989</v>
      </c>
      <c r="Y24" s="2">
        <v>22</v>
      </c>
      <c r="Z24" s="1">
        <f t="shared" si="16"/>
        <v>1961.4563999999998</v>
      </c>
      <c r="AA24" s="1">
        <f t="shared" ca="1" si="17"/>
        <v>1250</v>
      </c>
      <c r="AB24" s="1">
        <f t="shared" ca="1" si="4"/>
        <v>1961.4563999999998</v>
      </c>
      <c r="AC24" s="1" t="str">
        <f t="shared" ca="1" si="18"/>
        <v/>
      </c>
      <c r="AD24" s="1"/>
      <c r="AE24" s="1"/>
      <c r="AF24" s="12">
        <f t="shared" ca="1" si="19"/>
        <v>-711.4563999999998</v>
      </c>
      <c r="AG24" s="2">
        <v>22</v>
      </c>
      <c r="AH24" s="1">
        <f t="shared" si="20"/>
        <v>142.95833333333331</v>
      </c>
      <c r="AI24" s="1">
        <f t="shared" ca="1" si="21"/>
        <v>193</v>
      </c>
      <c r="AJ24" s="1">
        <f t="shared" ca="1" si="5"/>
        <v>142.95833333333331</v>
      </c>
      <c r="AK24" s="1" t="str">
        <f t="shared" ca="1" si="22"/>
        <v/>
      </c>
      <c r="AL24" s="1"/>
      <c r="AM24" s="1"/>
      <c r="AN24" s="12">
        <f t="shared" ca="1" si="23"/>
        <v>50.041666666666686</v>
      </c>
      <c r="AP24" s="2">
        <v>22</v>
      </c>
      <c r="AQ24" s="1">
        <f t="shared" si="24"/>
        <v>0</v>
      </c>
      <c r="AR24" s="1">
        <f t="shared" ca="1" si="25"/>
        <v>829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7525.1749135235132</v>
      </c>
      <c r="BC24">
        <v>11150</v>
      </c>
      <c r="BD24">
        <v>4527</v>
      </c>
      <c r="BE24">
        <v>5038</v>
      </c>
      <c r="BF24">
        <v>1911.0551999999998</v>
      </c>
      <c r="BG24">
        <v>1100</v>
      </c>
      <c r="BH24">
        <v>142.95833333333331</v>
      </c>
      <c r="BI24">
        <v>128</v>
      </c>
      <c r="BJ24">
        <v>0</v>
      </c>
      <c r="BK24">
        <v>688</v>
      </c>
    </row>
    <row r="25" spans="1:63">
      <c r="A25" s="2">
        <v>23</v>
      </c>
      <c r="B25" s="1">
        <f t="shared" si="28"/>
        <v>14106.188446856848</v>
      </c>
      <c r="C25" s="1">
        <f t="shared" ca="1" si="0"/>
        <v>17416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7525.1749135235132</v>
      </c>
      <c r="K25" s="1">
        <f t="shared" ca="1" si="9"/>
        <v>11150</v>
      </c>
      <c r="L25" s="1">
        <f t="shared" ca="1" si="2"/>
        <v>7525.1749135235132</v>
      </c>
      <c r="M25" s="1" t="str">
        <f t="shared" ca="1" si="10"/>
        <v/>
      </c>
      <c r="N25" s="1"/>
      <c r="O25" s="1"/>
      <c r="P25" s="12">
        <f t="shared" ca="1" si="11"/>
        <v>3624.8250864764868</v>
      </c>
      <c r="Q25" s="2">
        <v>23</v>
      </c>
      <c r="R25" s="1">
        <f t="shared" si="12"/>
        <v>4527</v>
      </c>
      <c r="S25" s="1">
        <f t="shared" ca="1" si="13"/>
        <v>5038</v>
      </c>
      <c r="T25" s="1">
        <f t="shared" ca="1" si="3"/>
        <v>4527</v>
      </c>
      <c r="U25" s="1" t="str">
        <f t="shared" ca="1" si="14"/>
        <v/>
      </c>
      <c r="V25" s="1"/>
      <c r="W25" s="1"/>
      <c r="X25" s="12">
        <f t="shared" ca="1" si="15"/>
        <v>511</v>
      </c>
      <c r="Y25" s="2">
        <v>23</v>
      </c>
      <c r="Z25" s="1">
        <f t="shared" si="16"/>
        <v>1911.0551999999998</v>
      </c>
      <c r="AA25" s="1">
        <f t="shared" ca="1" si="17"/>
        <v>1100</v>
      </c>
      <c r="AB25" s="1">
        <f t="shared" ca="1" si="4"/>
        <v>1911.0551999999998</v>
      </c>
      <c r="AC25" s="1" t="str">
        <f t="shared" ca="1" si="18"/>
        <v/>
      </c>
      <c r="AD25" s="1"/>
      <c r="AE25" s="1"/>
      <c r="AF25" s="12">
        <f t="shared" ca="1" si="19"/>
        <v>-811.05519999999979</v>
      </c>
      <c r="AG25" s="2">
        <v>23</v>
      </c>
      <c r="AH25" s="1">
        <f t="shared" si="20"/>
        <v>142.95833333333331</v>
      </c>
      <c r="AI25" s="1">
        <f t="shared" ca="1" si="21"/>
        <v>128</v>
      </c>
      <c r="AJ25" s="1">
        <f t="shared" ca="1" si="5"/>
        <v>142.95833333333331</v>
      </c>
      <c r="AK25" s="1" t="str">
        <f t="shared" ca="1" si="22"/>
        <v/>
      </c>
      <c r="AL25" s="1"/>
      <c r="AM25" s="1"/>
      <c r="AN25" s="12">
        <f t="shared" ca="1" si="23"/>
        <v>-14.958333333333314</v>
      </c>
      <c r="AP25" s="2">
        <v>23</v>
      </c>
      <c r="AQ25" s="1">
        <f t="shared" si="24"/>
        <v>0</v>
      </c>
      <c r="AR25" s="1">
        <f t="shared" ca="1" si="25"/>
        <v>688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7373.367201188642</v>
      </c>
      <c r="BC25">
        <v>12421</v>
      </c>
      <c r="BD25">
        <v>3689.52</v>
      </c>
      <c r="BE25">
        <v>4062</v>
      </c>
      <c r="BF25">
        <v>2019.1907999999999</v>
      </c>
      <c r="BG25">
        <v>2080</v>
      </c>
      <c r="BH25">
        <v>142.95833333333331</v>
      </c>
      <c r="BI25">
        <v>266</v>
      </c>
      <c r="BJ25">
        <v>0</v>
      </c>
      <c r="BK25">
        <v>531</v>
      </c>
    </row>
    <row r="26" spans="1:63">
      <c r="A26" s="2">
        <v>24</v>
      </c>
      <c r="B26" s="1">
        <f t="shared" si="28"/>
        <v>13225.036334521976</v>
      </c>
      <c r="C26" s="1">
        <f t="shared" ca="1" si="0"/>
        <v>18829</v>
      </c>
      <c r="D26" s="1">
        <f t="shared" ca="1" si="1"/>
        <v>13225.036334521976</v>
      </c>
      <c r="E26" s="1" t="str">
        <f t="shared" ca="1" si="6"/>
        <v/>
      </c>
      <c r="F26" s="1"/>
      <c r="G26" s="1"/>
      <c r="H26" s="12">
        <f t="shared" ca="1" si="7"/>
        <v>5603.9636654780243</v>
      </c>
      <c r="I26" s="2">
        <v>24</v>
      </c>
      <c r="J26" s="1">
        <f t="shared" si="8"/>
        <v>7373.367201188642</v>
      </c>
      <c r="K26" s="1">
        <f t="shared" ca="1" si="9"/>
        <v>12421</v>
      </c>
      <c r="L26" s="1">
        <f t="shared" ca="1" si="2"/>
        <v>7373.367201188642</v>
      </c>
      <c r="M26" s="1" t="str">
        <f t="shared" ca="1" si="10"/>
        <v/>
      </c>
      <c r="N26" s="1"/>
      <c r="O26" s="1"/>
      <c r="P26" s="12">
        <f t="shared" ca="1" si="11"/>
        <v>5047.632798811358</v>
      </c>
      <c r="Q26" s="2">
        <v>24</v>
      </c>
      <c r="R26" s="1">
        <f t="shared" si="12"/>
        <v>3689.52</v>
      </c>
      <c r="S26" s="1">
        <f t="shared" ca="1" si="13"/>
        <v>4062</v>
      </c>
      <c r="T26" s="1">
        <f t="shared" ca="1" si="3"/>
        <v>3689.52</v>
      </c>
      <c r="U26" s="1" t="str">
        <f t="shared" ca="1" si="14"/>
        <v/>
      </c>
      <c r="V26" s="1"/>
      <c r="W26" s="1"/>
      <c r="X26" s="12">
        <f t="shared" ca="1" si="15"/>
        <v>372.48</v>
      </c>
      <c r="Y26" s="2">
        <v>24</v>
      </c>
      <c r="Z26" s="1">
        <f t="shared" si="16"/>
        <v>2019.1907999999999</v>
      </c>
      <c r="AA26" s="1">
        <f t="shared" ca="1" si="17"/>
        <v>2080</v>
      </c>
      <c r="AB26" s="1">
        <f t="shared" ca="1" si="4"/>
        <v>2019.1907999999999</v>
      </c>
      <c r="AC26" s="1" t="str">
        <f t="shared" ca="1" si="18"/>
        <v/>
      </c>
      <c r="AD26" s="1"/>
      <c r="AE26" s="1"/>
      <c r="AF26" s="12">
        <f t="shared" ca="1" si="19"/>
        <v>60.809200000000146</v>
      </c>
      <c r="AG26" s="2">
        <v>24</v>
      </c>
      <c r="AH26" s="1">
        <f t="shared" si="20"/>
        <v>142.95833333333331</v>
      </c>
      <c r="AI26" s="1">
        <f t="shared" ca="1" si="21"/>
        <v>266</v>
      </c>
      <c r="AJ26" s="1">
        <f t="shared" ca="1" si="5"/>
        <v>142.95833333333331</v>
      </c>
      <c r="AK26" s="1" t="str">
        <f t="shared" ca="1" si="22"/>
        <v/>
      </c>
      <c r="AL26" s="1"/>
      <c r="AM26" s="1"/>
      <c r="AN26" s="12">
        <f t="shared" ca="1" si="23"/>
        <v>123.04166666666669</v>
      </c>
      <c r="AP26" s="2">
        <v>24</v>
      </c>
      <c r="AQ26" s="1">
        <f t="shared" si="24"/>
        <v>0</v>
      </c>
      <c r="AR26" s="1">
        <f t="shared" ca="1" si="25"/>
        <v>531</v>
      </c>
      <c r="AS26" s="1">
        <f t="shared" ca="1" si="26"/>
        <v>0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126</v>
      </c>
      <c r="F28" s="11">
        <f ca="1">SUM(C3:C26)</f>
        <v>293744.8</v>
      </c>
      <c r="G28" s="11">
        <f ca="1">SUM(D3:D26)</f>
        <v>323373.12246562477</v>
      </c>
      <c r="I28" s="10" t="s">
        <v>127</v>
      </c>
      <c r="N28" s="11">
        <f ca="1">SUM(K3:K26)</f>
        <v>210017.8</v>
      </c>
      <c r="O28" s="11">
        <f ca="1">SUM(L3:L26)</f>
        <v>191367.11931248172</v>
      </c>
      <c r="Q28" s="10" t="s">
        <v>127</v>
      </c>
      <c r="V28" s="11">
        <f ca="1">SUM(S3:S26)</f>
        <v>46103</v>
      </c>
      <c r="W28" s="11">
        <f ca="1">SUM(T3:T26)</f>
        <v>106530.95999999999</v>
      </c>
      <c r="Y28" s="10" t="s">
        <v>127</v>
      </c>
      <c r="Z28" s="5"/>
      <c r="AD28" s="11">
        <f ca="1">SUM(AA3:AA26)</f>
        <v>32240</v>
      </c>
      <c r="AE28" s="11">
        <f ca="1">SUM(AB3:AB26)</f>
        <v>36150.231599999992</v>
      </c>
      <c r="AG28" s="10" t="s">
        <v>127</v>
      </c>
      <c r="AL28" s="11">
        <f ca="1">SUM(AI3:AI26)</f>
        <v>5384</v>
      </c>
      <c r="AM28" s="11">
        <f ca="1">SUM(AJ3:AJ26)</f>
        <v>3431.0000000000005</v>
      </c>
      <c r="AP28" s="10" t="s">
        <v>127</v>
      </c>
      <c r="AU28" s="11">
        <f ca="1">SUM(AR3:AR26)</f>
        <v>9685</v>
      </c>
      <c r="AV28" s="11">
        <f ca="1">SUM(AS3:AS26)</f>
        <v>0</v>
      </c>
    </row>
    <row r="29" spans="1:63">
      <c r="A29" s="10" t="s">
        <v>128</v>
      </c>
      <c r="F29" s="11">
        <f>SUM(N29,V29,AD29,AL29)</f>
        <v>287000</v>
      </c>
      <c r="G29" s="11">
        <f>SUM(O29,W29,AE29,AM29)</f>
        <v>337479.31091248168</v>
      </c>
      <c r="I29" s="10" t="s">
        <v>129</v>
      </c>
      <c r="N29" s="11">
        <f>'JUSTIFICATIVA DE USINA'!AG2</f>
        <v>205000</v>
      </c>
      <c r="O29" s="11">
        <f>SUM(J3:J26)</f>
        <v>191367.11931248172</v>
      </c>
      <c r="Q29" s="10" t="s">
        <v>129</v>
      </c>
      <c r="V29" s="11">
        <f>'JUSTIFICATIVA DE USINA'!AS2</f>
        <v>46000</v>
      </c>
      <c r="W29" s="11">
        <f>SUM(R3:R26)</f>
        <v>106530.95999999999</v>
      </c>
      <c r="Y29" s="10" t="s">
        <v>129</v>
      </c>
      <c r="Z29" s="5"/>
      <c r="AD29" s="11">
        <f>'JUSTIFICATIVA DE USINA'!BE2</f>
        <v>31000</v>
      </c>
      <c r="AE29" s="11">
        <f>SUM(Z3:Z26)</f>
        <v>36150.231599999992</v>
      </c>
      <c r="AG29" s="10" t="s">
        <v>129</v>
      </c>
      <c r="AL29" s="11">
        <f>'JUSTIFICATIVA DE USINA'!BQ2</f>
        <v>5000</v>
      </c>
      <c r="AM29" s="11">
        <f>SUM(AH3:AH26)</f>
        <v>3431.0000000000005</v>
      </c>
      <c r="AP29" s="10" t="s">
        <v>129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85</v>
      </c>
      <c r="D30" s="51">
        <f ca="1">F28-G28</f>
        <v>-29628.322465624777</v>
      </c>
      <c r="H30" s="12"/>
      <c r="K30" t="s">
        <v>85</v>
      </c>
      <c r="L30" s="51">
        <f ca="1">N28-O28</f>
        <v>18650.680687518266</v>
      </c>
      <c r="S30" t="s">
        <v>85</v>
      </c>
      <c r="T30" s="51">
        <f ca="1">V28-W28</f>
        <v>-60427.959999999992</v>
      </c>
      <c r="Z30" s="5"/>
      <c r="AA30" t="s">
        <v>85</v>
      </c>
      <c r="AB30" s="51">
        <f ca="1">AD28-AE28</f>
        <v>-3910.2315999999919</v>
      </c>
      <c r="AI30" t="s">
        <v>85</v>
      </c>
      <c r="AJ30" s="51">
        <f ca="1">AL28-AM28</f>
        <v>1952.9999999999995</v>
      </c>
      <c r="AR30" t="s">
        <v>85</v>
      </c>
      <c r="AS30" s="51">
        <f ca="1">AU28-AV28</f>
        <v>9685</v>
      </c>
    </row>
    <row r="31" spans="1:63">
      <c r="D31" s="12"/>
      <c r="F31" s="50"/>
      <c r="H31" s="12"/>
      <c r="Z31" s="5"/>
    </row>
    <row r="32" spans="1:63" ht="18.75">
      <c r="A32" s="251" t="s">
        <v>130</v>
      </c>
      <c r="B32" s="251"/>
      <c r="C32" s="251"/>
      <c r="D32" s="251"/>
      <c r="E32" s="251"/>
      <c r="F32" s="251"/>
      <c r="G32" s="251"/>
      <c r="H32" s="251"/>
      <c r="I32" s="251"/>
      <c r="J32" s="251"/>
      <c r="K32" s="251"/>
      <c r="L32" s="251"/>
      <c r="M32" s="251"/>
      <c r="N32" s="251"/>
      <c r="O32" s="251"/>
      <c r="P32" s="251"/>
      <c r="Q32" s="251"/>
      <c r="R32" s="251"/>
      <c r="S32" s="251"/>
      <c r="T32" s="251"/>
      <c r="U32" s="251"/>
      <c r="V32" s="251"/>
      <c r="W32" s="251"/>
      <c r="X32" s="251"/>
      <c r="Y32" s="251"/>
      <c r="Z32" s="251"/>
      <c r="AA32" s="251"/>
      <c r="AB32" s="251"/>
      <c r="AC32" s="251"/>
      <c r="AD32" s="251"/>
      <c r="AE32" s="251"/>
      <c r="AF32" s="251"/>
      <c r="AG32" s="251"/>
      <c r="AH32" s="251"/>
      <c r="AI32" s="251"/>
      <c r="AJ32" s="251"/>
      <c r="AK32" s="251"/>
      <c r="AL32" s="7"/>
    </row>
    <row r="33" spans="1:38">
      <c r="A33" s="3" t="s">
        <v>120</v>
      </c>
      <c r="B33" s="4" t="s">
        <v>31</v>
      </c>
      <c r="C33" s="4" t="s">
        <v>33</v>
      </c>
      <c r="D33" s="4" t="s">
        <v>119</v>
      </c>
      <c r="F33" s="12">
        <f>SUM(B3:B26)</f>
        <v>337479.31091248163</v>
      </c>
      <c r="I33" s="3" t="str">
        <f>I2</f>
        <v>USINA 1</v>
      </c>
      <c r="J33" s="4" t="s">
        <v>31</v>
      </c>
      <c r="K33" s="4" t="s">
        <v>33</v>
      </c>
      <c r="L33" s="4" t="s">
        <v>119</v>
      </c>
      <c r="M33" s="8"/>
      <c r="Q33" s="3" t="str">
        <f>Q2</f>
        <v>USINA 2</v>
      </c>
      <c r="R33" s="4" t="s">
        <v>31</v>
      </c>
      <c r="S33" s="4" t="s">
        <v>33</v>
      </c>
      <c r="T33" s="4" t="s">
        <v>119</v>
      </c>
      <c r="U33" s="8"/>
      <c r="Y33" s="3" t="str">
        <f>Y2</f>
        <v>USINA 3</v>
      </c>
      <c r="Z33" s="4" t="s">
        <v>31</v>
      </c>
      <c r="AA33" s="4" t="s">
        <v>33</v>
      </c>
      <c r="AB33" s="4"/>
      <c r="AC33" s="4" t="s">
        <v>119</v>
      </c>
      <c r="AG33" s="3" t="str">
        <f>AG2</f>
        <v>USINA 4</v>
      </c>
      <c r="AH33" s="4" t="s">
        <v>31</v>
      </c>
      <c r="AI33" s="4" t="s">
        <v>33</v>
      </c>
      <c r="AJ33" s="4"/>
      <c r="AK33" s="4" t="s">
        <v>119</v>
      </c>
    </row>
    <row r="34" spans="1:38">
      <c r="A34" s="2">
        <v>1</v>
      </c>
      <c r="B34" s="1">
        <f>B3*24</f>
        <v>316667.35628371645</v>
      </c>
      <c r="C34" s="1">
        <f ca="1">C3*24</f>
        <v>262008</v>
      </c>
      <c r="D34" s="1"/>
      <c r="E34" s="9"/>
      <c r="I34" s="2">
        <v>1</v>
      </c>
      <c r="J34" s="1">
        <f>J3*24</f>
        <v>203294.71788371645</v>
      </c>
      <c r="K34" s="1">
        <f ca="1">K3*24</f>
        <v>203640</v>
      </c>
      <c r="L34" s="1"/>
      <c r="M34" s="9"/>
      <c r="N34" s="9"/>
      <c r="Q34" s="2">
        <v>1</v>
      </c>
      <c r="R34" s="1">
        <f>R3*24</f>
        <v>59394.240000000005</v>
      </c>
      <c r="S34" s="1">
        <f ca="1">S3*24</f>
        <v>23568</v>
      </c>
      <c r="T34" s="1"/>
      <c r="U34" s="9"/>
      <c r="V34" s="9"/>
      <c r="Y34" s="2">
        <v>1</v>
      </c>
      <c r="Z34" s="1" t="s">
        <v>131</v>
      </c>
      <c r="AA34" s="1">
        <f ca="1">AA3*24</f>
        <v>27840</v>
      </c>
      <c r="AB34" s="1"/>
      <c r="AC34" s="1"/>
      <c r="AD34" s="9"/>
      <c r="AG34" s="2">
        <v>1</v>
      </c>
      <c r="AH34" s="1">
        <f>AH3*24</f>
        <v>3430.9999999999995</v>
      </c>
      <c r="AI34" s="1">
        <f ca="1">AI3*24</f>
        <v>6960</v>
      </c>
      <c r="AJ34" s="1"/>
      <c r="AK34" s="1"/>
      <c r="AL34" s="9"/>
    </row>
    <row r="35" spans="1:38">
      <c r="A35" s="2">
        <v>2</v>
      </c>
      <c r="B35" s="1">
        <f>SUM($B$3:B4)/A4*24</f>
        <v>319864.88292809331</v>
      </c>
      <c r="C35" s="1">
        <f ca="1">IF(C4="","",IF(A35&lt;$A$1,SUM(C3:C4)/A4*24,(SUM(C3:C4)/$A$1)*24))</f>
        <v>269496</v>
      </c>
      <c r="D35" s="1"/>
      <c r="E35" s="9"/>
      <c r="I35" s="2">
        <v>2</v>
      </c>
      <c r="J35" s="1">
        <f>SUM($J$3:J4)/$I$4*24</f>
        <v>204324.06532809336</v>
      </c>
      <c r="K35" s="1">
        <f ca="1">IF(K4="","",IF(I35&lt;$A$1,SUM(K3:K4)/I4*24,(SUM(K3:K4)/$A$1)*24))</f>
        <v>212592</v>
      </c>
      <c r="L35" s="1"/>
      <c r="M35" s="9"/>
      <c r="N35" s="9"/>
      <c r="Q35" s="2">
        <v>2</v>
      </c>
      <c r="R35" s="1">
        <f>SUM($R$3:R4)/Q4*24</f>
        <v>57170.879999999997</v>
      </c>
      <c r="S35" s="1">
        <f ca="1">IF(S4="","",IF(Q35&lt;$A$1,SUM(S3:S4)/Q4*24,(SUM(S3:S4)/$A$1)*24))</f>
        <v>24084</v>
      </c>
      <c r="T35" s="1"/>
      <c r="U35" s="9"/>
      <c r="V35" s="9"/>
      <c r="Y35" s="2">
        <v>2</v>
      </c>
      <c r="Z35" s="1">
        <f>SUM($Z$3:Z4)/Y4*24</f>
        <v>54938.93759999999</v>
      </c>
      <c r="AA35" s="1">
        <f ca="1">IF(AA4="","",IF(Y35&lt;$A$1,SUM(AA3:AA4)/Y4*24,(SUM(AA3:AA4)/$A$1)*24))</f>
        <v>26880</v>
      </c>
      <c r="AB35" s="1"/>
      <c r="AC35" s="1"/>
      <c r="AD35" s="9"/>
      <c r="AG35" s="2">
        <v>2</v>
      </c>
      <c r="AH35" s="1">
        <f>SUM($AH$3:AH4)/AG4*24</f>
        <v>3430.9999999999995</v>
      </c>
      <c r="AI35" s="1">
        <f ca="1">IF(AI4="","",IF(AG35&lt;$A$1,SUM(AI3:AI4)/AG4*24,(SUM(AI3:AI4)/$A$1)*24))</f>
        <v>5940</v>
      </c>
      <c r="AJ35" s="1"/>
      <c r="AK35" s="1"/>
      <c r="AL35" s="9"/>
    </row>
    <row r="36" spans="1:38">
      <c r="A36" s="2">
        <v>3</v>
      </c>
      <c r="B36" s="1">
        <f>SUM($B$3:B5)/A5*24</f>
        <v>324815.80933438562</v>
      </c>
      <c r="C36" s="1">
        <f ca="1">IF(C5="","",IF(A36&lt;$A$1,SUM(C3:C5)/A5*24,(SUM(C3:C5)/$A$1)*24))</f>
        <v>259192</v>
      </c>
      <c r="D36" s="1"/>
      <c r="E36" s="9"/>
      <c r="I36" s="2">
        <v>3</v>
      </c>
      <c r="J36" s="1">
        <f>SUM($J$3:J5)/$I$5*24</f>
        <v>200096.35493438563</v>
      </c>
      <c r="K36" s="1">
        <f ca="1">IF(K5="","",IF(I36&lt;$A$1,SUM(K3:K5)/I5*24,(SUM(K3:K5)/$A$1)*24))</f>
        <v>210224</v>
      </c>
      <c r="L36" s="1"/>
      <c r="M36" s="9"/>
      <c r="N36" s="9"/>
      <c r="Q36" s="2">
        <v>3</v>
      </c>
      <c r="R36" s="1">
        <f>SUM($R$3:R5)/Q5*24</f>
        <v>73739.51999999999</v>
      </c>
      <c r="S36" s="1">
        <f ca="1">IF(S5="","",IF(Q36&lt;$A$1,SUM(S3:S5)/Q5*24,(SUM(S3:S5)/$A$1)*24))</f>
        <v>18056</v>
      </c>
      <c r="T36" s="1"/>
      <c r="U36" s="9"/>
      <c r="V36" s="9"/>
      <c r="Y36" s="2">
        <v>3</v>
      </c>
      <c r="Z36" s="1">
        <f>SUM($Z$3:Z5)/Y5*24</f>
        <v>47548.934399999998</v>
      </c>
      <c r="AA36" s="1">
        <f ca="1">IF(AA5="","",IF(Y36&lt;$A$1,SUM(AA3:AA5)/Y5*24,(SUM(AA3:AA5)/$A$1)*24))</f>
        <v>24160</v>
      </c>
      <c r="AB36" s="1"/>
      <c r="AC36" s="1"/>
      <c r="AD36" s="9"/>
      <c r="AG36" s="2">
        <v>3</v>
      </c>
      <c r="AH36" s="1">
        <f>SUM($AH$3:AH5)/AG5*24</f>
        <v>3430.9999999999995</v>
      </c>
      <c r="AI36" s="1">
        <f ca="1">IF(AI5="","",IF(AG36&lt;$A$1,SUM(AI3:AI5)/AG5*24,(SUM(AI3:AI5)/$A$1)*24))</f>
        <v>6752</v>
      </c>
      <c r="AJ36" s="1"/>
      <c r="AK36" s="1"/>
      <c r="AL36" s="9"/>
    </row>
    <row r="37" spans="1:38">
      <c r="A37" s="2">
        <v>4</v>
      </c>
      <c r="B37" s="1">
        <f>SUM($B$3:B6)/A6*24</f>
        <v>329077.49424001307</v>
      </c>
      <c r="C37" s="1">
        <f ca="1">IF(C6="","",IF(A37&lt;$A$1,SUM(C3:C6)/A6*24,(SUM(C3:C6)/$A$1)*24))</f>
        <v>275742</v>
      </c>
      <c r="D37" s="1"/>
      <c r="E37" s="9"/>
      <c r="I37" s="2">
        <v>4</v>
      </c>
      <c r="J37" s="1">
        <f>SUM($J$3:J6)/$I$6*24</f>
        <v>197771.44144001312</v>
      </c>
      <c r="K37" s="1">
        <f ca="1">IF(K6="","",IF(I37&lt;$A$1,SUM(K3:K6)/I6*24,(SUM(K3:K6)/$A$1)*24))</f>
        <v>207246</v>
      </c>
      <c r="L37" s="1"/>
      <c r="M37" s="9"/>
      <c r="Q37" s="2">
        <v>4</v>
      </c>
      <c r="R37" s="1">
        <f>SUM($R$3:R6)/Q6*24</f>
        <v>84021.119999999995</v>
      </c>
      <c r="S37" s="1">
        <f ca="1">IF(S6="","",IF(Q37&lt;$A$1,SUM(S3:S6)/Q6*24,(SUM(S3:S6)/$A$1)*24))</f>
        <v>36966</v>
      </c>
      <c r="T37" s="1"/>
      <c r="U37" s="9"/>
      <c r="V37" s="9"/>
      <c r="Y37" s="2">
        <v>4</v>
      </c>
      <c r="Z37" s="1">
        <f>SUM($Z$3:Z6)/Y6*24</f>
        <v>43853.932799999995</v>
      </c>
      <c r="AA37" s="1">
        <f ca="1">IF(AA6="","",IF(Y37&lt;$A$1,SUM(AA3:AA6)/Y6*24,(SUM(AA3:AA6)/$A$1)*24))</f>
        <v>25140</v>
      </c>
      <c r="AB37" s="1"/>
      <c r="AC37" s="1"/>
      <c r="AD37" s="9"/>
      <c r="AG37" s="2">
        <v>4</v>
      </c>
      <c r="AH37" s="1">
        <f>SUM($AH$3:AH6)/AG6*24</f>
        <v>3430.9999999999995</v>
      </c>
      <c r="AI37" s="1">
        <f ca="1">IF(AI6="","",IF(AG37&lt;$A$1,SUM(AI3:AI6)/AG6*24,(SUM(AI3:AI6)/$A$1)*24))</f>
        <v>6390</v>
      </c>
      <c r="AJ37" s="1"/>
      <c r="AK37" s="1"/>
      <c r="AL37" s="9"/>
    </row>
    <row r="38" spans="1:38">
      <c r="A38" s="2">
        <v>5</v>
      </c>
      <c r="B38" s="1">
        <f>SUM($B$3:B7)/A7*24</f>
        <v>332419.11170608376</v>
      </c>
      <c r="C38" s="1">
        <f ca="1">IF(C7="","",IF(A38&lt;$A$1,SUM(C3:C7)/A7*24,(SUM(C3:C7)/$A$1)*24))</f>
        <v>281044.80000000005</v>
      </c>
      <c r="D38" s="1"/>
      <c r="E38" s="9"/>
      <c r="I38" s="2">
        <v>5</v>
      </c>
      <c r="J38" s="1">
        <f>SUM($J$3:J7)/$I$7*24</f>
        <v>197763.72834608387</v>
      </c>
      <c r="K38" s="1">
        <f ca="1">IF(K7="","",IF(I38&lt;$A$1,SUM(K3:K7)/I7*24,(SUM(K3:K7)/$A$1)*24))</f>
        <v>209016</v>
      </c>
      <c r="L38" s="1"/>
      <c r="M38" s="9"/>
      <c r="N38" s="9"/>
      <c r="Q38" s="2">
        <v>5</v>
      </c>
      <c r="R38" s="1">
        <f>SUM($R$3:R7)/Q7*24</f>
        <v>90793.728000000003</v>
      </c>
      <c r="S38" s="1">
        <f ca="1">IF(S7="","",IF(Q38&lt;$A$1,SUM(S3:S7)/Q7*24,(SUM(S3:S7)/$A$1)*24))</f>
        <v>35352</v>
      </c>
      <c r="T38" s="1"/>
      <c r="U38" s="9"/>
      <c r="V38" s="9"/>
      <c r="Y38" s="2">
        <v>5</v>
      </c>
      <c r="Z38" s="1">
        <f>SUM($Z$3:Z7)/Y7*24</f>
        <v>40430.65535999999</v>
      </c>
      <c r="AA38" s="1">
        <f ca="1">IF(AA7="","",IF(Y38&lt;$A$1,SUM(AA3:AA7)/Y7*24,(SUM(AA3:AA7)/$A$1)*24))</f>
        <v>29856</v>
      </c>
      <c r="AB38" s="1"/>
      <c r="AC38" s="1"/>
      <c r="AD38" s="9"/>
      <c r="AG38" s="2">
        <v>5</v>
      </c>
      <c r="AH38" s="1">
        <f>SUM($AH$3:AH7)/AG7*24</f>
        <v>3430.9999999999995</v>
      </c>
      <c r="AI38" s="1">
        <f ca="1">IF(AI7="","",IF(AG38&lt;$A$1,SUM(AI3:AI7)/AG7*24,(SUM(AI3:AI7)/$A$1)*24))</f>
        <v>6820.7999999999993</v>
      </c>
      <c r="AJ38" s="1"/>
      <c r="AK38" s="1"/>
      <c r="AL38" s="9"/>
    </row>
    <row r="39" spans="1:38">
      <c r="A39" s="2">
        <v>6</v>
      </c>
      <c r="B39" s="1">
        <f>SUM($B$3:B8)/A8*24</f>
        <v>331152.0010644829</v>
      </c>
      <c r="C39" s="1">
        <f ca="1">IF(C8="","",IF(A39&lt;$A$1,SUM(C3:C8)/A8*24,(SUM(C3:C8)/$A$1)*24))</f>
        <v>288608</v>
      </c>
      <c r="D39" s="1"/>
      <c r="E39" s="9"/>
      <c r="I39" s="2">
        <v>6</v>
      </c>
      <c r="J39" s="1">
        <f>SUM($J$3:J8)/$I$8*24</f>
        <v>198506.522664483</v>
      </c>
      <c r="K39" s="1">
        <f ca="1">IF(K8="","",IF(I39&lt;$A$1,SUM(K3:K8)/I8*24,(SUM(K3:K8)/$A$1)*24))</f>
        <v>215836</v>
      </c>
      <c r="L39" s="1"/>
      <c r="M39" s="9"/>
      <c r="N39" s="9"/>
      <c r="Q39" s="2">
        <v>6</v>
      </c>
      <c r="R39" s="1">
        <f>SUM($R$3:R8)/Q8*24</f>
        <v>91901.760000000009</v>
      </c>
      <c r="S39" s="1">
        <f ca="1">IF(S8="","",IF(Q39&lt;$A$1,SUM(S3:S8)/Q8*24,(SUM(S3:S8)/$A$1)*24))</f>
        <v>35364</v>
      </c>
      <c r="T39" s="1"/>
      <c r="U39" s="9"/>
      <c r="V39" s="9"/>
      <c r="Y39" s="2">
        <v>6</v>
      </c>
      <c r="Z39" s="1">
        <f>SUM($Z$3:Z8)/Y8*24</f>
        <v>37312.718399999998</v>
      </c>
      <c r="AA39" s="1">
        <f ca="1">IF(AA8="","",IF(Y39&lt;$A$1,SUM(AA3:AA8)/Y8*24,(SUM(AA3:AA8)/$A$1)*24))</f>
        <v>31080</v>
      </c>
      <c r="AB39" s="1"/>
      <c r="AC39" s="1"/>
      <c r="AD39" s="9"/>
      <c r="AG39" s="2">
        <v>6</v>
      </c>
      <c r="AH39" s="1">
        <f>SUM($AH$3:AH8)/AG8*24</f>
        <v>3430.9999999999991</v>
      </c>
      <c r="AI39" s="1">
        <f ca="1">IF(AI8="","",IF(AG39&lt;$A$1,SUM(AI3:AI8)/AG8*24,(SUM(AI3:AI8)/$A$1)*24))</f>
        <v>6328</v>
      </c>
      <c r="AJ39" s="1"/>
      <c r="AK39" s="1"/>
      <c r="AL39" s="9"/>
    </row>
    <row r="40" spans="1:38">
      <c r="A40" s="2">
        <v>7</v>
      </c>
      <c r="B40" s="1">
        <f>SUM($B$3:B9)/A9*24</f>
        <v>333080.22154116468</v>
      </c>
      <c r="C40" s="1">
        <f ca="1">IF(C9="","",IF(A40&lt;$A$1,SUM(C3:C9)/A9*24,(SUM(C3:C9)/$A$1)*24))</f>
        <v>282020.91428571427</v>
      </c>
      <c r="D40" s="1"/>
      <c r="E40" s="9"/>
      <c r="I40" s="2">
        <v>7</v>
      </c>
      <c r="J40" s="1">
        <f>SUM($J$3:J9)/$I$9*24</f>
        <v>199829.23479830756</v>
      </c>
      <c r="K40" s="1">
        <f ca="1">IF(K9="","",IF(I40&lt;$A$1,SUM(K3:K9)/I9*24,(SUM(K3:K9)/$A$1)*24))</f>
        <v>216250.62857142853</v>
      </c>
      <c r="L40" s="1"/>
      <c r="M40" s="9"/>
      <c r="N40" s="9"/>
      <c r="Q40" s="2">
        <v>7</v>
      </c>
      <c r="R40" s="1">
        <f>SUM($R$3:R9)/Q9*24</f>
        <v>94190.81142857144</v>
      </c>
      <c r="S40" s="1">
        <f ca="1">IF(S9="","",IF(Q40&lt;$A$1,SUM(S3:S9)/Q9*24,(SUM(S3:S9)/$A$1)*24))</f>
        <v>30312</v>
      </c>
      <c r="T40" s="1"/>
      <c r="U40" s="9"/>
      <c r="V40" s="9"/>
      <c r="Y40" s="2">
        <v>7</v>
      </c>
      <c r="Z40" s="1">
        <f>SUM($Z$3:Z9)/Y9*24</f>
        <v>35629.175314285705</v>
      </c>
      <c r="AA40" s="1">
        <f ca="1">IF(AA9="","",IF(Y40&lt;$A$1,SUM(AA3:AA9)/Y9*24,(SUM(AA3:AA9)/$A$1)*24))</f>
        <v>30034.28571428571</v>
      </c>
      <c r="AB40" s="1"/>
      <c r="AC40" s="1"/>
      <c r="AD40" s="9"/>
      <c r="AG40" s="2">
        <v>7</v>
      </c>
      <c r="AH40" s="1">
        <f>SUM($AH$3:AH9)/AG9*24</f>
        <v>3430.9999999999991</v>
      </c>
      <c r="AI40" s="1">
        <f ca="1">IF(AI9="","",IF(AG40&lt;$A$1,SUM(AI3:AI9)/AG9*24,(SUM(AI3:AI9)/$A$1)*24))</f>
        <v>5424</v>
      </c>
      <c r="AJ40" s="1"/>
      <c r="AK40" s="1"/>
      <c r="AL40" s="9"/>
    </row>
    <row r="41" spans="1:38">
      <c r="A41" s="2">
        <v>8</v>
      </c>
      <c r="B41" s="1">
        <f>SUM($B$3:B10)/A10*24</f>
        <v>334766.82270884677</v>
      </c>
      <c r="C41" s="1">
        <f ca="1">IF(C10="","",IF(A41&lt;$A$1,SUM(C3:C10)/A10*24,(SUM(C3:C10)/$A$1)*24))</f>
        <v>279316.2</v>
      </c>
      <c r="D41" s="1"/>
      <c r="E41" s="9"/>
      <c r="I41" s="2">
        <v>8</v>
      </c>
      <c r="J41" s="1">
        <f>SUM($J$3:J10)/$I$10*24</f>
        <v>200733.26950884683</v>
      </c>
      <c r="K41" s="1">
        <f ca="1">IF(K10="","",IF(I41&lt;$A$1,SUM(K3:K10)/I10*24,(SUM(K3:K10)/$A$1)*24))</f>
        <v>215080.19999999998</v>
      </c>
      <c r="L41" s="1"/>
      <c r="M41" s="9"/>
      <c r="N41" s="9"/>
      <c r="Q41" s="2">
        <v>8</v>
      </c>
      <c r="R41" s="1">
        <f>SUM($R$3:R10)/Q10*24</f>
        <v>96775.200000000012</v>
      </c>
      <c r="S41" s="1">
        <f ca="1">IF(S10="","",IF(Q41&lt;$A$1,SUM(S3:S10)/Q10*24,(SUM(S3:S10)/$A$1)*24))</f>
        <v>26523</v>
      </c>
      <c r="T41" s="1"/>
      <c r="U41" s="9"/>
      <c r="V41" s="9"/>
      <c r="Y41" s="2">
        <v>8</v>
      </c>
      <c r="Z41" s="1">
        <f>SUM($Z$3:Z10)/Y10*24</f>
        <v>33827.353199999998</v>
      </c>
      <c r="AA41" s="1">
        <f ca="1">IF(AA10="","",IF(Y41&lt;$A$1,SUM(AA3:AA10)/Y10*24,(SUM(AA3:AA10)/$A$1)*24))</f>
        <v>32340</v>
      </c>
      <c r="AB41" s="1"/>
      <c r="AC41" s="1"/>
      <c r="AD41" s="9"/>
      <c r="AG41" s="2">
        <v>8</v>
      </c>
      <c r="AH41" s="1">
        <f>SUM($AH$3:AH10)/AG10*24</f>
        <v>3430.9999999999991</v>
      </c>
      <c r="AI41" s="1">
        <f ca="1">IF(AI10="","",IF(AG41&lt;$A$1,SUM(AI3:AI10)/AG10*24,(SUM(AI3:AI10)/$A$1)*24))</f>
        <v>5373</v>
      </c>
      <c r="AJ41" s="1"/>
      <c r="AK41" s="1"/>
      <c r="AL41" s="9"/>
    </row>
    <row r="42" spans="1:38">
      <c r="A42" s="2">
        <v>9</v>
      </c>
      <c r="B42" s="1">
        <f>SUM($B$3:B11)/A11*24</f>
        <v>334119.87670443603</v>
      </c>
      <c r="C42" s="1">
        <f ca="1">IF(C11="","",IF(A42&lt;$A$1,SUM(C3:C11)/A11*24,(SUM(C3:C11)/$A$1)*24))</f>
        <v>274062.93333333335</v>
      </c>
      <c r="D42" s="1"/>
      <c r="E42" s="9"/>
      <c r="I42" s="2">
        <v>9</v>
      </c>
      <c r="J42" s="1">
        <f>SUM($J$3:J11)/$I$11*24</f>
        <v>200665.72150443605</v>
      </c>
      <c r="K42" s="1">
        <f ca="1">IF(K11="","",IF(I42&lt;$A$1,SUM(K3:K11)/I11*24,(SUM(K3:K11)/$A$1)*24))</f>
        <v>211332.26666666666</v>
      </c>
      <c r="L42" s="1"/>
      <c r="M42" s="9"/>
      <c r="N42" s="9"/>
      <c r="Q42" s="2">
        <v>9</v>
      </c>
      <c r="R42" s="1">
        <f>SUM($R$3:R11)/Q11*24</f>
        <v>98210.880000000005</v>
      </c>
      <c r="S42" s="1">
        <f ca="1">IF(S11="","",IF(Q42&lt;$A$1,SUM(S3:S11)/Q11*24,(SUM(S3:S11)/$A$1)*24))</f>
        <v>25106.666666666664</v>
      </c>
      <c r="T42" s="1"/>
      <c r="U42" s="9"/>
      <c r="V42" s="9"/>
      <c r="Y42" s="2">
        <v>9</v>
      </c>
      <c r="Z42" s="1">
        <f>SUM($Z$3:Z11)/Y11*24</f>
        <v>31812.275199999993</v>
      </c>
      <c r="AA42" s="1">
        <f ca="1">IF(AA11="","",IF(Y42&lt;$A$1,SUM(AA3:AA11)/Y11*24,(SUM(AA3:AA11)/$A$1)*24))</f>
        <v>32080</v>
      </c>
      <c r="AB42" s="1"/>
      <c r="AC42" s="1"/>
      <c r="AD42" s="9"/>
      <c r="AG42" s="2">
        <v>9</v>
      </c>
      <c r="AH42" s="1">
        <f>SUM($AH$3:AH11)/AG11*24</f>
        <v>3430.9999999999991</v>
      </c>
      <c r="AI42" s="1">
        <f ca="1">IF(AI11="","",IF(AG42&lt;$A$1,SUM(AI3:AI11)/AG11*24,(SUM(AI3:AI11)/$A$1)*24))</f>
        <v>5544</v>
      </c>
      <c r="AJ42" s="1"/>
      <c r="AK42" s="1"/>
      <c r="AL42" s="9"/>
    </row>
    <row r="43" spans="1:38">
      <c r="A43" s="2">
        <v>10</v>
      </c>
      <c r="B43" s="1">
        <f>SUM($B$3:B12)/A12*24</f>
        <v>332796.1672399044</v>
      </c>
      <c r="C43" s="1">
        <f ca="1">IF(C12="","",IF(A43&lt;$A$1,SUM(C3:C12)/A12*24,(SUM(C3:C12)/$A$1)*24))</f>
        <v>266497.19999999995</v>
      </c>
      <c r="D43" s="1"/>
      <c r="E43" s="9"/>
      <c r="I43" s="2">
        <v>10</v>
      </c>
      <c r="J43" s="1">
        <f>SUM($J$3:J12)/$I$12*24</f>
        <v>200578.30643990453</v>
      </c>
      <c r="K43" s="1">
        <f ca="1">IF(K12="","",IF(I43&lt;$A$1,SUM(K3:K12)/I12*24,(SUM(K3:K12)/$A$1)*24))</f>
        <v>207099.59999999995</v>
      </c>
      <c r="L43" s="1"/>
      <c r="M43" s="9"/>
      <c r="N43" s="9"/>
      <c r="Q43" s="2">
        <v>10</v>
      </c>
      <c r="R43" s="1">
        <f>SUM($R$3:R12)/Q12*24</f>
        <v>99431.712</v>
      </c>
      <c r="S43" s="1">
        <f ca="1">IF(S12="","",IF(Q43&lt;$A$1,SUM(S3:S12)/Q12*24,(SUM(S3:S12)/$A$1)*24))</f>
        <v>22596</v>
      </c>
      <c r="T43" s="1"/>
      <c r="U43" s="9"/>
      <c r="V43" s="9">
        <f>4*4.2</f>
        <v>16.8</v>
      </c>
      <c r="Y43" s="2">
        <v>10</v>
      </c>
      <c r="Z43" s="1">
        <f>SUM($Z$3:Z12)/Y12*24</f>
        <v>29355.148799999995</v>
      </c>
      <c r="AA43" s="1">
        <f ca="1">IF(AA12="","",IF(Y43&lt;$A$1,SUM(AA3:AA12)/Y12*24,(SUM(AA3:AA12)/$A$1)*24))</f>
        <v>30960</v>
      </c>
      <c r="AB43" s="1"/>
      <c r="AC43" s="1"/>
      <c r="AD43" s="9"/>
      <c r="AG43" s="2">
        <v>10</v>
      </c>
      <c r="AH43" s="1">
        <f>SUM($AH$3:AH12)/AG12*24</f>
        <v>3430.9999999999991</v>
      </c>
      <c r="AI43" s="1">
        <f ca="1">IF(AI12="","",IF(AG43&lt;$A$1,SUM(AI3:AI12)/AG12*24,(SUM(AI3:AI12)/$A$1)*24))</f>
        <v>5841.6</v>
      </c>
      <c r="AJ43" s="1"/>
      <c r="AK43" s="1"/>
      <c r="AL43" s="9"/>
    </row>
    <row r="44" spans="1:38">
      <c r="A44" s="2">
        <v>11</v>
      </c>
      <c r="B44" s="1">
        <f>SUM($B$3:B13)/A13*24</f>
        <v>334766.63173544116</v>
      </c>
      <c r="C44" s="1">
        <f ca="1">IF(C13="","",IF(A44&lt;$A$1,SUM(C3:C13)/A13*24,(SUM(C3:C13)/$A$1)*24))</f>
        <v>270023.7818181818</v>
      </c>
      <c r="D44" s="1"/>
      <c r="E44" s="9"/>
      <c r="I44" s="2">
        <v>11</v>
      </c>
      <c r="J44" s="1">
        <f>SUM($J$3:J13)/$I$13*24</f>
        <v>202239.87260816855</v>
      </c>
      <c r="K44" s="1">
        <f ca="1">IF(K13="","",IF(I44&lt;$A$1,SUM(K3:K13)/I13*24,(SUM(K3:K13)/$A$1)*24))</f>
        <v>207477.59999999995</v>
      </c>
      <c r="L44" s="1"/>
      <c r="M44" s="9"/>
      <c r="N44" s="9"/>
      <c r="Q44" s="2">
        <v>11</v>
      </c>
      <c r="R44" s="1">
        <f>SUM($R$3:R13)/Q13*24</f>
        <v>101092.71272727274</v>
      </c>
      <c r="S44" s="1">
        <f ca="1">IF(S13="","",IF(Q44&lt;$A$1,SUM(S3:S13)/Q13*24,(SUM(S3:S13)/$A$1)*24))</f>
        <v>25069.090909090908</v>
      </c>
      <c r="T44" s="1"/>
      <c r="U44" s="9"/>
      <c r="V44" s="9"/>
      <c r="Y44" s="2">
        <v>11</v>
      </c>
      <c r="Z44" s="1">
        <f>SUM($Z$3:Z13)/Y13*24</f>
        <v>28003.046399999999</v>
      </c>
      <c r="AA44" s="1">
        <f ca="1">IF(AA13="","",IF(Y44&lt;$A$1,SUM(AA3:AA13)/Y13*24,(SUM(AA3:AA13)/$A$1)*24))</f>
        <v>31352.727272727272</v>
      </c>
      <c r="AB44" s="1"/>
      <c r="AC44" s="1"/>
      <c r="AD44" s="9"/>
      <c r="AG44" s="2">
        <v>11</v>
      </c>
      <c r="AH44" s="1">
        <f>SUM($AH$3:AH13)/AG13*24</f>
        <v>3430.9999999999991</v>
      </c>
      <c r="AI44" s="1">
        <f ca="1">IF(AI13="","",IF(AG44&lt;$A$1,SUM(AI3:AI13)/AG13*24,(SUM(AI3:AI13)/$A$1)*24))</f>
        <v>6124.363636363636</v>
      </c>
      <c r="AJ44" s="1"/>
      <c r="AK44" s="1"/>
      <c r="AL44" s="9"/>
    </row>
    <row r="45" spans="1:38">
      <c r="A45" s="2">
        <v>12</v>
      </c>
      <c r="B45" s="1">
        <f>SUM($B$3:B14)/A14*24</f>
        <v>337850.86815646105</v>
      </c>
      <c r="C45" s="1">
        <f ca="1">IF(C14="","",IF(A45&lt;$A$1,SUM(C3:C14)/A14*24,(SUM(C3:C14)/$A$1)*24))</f>
        <v>273138.59999999998</v>
      </c>
      <c r="D45" s="1"/>
      <c r="E45" s="9"/>
      <c r="I45" s="2">
        <v>12</v>
      </c>
      <c r="J45" s="1">
        <f>SUM($J$3:J14)/$I$14*24</f>
        <v>202024.16095646113</v>
      </c>
      <c r="K45" s="1">
        <f ca="1">IF(K14="","",IF(I45&lt;$A$1,SUM(K3:K14)/I14*24,(SUM(K3:K14)/$A$1)*24))</f>
        <v>204516.59999999998</v>
      </c>
      <c r="L45" s="1"/>
      <c r="M45" s="9"/>
      <c r="N45" s="9"/>
      <c r="Q45" s="2">
        <v>12</v>
      </c>
      <c r="R45" s="1">
        <f>SUM($R$3:R14)/Q14*24</f>
        <v>102300.72</v>
      </c>
      <c r="S45" s="1">
        <f ca="1">IF(S14="","",IF(Q45&lt;$A$1,SUM(S3:S14)/Q14*24,(SUM(S3:S14)/$A$1)*24))</f>
        <v>30714</v>
      </c>
      <c r="T45" s="1"/>
      <c r="U45" s="9"/>
      <c r="V45" s="9"/>
      <c r="Y45" s="2">
        <v>12</v>
      </c>
      <c r="Z45" s="1">
        <f>SUM($Z$3:Z14)/Y14*24</f>
        <v>30094.987199999996</v>
      </c>
      <c r="AA45" s="1">
        <f ca="1">IF(AA14="","",IF(Y45&lt;$A$1,SUM(AA3:AA14)/Y14*24,(SUM(AA3:AA14)/$A$1)*24))</f>
        <v>31500</v>
      </c>
      <c r="AB45" s="1"/>
      <c r="AC45" s="1"/>
      <c r="AD45" s="9"/>
      <c r="AG45" s="2">
        <v>12</v>
      </c>
      <c r="AH45" s="1">
        <f>SUM($AH$3:AH14)/AG14*24</f>
        <v>3430.9999999999991</v>
      </c>
      <c r="AI45" s="1">
        <f ca="1">IF(AI14="","",IF(AG45&lt;$A$1,SUM(AI3:AI14)/AG14*24,(SUM(AI3:AI14)/$A$1)*24))</f>
        <v>6408</v>
      </c>
      <c r="AJ45" s="1"/>
      <c r="AK45" s="1"/>
      <c r="AL45" s="9"/>
    </row>
    <row r="46" spans="1:38">
      <c r="A46" s="2">
        <v>13</v>
      </c>
      <c r="B46" s="1">
        <f>SUM($B$3:B15)/A15*24</f>
        <v>341979.22627602279</v>
      </c>
      <c r="C46" s="1">
        <f ca="1">IF(C15="","",IF(A46&lt;$A$1,SUM(C3:C15)/A15*24,(SUM(C3:C15)/$A$1)*24))</f>
        <v>274934.03076923074</v>
      </c>
      <c r="D46" s="1"/>
      <c r="E46" s="9"/>
      <c r="I46" s="2">
        <v>13</v>
      </c>
      <c r="J46" s="1">
        <f>SUM($J$3:J15)/$I$15*24</f>
        <v>203279.61532217666</v>
      </c>
      <c r="K46" s="1">
        <f ca="1">IF(K15="","",IF(I46&lt;$A$1,SUM(K3:K15)/I15*24,(SUM(K3:K15)/$A$1)*24))</f>
        <v>202572.18461538461</v>
      </c>
      <c r="L46" s="1"/>
      <c r="M46" s="9"/>
      <c r="N46" s="9"/>
      <c r="Q46" s="2">
        <v>13</v>
      </c>
      <c r="R46" s="1">
        <f>SUM($R$3:R15)/Q15*24</f>
        <v>103403.51999999999</v>
      </c>
      <c r="S46" s="1">
        <f ca="1">IF(S15="","",IF(Q46&lt;$A$1,SUM(S3:S15)/Q15*24,(SUM(S3:S15)/$A$1)*24))</f>
        <v>33690.461538461539</v>
      </c>
      <c r="T46" s="1"/>
      <c r="U46" s="9"/>
      <c r="V46" s="9"/>
      <c r="Y46" s="2">
        <v>13</v>
      </c>
      <c r="Z46" s="1">
        <f>SUM($Z$3:Z15)/Y15*24</f>
        <v>31865.090953846149</v>
      </c>
      <c r="AA46" s="1">
        <f ca="1">IF(AA15="","",IF(Y46&lt;$A$1,SUM(AA3:AA15)/Y15*24,(SUM(AA3:AA15)/$A$1)*24))</f>
        <v>32030.769230769227</v>
      </c>
      <c r="AB46" s="1"/>
      <c r="AC46" s="1"/>
      <c r="AD46" s="9"/>
      <c r="AG46" s="2">
        <v>13</v>
      </c>
      <c r="AH46" s="1">
        <f>SUM($AH$3:AH15)/AG15*24</f>
        <v>3430.9999999999991</v>
      </c>
      <c r="AI46" s="1">
        <f ca="1">IF(AI15="","",IF(AG46&lt;$A$1,SUM(AI3:AI15)/AG15*24,(SUM(AI3:AI15)/$A$1)*24))</f>
        <v>6640.6153846153848</v>
      </c>
      <c r="AJ46" s="1"/>
      <c r="AK46" s="1"/>
      <c r="AL46" s="9"/>
    </row>
    <row r="47" spans="1:38">
      <c r="A47" s="2">
        <v>14</v>
      </c>
      <c r="B47" s="1">
        <f>SUM($B$3:B16)/A16*24</f>
        <v>344636.45929815981</v>
      </c>
      <c r="C47" s="1">
        <f ca="1">IF(C16="","",IF(A47&lt;$A$1,SUM(C3:C16)/A16*24,(SUM(C3:C16)/$A$1)*24))</f>
        <v>271109.31428571424</v>
      </c>
      <c r="D47" s="1"/>
      <c r="E47" s="9"/>
      <c r="I47" s="2">
        <v>14</v>
      </c>
      <c r="J47" s="1">
        <f>SUM($J$3:J16)/$I$16*24</f>
        <v>203923.18478387417</v>
      </c>
      <c r="K47" s="1">
        <f ca="1">IF(K16="","",IF(I47&lt;$A$1,SUM(K3:K16)/I16*24,(SUM(K3:K16)/$A$1)*24))</f>
        <v>200813.31428571424</v>
      </c>
      <c r="L47" s="1"/>
      <c r="M47" s="9"/>
      <c r="N47" s="9"/>
      <c r="Q47" s="2">
        <v>14</v>
      </c>
      <c r="R47" s="1">
        <f>SUM($R$3:R16)/Q16*24</f>
        <v>104539.88571428572</v>
      </c>
      <c r="S47" s="1">
        <f ca="1">IF(S16="","",IF(Q47&lt;$A$1,SUM(S3:S16)/Q16*24,(SUM(S3:S16)/$A$1)*24))</f>
        <v>32751.428571428572</v>
      </c>
      <c r="T47" s="1"/>
      <c r="U47" s="9"/>
      <c r="V47" s="9"/>
      <c r="Y47" s="2">
        <v>14</v>
      </c>
      <c r="Z47" s="1">
        <f>SUM($Z$3:Z16)/Y16*24</f>
        <v>32742.388799999993</v>
      </c>
      <c r="AA47" s="1">
        <f ca="1">IF(AA16="","",IF(Y47&lt;$A$1,SUM(AA3:AA16)/Y16*24,(SUM(AA3:AA16)/$A$1)*24))</f>
        <v>31371.428571428572</v>
      </c>
      <c r="AB47" s="1"/>
      <c r="AC47" s="1"/>
      <c r="AD47" s="9"/>
      <c r="AG47" s="2">
        <v>14</v>
      </c>
      <c r="AH47" s="1">
        <f>SUM($AH$3:AH16)/AG16*24</f>
        <v>3430.9999999999991</v>
      </c>
      <c r="AI47" s="1">
        <f ca="1">IF(AI16="","",IF(AG47&lt;$A$1,SUM(AI3:AI16)/AG16*24,(SUM(AI3:AI16)/$A$1)*24))</f>
        <v>6173.1428571428569</v>
      </c>
      <c r="AJ47" s="1"/>
      <c r="AK47" s="1"/>
      <c r="AL47" s="9"/>
    </row>
    <row r="48" spans="1:38">
      <c r="A48" s="2">
        <v>15</v>
      </c>
      <c r="B48" s="1">
        <f>SUM($B$3:B17)/A17*24</f>
        <v>346648.12425079447</v>
      </c>
      <c r="C48" s="1">
        <f ca="1">IF(C17="","",IF(A48&lt;$A$1,SUM(C3:C17)/A17*24,(SUM(C3:C17)/$A$1)*24))</f>
        <v>268513.75999999995</v>
      </c>
      <c r="D48" s="1"/>
      <c r="E48" s="9"/>
      <c r="I48" s="2">
        <v>15</v>
      </c>
      <c r="J48" s="1">
        <f>SUM($J$3:J17)/$I$17*24</f>
        <v>203638.39465079454</v>
      </c>
      <c r="K48" s="1">
        <f ca="1">IF(K17="","",IF(I48&lt;$A$1,SUM(K3:K17)/I17*24,(SUM(K3:K17)/$A$1)*24))</f>
        <v>200568.15999999997</v>
      </c>
      <c r="L48" s="1"/>
      <c r="M48" s="9"/>
      <c r="N48" s="9"/>
      <c r="Q48" s="2">
        <v>15</v>
      </c>
      <c r="R48" s="1">
        <f>SUM($R$3:R17)/Q17*24</f>
        <v>105512.63999999998</v>
      </c>
      <c r="S48" s="1">
        <f ca="1">IF(S17="","",IF(Q48&lt;$A$1,SUM(S3:S17)/Q17*24,(SUM(S3:S17)/$A$1)*24))</f>
        <v>30568</v>
      </c>
      <c r="T48" s="1"/>
      <c r="U48" s="9"/>
      <c r="V48" s="9"/>
      <c r="Y48" s="2">
        <v>15</v>
      </c>
      <c r="Z48" s="1">
        <f>SUM($Z$3:Z17)/Y17*24</f>
        <v>34066.089599999992</v>
      </c>
      <c r="AA48" s="1">
        <f ca="1">IF(AA17="","",IF(Y48&lt;$A$1,SUM(AA3:AA17)/Y17*24,(SUM(AA3:AA17)/$A$1)*24))</f>
        <v>31616</v>
      </c>
      <c r="AB48" s="1"/>
      <c r="AC48" s="1"/>
      <c r="AD48" s="9"/>
      <c r="AG48" s="2">
        <v>15</v>
      </c>
      <c r="AH48" s="1">
        <f>SUM($AH$3:AH17)/AG17*24</f>
        <v>3430.9999999999991</v>
      </c>
      <c r="AI48" s="1">
        <f ca="1">IF(AI17="","",IF(AG48&lt;$A$1,SUM(AI3:AI17)/AG17*24,(SUM(AI3:AI17)/$A$1)*24))</f>
        <v>5761.6</v>
      </c>
      <c r="AJ48" s="1"/>
      <c r="AK48" s="1"/>
      <c r="AL48" s="9"/>
    </row>
    <row r="49" spans="1:38">
      <c r="A49" s="2">
        <v>16</v>
      </c>
      <c r="B49" s="1">
        <f>SUM($B$3:B18)/A18*24</f>
        <v>347146.50377067755</v>
      </c>
      <c r="C49" s="1">
        <f ca="1">IF(C18="","",IF(A49&lt;$A$1,SUM(C3:C18)/A18*24,(SUM(C3:C18)/$A$1)*24))</f>
        <v>268112.55</v>
      </c>
      <c r="D49" s="1"/>
      <c r="E49" s="9"/>
      <c r="I49" s="2">
        <v>16</v>
      </c>
      <c r="J49" s="1">
        <f>SUM($J$3:J18)/$I$18*24</f>
        <v>203259.30777067767</v>
      </c>
      <c r="K49" s="1">
        <f ca="1">IF(K18="","",IF(I49&lt;$A$1,SUM(K3:K18)/I18*24,(SUM(K3:K18)/$A$1)*24))</f>
        <v>200941.05</v>
      </c>
      <c r="L49" s="1"/>
      <c r="M49" s="9"/>
      <c r="N49" s="9"/>
      <c r="Q49" s="2">
        <v>16</v>
      </c>
      <c r="R49" s="1">
        <f>SUM($R$3:R18)/Q18*24</f>
        <v>106363.79999999999</v>
      </c>
      <c r="S49" s="1">
        <f ca="1">IF(S18="","",IF(Q49&lt;$A$1,SUM(S3:S18)/Q18*24,(SUM(S3:S18)/$A$1)*24))</f>
        <v>28734</v>
      </c>
      <c r="T49" s="1"/>
      <c r="U49" s="9"/>
      <c r="V49" s="9"/>
      <c r="Y49" s="2">
        <v>16</v>
      </c>
      <c r="Z49" s="1">
        <f>SUM($Z$3:Z18)/Y18*24</f>
        <v>34092.395999999993</v>
      </c>
      <c r="AA49" s="1">
        <f ca="1">IF(AA18="","",IF(Y49&lt;$A$1,SUM(AA3:AA18)/Y18*24,(SUM(AA3:AA18)/$A$1)*24))</f>
        <v>32820</v>
      </c>
      <c r="AB49" s="1"/>
      <c r="AC49" s="1"/>
      <c r="AD49" s="9"/>
      <c r="AG49" s="2">
        <v>16</v>
      </c>
      <c r="AH49" s="1">
        <f>SUM($AH$3:AH18)/AG18*24</f>
        <v>3430.9999999999991</v>
      </c>
      <c r="AI49" s="1">
        <f ca="1">IF(AI18="","",IF(AG49&lt;$A$1,SUM(AI3:AI18)/AG18*24,(SUM(AI3:AI18)/$A$1)*24))</f>
        <v>5617.5</v>
      </c>
      <c r="AJ49" s="1"/>
      <c r="AK49" s="1"/>
      <c r="AL49" s="9"/>
    </row>
    <row r="50" spans="1:38">
      <c r="A50" s="2">
        <v>17</v>
      </c>
      <c r="B50" s="1">
        <f>SUM($B$3:B19)/A19*24</f>
        <v>345545.28799968451</v>
      </c>
      <c r="C50" s="1">
        <f ca="1">IF(C19="","",IF(A50&lt;$A$1,SUM(C3:C19)/A19*24,(SUM(C3:C19)/$A$1)*24))</f>
        <v>269621.50588235294</v>
      </c>
      <c r="D50" s="1"/>
      <c r="E50" s="9"/>
      <c r="I50" s="2">
        <v>17</v>
      </c>
      <c r="J50" s="1">
        <f>SUM($J$3:J19)/$I$19*24</f>
        <v>201416.18767027283</v>
      </c>
      <c r="K50" s="1">
        <f ca="1">IF(K19="","",IF(I50&lt;$A$1,SUM(K3:K19)/I19*24,(SUM(K3:K19)/$A$1)*24))</f>
        <v>201595.62352941174</v>
      </c>
      <c r="L50" s="1"/>
      <c r="M50" s="9"/>
      <c r="N50" s="9"/>
      <c r="Q50" s="2">
        <v>17</v>
      </c>
      <c r="R50" s="1">
        <f>SUM($R$3:R19)/Q19*24</f>
        <v>106937.27999999998</v>
      </c>
      <c r="S50" s="1">
        <f ca="1">IF(S19="","",IF(Q50&lt;$A$1,SUM(S3:S19)/Q19*24,(SUM(S3:S19)/$A$1)*24))</f>
        <v>28678.588235294119</v>
      </c>
      <c r="T50" s="1"/>
      <c r="U50" s="9"/>
      <c r="V50" s="9"/>
      <c r="Y50" s="2">
        <v>17</v>
      </c>
      <c r="Z50" s="1">
        <f>SUM($Z$3:Z19)/Y19*24</f>
        <v>33760.820329411756</v>
      </c>
      <c r="AA50" s="1">
        <f ca="1">IF(AA19="","",IF(Y50&lt;$A$1,SUM(AA3:AA19)/Y19*24,(SUM(AA3:AA19)/$A$1)*24))</f>
        <v>33557.647058823532</v>
      </c>
      <c r="AB50" s="1"/>
      <c r="AC50" s="1"/>
      <c r="AD50" s="9"/>
      <c r="AG50" s="2">
        <v>17</v>
      </c>
      <c r="AH50" s="1">
        <f>SUM($AH$3:AH19)/AG19*24</f>
        <v>3430.9999999999991</v>
      </c>
      <c r="AI50" s="1">
        <f ca="1">IF(AI19="","",IF(AG50&lt;$A$1,SUM(AI3:AI19)/AG19*24,(SUM(AI3:AI19)/$A$1)*24))</f>
        <v>5789.6470588235297</v>
      </c>
      <c r="AJ50" s="1"/>
      <c r="AK50" s="1"/>
      <c r="AL50" s="9"/>
    </row>
    <row r="51" spans="1:38">
      <c r="A51" s="2">
        <v>18</v>
      </c>
      <c r="B51" s="1">
        <f>SUM($B$3:B20)/A20*24</f>
        <v>342574.85152693721</v>
      </c>
      <c r="C51" s="1">
        <f ca="1">IF(C20="","",IF(A51&lt;$A$1,SUM(C3:C20)/A20*24,(SUM(C3:C20)/$A$1)*24))</f>
        <v>269330.39999999997</v>
      </c>
      <c r="D51" s="1"/>
      <c r="E51" s="9"/>
      <c r="I51" s="2">
        <v>18</v>
      </c>
      <c r="J51" s="1">
        <f>SUM($J$3:J20)/$I$20*24</f>
        <v>199335.79712693737</v>
      </c>
      <c r="K51" s="1">
        <f ca="1">IF(K20="","",IF(I51&lt;$A$1,SUM(K3:K20)/I20*24,(SUM(K3:K20)/$A$1)*24))</f>
        <v>200770.39999999997</v>
      </c>
      <c r="L51" s="1"/>
      <c r="M51" s="9"/>
      <c r="N51" s="9"/>
      <c r="Q51" s="2">
        <v>18</v>
      </c>
      <c r="R51" s="1">
        <f>SUM($R$3:R20)/Q20*24</f>
        <v>106715.99999999997</v>
      </c>
      <c r="S51" s="1">
        <f ca="1">IF(S20="","",IF(Q51&lt;$A$1,SUM(S3:S20)/Q20*24,(SUM(S3:S20)/$A$1)*24))</f>
        <v>28889.333333333332</v>
      </c>
      <c r="T51" s="1"/>
      <c r="U51" s="9"/>
      <c r="V51" s="9"/>
      <c r="Y51" s="2">
        <v>18</v>
      </c>
      <c r="Z51" s="1">
        <f>SUM($Z$3:Z20)/Y20*24</f>
        <v>33092.054399999994</v>
      </c>
      <c r="AA51" s="1">
        <f ca="1">IF(AA20="","",IF(Y51&lt;$A$1,SUM(AA3:AA20)/Y20*24,(SUM(AA3:AA20)/$A$1)*24))</f>
        <v>33626.666666666664</v>
      </c>
      <c r="AB51" s="1"/>
      <c r="AC51" s="1"/>
      <c r="AD51" s="9"/>
      <c r="AG51" s="2">
        <v>18</v>
      </c>
      <c r="AH51" s="1">
        <f>SUM($AH$3:AH20)/AG20*24</f>
        <v>3430.9999999999995</v>
      </c>
      <c r="AI51" s="1">
        <f ca="1">IF(AI20="","",IF(AG51&lt;$A$1,SUM(AI3:AI20)/AG20*24,(SUM(AI3:AI20)/$A$1)*24))</f>
        <v>6044</v>
      </c>
      <c r="AJ51" s="1"/>
      <c r="AK51" s="1"/>
      <c r="AL51" s="9"/>
    </row>
    <row r="52" spans="1:38">
      <c r="A52" s="2">
        <v>19</v>
      </c>
      <c r="B52" s="1">
        <f>SUM($B$3:B21)/A21*24</f>
        <v>340219.54111452308</v>
      </c>
      <c r="C52" s="1">
        <f ca="1">IF(C21="","",IF(A52&lt;$A$1,SUM(C3:C21)/A21*24,(SUM(C3:C21)/$A$1)*24))</f>
        <v>269354.27368421049</v>
      </c>
      <c r="D52" s="1"/>
      <c r="E52" s="9"/>
      <c r="I52" s="2">
        <v>19</v>
      </c>
      <c r="J52" s="1">
        <f>SUM($J$3:J21)/$I$21*24</f>
        <v>196271.89050399687</v>
      </c>
      <c r="K52" s="1">
        <f ca="1">IF(K21="","",IF(I52&lt;$A$1,SUM(K3:K21)/I21*24,(SUM(K3:K21)/$A$1)*24))</f>
        <v>200796.37894736842</v>
      </c>
      <c r="L52" s="1"/>
      <c r="M52" s="9"/>
      <c r="N52" s="9"/>
      <c r="Q52" s="2">
        <v>19</v>
      </c>
      <c r="R52" s="1">
        <f>SUM($R$3:R21)/Q21*24</f>
        <v>107069.75999999998</v>
      </c>
      <c r="S52" s="1">
        <f ca="1">IF(S21="","",IF(Q52&lt;$A$1,SUM(S3:S21)/Q21*24,(SUM(S3:S21)/$A$1)*24))</f>
        <v>30975.15789473684</v>
      </c>
      <c r="T52" s="1"/>
      <c r="U52" s="9"/>
      <c r="V52" s="9"/>
      <c r="Y52" s="2">
        <v>19</v>
      </c>
      <c r="Z52" s="1">
        <f>SUM($Z$3:Z21)/Y21*24</f>
        <v>33446.890610526309</v>
      </c>
      <c r="AA52" s="1">
        <f ca="1">IF(AA21="","",IF(Y52&lt;$A$1,SUM(AA3:AA21)/Y21*24,(SUM(AA3:AA21)/$A$1)*24))</f>
        <v>31856.84210526316</v>
      </c>
      <c r="AB52" s="1"/>
      <c r="AC52" s="1"/>
      <c r="AD52" s="9"/>
      <c r="AG52" s="2">
        <v>19</v>
      </c>
      <c r="AH52" s="1">
        <f>SUM($AH$3:AH21)/AG21*24</f>
        <v>3430.9999999999995</v>
      </c>
      <c r="AI52" s="1">
        <f ca="1">IF(AI21="","",IF(AG52&lt;$A$1,SUM(AI3:AI21)/AG21*24,(SUM(AI3:AI21)/$A$1)*24))</f>
        <v>5725.894736842105</v>
      </c>
      <c r="AJ52" s="1"/>
      <c r="AK52" s="1"/>
      <c r="AL52" s="9"/>
    </row>
    <row r="53" spans="1:38">
      <c r="A53" s="2">
        <v>20</v>
      </c>
      <c r="B53" s="1">
        <f>SUM($B$3:B22)/A22*24</f>
        <v>340022.87381035544</v>
      </c>
      <c r="C53" s="1">
        <f ca="1">IF(C22="","",IF(A53&lt;$A$1,SUM(C3:C22)/A22*24,(SUM(C3:C22)/$A$1)*24))</f>
        <v>270748.55999999994</v>
      </c>
      <c r="D53" s="1"/>
      <c r="E53" s="9"/>
      <c r="I53" s="2">
        <v>20</v>
      </c>
      <c r="J53" s="1">
        <f>SUM($J$3:J22)/$I$22*24</f>
        <v>195184.89045035554</v>
      </c>
      <c r="K53" s="1">
        <f ca="1">IF(K22="","",IF(I53&lt;$A$1,SUM(K3:K22)/I22*24,(SUM(K3:K22)/$A$1)*24))</f>
        <v>199935.35999999999</v>
      </c>
      <c r="L53" s="1"/>
      <c r="M53" s="9"/>
      <c r="N53" s="9"/>
      <c r="Q53" s="2">
        <v>20</v>
      </c>
      <c r="R53" s="1">
        <f>SUM($R$3:R22)/Q22*24</f>
        <v>107450.49599999998</v>
      </c>
      <c r="S53" s="1">
        <f ca="1">IF(S22="","",IF(Q53&lt;$A$1,SUM(S3:S22)/Q22*24,(SUM(S3:S22)/$A$1)*24))</f>
        <v>33438</v>
      </c>
      <c r="T53" s="1"/>
      <c r="U53" s="9"/>
      <c r="V53" s="9"/>
      <c r="Y53" s="2">
        <v>20</v>
      </c>
      <c r="Z53" s="1">
        <f>SUM($Z$3:Z22)/Y22*24</f>
        <v>33956.487359999999</v>
      </c>
      <c r="AA53" s="1">
        <f ca="1">IF(AA22="","",IF(Y53&lt;$A$1,SUM(AA3:AA22)/Y22*24,(SUM(AA3:AA22)/$A$1)*24))</f>
        <v>31872</v>
      </c>
      <c r="AB53" s="1"/>
      <c r="AC53" s="1"/>
      <c r="AD53" s="9"/>
      <c r="AG53" s="2">
        <v>20</v>
      </c>
      <c r="AH53" s="1">
        <f>SUM($AH$3:AH22)/AG22*24</f>
        <v>3430.9999999999995</v>
      </c>
      <c r="AI53" s="1">
        <f ca="1">IF(AI22="","",IF(AG53&lt;$A$1,SUM(AI3:AI22)/AG22*24,(SUM(AI3:AI22)/$A$1)*24))</f>
        <v>5503.2000000000007</v>
      </c>
      <c r="AJ53" s="1"/>
      <c r="AK53" s="1"/>
      <c r="AL53" s="9"/>
    </row>
    <row r="54" spans="1:38">
      <c r="A54" s="2">
        <v>21</v>
      </c>
      <c r="B54" s="1">
        <f>SUM($B$3:B23)/A23*24</f>
        <v>339243.33591439098</v>
      </c>
      <c r="C54" s="1">
        <f ca="1">IF(C23="","",IF(A54&lt;$A$1,SUM(C3:C23)/A23*24,(SUM(C3:C23)/$A$1)*24))</f>
        <v>274944.91428571427</v>
      </c>
      <c r="D54" s="1"/>
      <c r="E54" s="9"/>
      <c r="I54" s="2">
        <v>21</v>
      </c>
      <c r="J54" s="1">
        <f>SUM($J$3:J23)/$I$23*24</f>
        <v>194011.09111439105</v>
      </c>
      <c r="K54" s="1">
        <f ca="1">IF(K23="","",IF(I54&lt;$A$1,SUM(K3:K23)/I23*24,(SUM(K3:K23)/$A$1)*24))</f>
        <v>201331.19999999998</v>
      </c>
      <c r="L54" s="1"/>
      <c r="M54" s="9"/>
      <c r="N54" s="9"/>
      <c r="Q54" s="2">
        <v>21</v>
      </c>
      <c r="R54" s="1">
        <f>SUM($R$3:R23)/Q23*24</f>
        <v>107220.06857142856</v>
      </c>
      <c r="S54" s="1">
        <f ca="1">IF(S23="","",IF(Q54&lt;$A$1,SUM(S3:S23)/Q23*24,(SUM(S3:S23)/$A$1)*24))</f>
        <v>36348.571428571435</v>
      </c>
      <c r="T54" s="1"/>
      <c r="U54" s="9"/>
      <c r="V54" s="9"/>
      <c r="Y54" s="2">
        <v>21</v>
      </c>
      <c r="Z54" s="1">
        <f>SUM($Z$3:Z23)/Y23*24</f>
        <v>34581.176228571421</v>
      </c>
      <c r="AA54" s="1">
        <f ca="1">IF(AA23="","",IF(Y54&lt;$A$1,SUM(AA3:AA23)/Y23*24,(SUM(AA3:AA23)/$A$1)*24))</f>
        <v>31782.857142857141</v>
      </c>
      <c r="AB54" s="1"/>
      <c r="AC54" s="1"/>
      <c r="AD54" s="9"/>
      <c r="AG54" s="2">
        <v>21</v>
      </c>
      <c r="AH54" s="1">
        <f>SUM($AH$3:AH23)/AG23*24</f>
        <v>3431</v>
      </c>
      <c r="AI54" s="1">
        <f ca="1">IF(AI23="","",IF(AG54&lt;$A$1,SUM(AI3:AI23)/AG23*24,(SUM(AI3:AI23)/$A$1)*24))</f>
        <v>5482.2857142857138</v>
      </c>
      <c r="AJ54" s="1"/>
      <c r="AK54" s="1"/>
      <c r="AL54" s="9"/>
    </row>
    <row r="55" spans="1:38">
      <c r="A55" s="2">
        <v>22</v>
      </c>
      <c r="B55" s="1">
        <f>SUM($B$3:B24)/A24*24</f>
        <v>338343.36668847577</v>
      </c>
      <c r="C55" s="1">
        <f ca="1">IF(C24="","",IF(A55&lt;$A$1,SUM(C3:C24)/A24*24,(SUM(C3:C24)/$A$1)*24))</f>
        <v>280908.87272727274</v>
      </c>
      <c r="D55" s="1"/>
      <c r="E55" s="9"/>
      <c r="I55" s="2">
        <v>22</v>
      </c>
      <c r="J55" s="1">
        <f>SUM($J$3:J24)/$I$24*24</f>
        <v>192511.17512483953</v>
      </c>
      <c r="K55" s="1">
        <f ca="1">IF(K24="","",IF(I55&lt;$A$1,SUM(K3:K24)/I24*24,(SUM(K3:K24)/$A$1)*24))</f>
        <v>203396.50909090909</v>
      </c>
      <c r="L55" s="1"/>
      <c r="M55" s="9"/>
      <c r="N55" s="9"/>
      <c r="Q55" s="2">
        <v>22</v>
      </c>
      <c r="R55" s="1">
        <f>SUM($R$3:R24)/Q24*24</f>
        <v>107252.11636363636</v>
      </c>
      <c r="S55" s="1">
        <f ca="1">IF(S24="","",IF(Q55&lt;$A$1,SUM(S3:S24)/Q24*24,(SUM(S3:S24)/$A$1)*24))</f>
        <v>40366.909090909088</v>
      </c>
      <c r="T55" s="1"/>
      <c r="U55" s="9"/>
      <c r="V55" s="9"/>
      <c r="Y55" s="2">
        <v>22</v>
      </c>
      <c r="Z55" s="1">
        <f>SUM($Z$3:Z24)/Y24*24</f>
        <v>35149.075199999992</v>
      </c>
      <c r="AA55" s="1">
        <f ca="1">IF(AA24="","",IF(Y55&lt;$A$1,SUM(AA3:AA24)/Y24*24,(SUM(AA3:AA24)/$A$1)*24))</f>
        <v>31701.818181818184</v>
      </c>
      <c r="AB55" s="1"/>
      <c r="AC55" s="1"/>
      <c r="AD55" s="9"/>
      <c r="AG55" s="2">
        <v>22</v>
      </c>
      <c r="AH55" s="1">
        <f>SUM($AH$3:AH24)/AG24*24</f>
        <v>3431</v>
      </c>
      <c r="AI55" s="1">
        <f ca="1">IF(AI24="","",IF(AG55&lt;$A$1,SUM(AI3:AI24)/AG24*24,(SUM(AI3:AI24)/$A$1)*24))</f>
        <v>5443.636363636364</v>
      </c>
      <c r="AJ55" s="1"/>
      <c r="AK55" s="1"/>
      <c r="AL55" s="9"/>
    </row>
    <row r="56" spans="1:38">
      <c r="A56" s="2">
        <v>23</v>
      </c>
      <c r="B56" s="1">
        <f>SUM($B$3:B25)/A25*24</f>
        <v>338352.28651613183</v>
      </c>
      <c r="C56" s="1">
        <f ca="1">IF(C25="","",IF(A56&lt;$A$1,SUM(C3:C25)/A25*24,(SUM(C3:C25)/$A$1)*24))</f>
        <v>286868.66086956521</v>
      </c>
      <c r="D56" s="1"/>
      <c r="E56" s="9"/>
      <c r="I56" s="2">
        <v>23</v>
      </c>
      <c r="J56" s="1">
        <f>SUM($J$3:J25)/$I$25*24</f>
        <v>191993.480463958</v>
      </c>
      <c r="K56" s="1">
        <f ca="1">IF(K25="","",IF(I56&lt;$A$1,SUM(K3:K25)/I25*24,(SUM(K3:K25)/$A$1)*24))</f>
        <v>206187.96521739132</v>
      </c>
      <c r="L56" s="1"/>
      <c r="M56" s="9"/>
      <c r="N56" s="9"/>
      <c r="Q56" s="2">
        <v>23</v>
      </c>
      <c r="R56" s="1">
        <f>SUM($R$3:R25)/Q25*24</f>
        <v>107312.80695652173</v>
      </c>
      <c r="S56" s="1">
        <f ca="1">IF(S25="","",IF(Q56&lt;$A$1,SUM(S3:S25)/Q25*24,(SUM(S3:S25)/$A$1)*24))</f>
        <v>43868.869565217392</v>
      </c>
      <c r="T56" s="1"/>
      <c r="U56" s="9"/>
      <c r="V56" s="9"/>
      <c r="Y56" s="2">
        <v>23</v>
      </c>
      <c r="Z56" s="1">
        <f>SUM($Z$3:Z25)/Y25*24</f>
        <v>35614.999095652172</v>
      </c>
      <c r="AA56" s="1">
        <f ca="1">IF(AA25="","",IF(Y56&lt;$A$1,SUM(AA3:AA25)/Y25*24,(SUM(AA3:AA25)/$A$1)*24))</f>
        <v>31471.304347826088</v>
      </c>
      <c r="AB56" s="1"/>
      <c r="AC56" s="1"/>
      <c r="AD56" s="9"/>
      <c r="AG56" s="2">
        <v>23</v>
      </c>
      <c r="AH56" s="1">
        <f>SUM($AH$3:AH25)/AG25*24</f>
        <v>3431</v>
      </c>
      <c r="AI56" s="1">
        <f ca="1">IF(AI25="","",IF(AG56&lt;$A$1,SUM(AI3:AI25)/AG25*24,(SUM(AI3:AI25)/$A$1)*24))</f>
        <v>5340.521739130435</v>
      </c>
      <c r="AJ56" s="1"/>
      <c r="AK56" s="1"/>
      <c r="AL56" s="9"/>
    </row>
    <row r="57" spans="1:38">
      <c r="A57" s="2">
        <v>24</v>
      </c>
      <c r="B57" s="1">
        <f>SUM($B$3:B26)/A26*24</f>
        <v>337479.31091248163</v>
      </c>
      <c r="C57" s="1">
        <f ca="1">IF(C26="","",IF(A57&lt;$A$1,SUM(C3:C26)/A26*24,(SUM(C3:C26)/$A$1)*24))</f>
        <v>306516.31304347824</v>
      </c>
      <c r="D57" s="1"/>
      <c r="E57" s="9"/>
      <c r="I57" s="2">
        <v>24</v>
      </c>
      <c r="J57" s="1">
        <f>SUM($J$3:J26)/$I$26*24</f>
        <v>191367.11931248172</v>
      </c>
      <c r="K57" s="1">
        <f ca="1">IF(K26="","",IF(I57&lt;$A$1,SUM(K3:K26)/I26*24,(SUM(K3:K26)/$A$1)*24))</f>
        <v>219149.00869565213</v>
      </c>
      <c r="L57" s="1"/>
      <c r="M57" s="9"/>
      <c r="N57" s="9"/>
      <c r="Q57" s="2">
        <v>24</v>
      </c>
      <c r="R57" s="1">
        <f>SUM($R$3:R26)/Q26*24</f>
        <v>106530.95999999999</v>
      </c>
      <c r="S57" s="1">
        <f ca="1">IF(S26="","",IF(Q57&lt;$A$1,SUM(S3:S26)/Q26*24,(SUM(S3:S26)/$A$1)*24))</f>
        <v>48107.478260869568</v>
      </c>
      <c r="T57" s="1"/>
      <c r="U57" s="9"/>
      <c r="V57" s="9"/>
      <c r="Y57" s="2">
        <v>24</v>
      </c>
      <c r="Z57" s="1">
        <f>SUM($Z$3:Z26)/Y26*24</f>
        <v>36150.231599999992</v>
      </c>
      <c r="AA57" s="1">
        <f ca="1">IF(AA26="","",IF(Y57&lt;$A$1,SUM(AA3:AA26)/Y26*24,(SUM(AA3:AA26)/$A$1)*24))</f>
        <v>33641.739130434784</v>
      </c>
      <c r="AB57" s="1"/>
      <c r="AC57" s="1"/>
      <c r="AD57" s="9"/>
      <c r="AG57" s="2">
        <v>24</v>
      </c>
      <c r="AH57" s="1">
        <f>SUM($AH$3:AH26)/AG26*24</f>
        <v>3431</v>
      </c>
      <c r="AI57" s="1">
        <f ca="1">IF(AI26="","",IF(AG57&lt;$A$1,SUM(AI3:AI26)/AG26*24,(SUM(AI3:AI26)/$A$1)*24))</f>
        <v>5618.086956521739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sheetPr codeName="Planilha9"/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132</v>
      </c>
      <c r="E7">
        <f>5400+4119+4884+5297+64+27+158+179+2290+1060+369+509</f>
        <v>24356</v>
      </c>
    </row>
    <row r="8" spans="4:5">
      <c r="D8" t="s">
        <v>133</v>
      </c>
      <c r="E8">
        <f>5293+2674+5386+3673</f>
        <v>17026</v>
      </c>
    </row>
    <row r="9" spans="4:5">
      <c r="D9" t="s">
        <v>134</v>
      </c>
      <c r="E9">
        <f>4990+5327</f>
        <v>10317</v>
      </c>
    </row>
    <row r="10" spans="4:5">
      <c r="D10" t="s">
        <v>135</v>
      </c>
      <c r="E10">
        <f>2520+3947</f>
        <v>6467</v>
      </c>
    </row>
    <row r="11" spans="4:5">
      <c r="D11" t="s">
        <v>136</v>
      </c>
      <c r="E11">
        <f>1880+2228+1828</f>
        <v>5936</v>
      </c>
    </row>
    <row r="15" spans="4:5">
      <c r="D15" t="s">
        <v>132</v>
      </c>
      <c r="E15" s="182">
        <v>24.356000000000002</v>
      </c>
    </row>
    <row r="16" spans="4:5">
      <c r="D16" t="s">
        <v>133</v>
      </c>
      <c r="E16" s="182">
        <v>17.026</v>
      </c>
    </row>
    <row r="17" spans="4:6">
      <c r="D17" t="s">
        <v>134</v>
      </c>
      <c r="E17" s="182">
        <v>10.317</v>
      </c>
    </row>
    <row r="18" spans="4:6">
      <c r="D18" t="s">
        <v>135</v>
      </c>
      <c r="E18" s="182">
        <v>6.4669999999999996</v>
      </c>
    </row>
    <row r="19" spans="4:6">
      <c r="D19" t="s">
        <v>136</v>
      </c>
      <c r="E19" s="182">
        <v>5.9359999999999999</v>
      </c>
    </row>
    <row r="20" spans="4:6">
      <c r="D20" t="s">
        <v>97</v>
      </c>
      <c r="F20" s="182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3">
        <f>'ACOMPANHAMENTO USINA'!$AL$2</f>
        <v>45519</v>
      </c>
      <c r="AM2" s="253"/>
      <c r="AN2" s="253"/>
      <c r="AO2" s="253"/>
      <c r="AP2" s="253"/>
      <c r="BF2" s="252" t="s">
        <v>137</v>
      </c>
      <c r="BG2" s="252"/>
      <c r="BH2" s="252"/>
      <c r="BI2" s="252"/>
      <c r="BJ2" s="252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4" t="s">
        <v>25</v>
      </c>
      <c r="AI3" s="204"/>
      <c r="AJ3" s="204"/>
      <c r="AK3" s="205">
        <f>'ACOMPANHAMENTO USINA'!$AK$3</f>
        <v>0</v>
      </c>
      <c r="AL3" s="205"/>
      <c r="AM3" s="205"/>
      <c r="AN3" s="198" t="str">
        <f ca="1">'ACOMPANHAMENTO USINA'!$AN$3</f>
        <v>23:59:59</v>
      </c>
      <c r="AO3" s="198"/>
      <c r="AP3" s="199"/>
      <c r="BF3" s="252"/>
      <c r="BG3" s="252"/>
      <c r="BH3" s="252"/>
      <c r="BI3" s="252"/>
      <c r="BJ3" s="252"/>
      <c r="BK3" s="31" t="s">
        <v>138</v>
      </c>
      <c r="BL3" s="60" t="str">
        <f>CHOOSE(MONTH($AL$2),"JANEIRO","FEVEREIRO","MARÇO","ABRIL","MAIO","JUNHO","JULHO","AGOSTO","SETEMBRO","OUTUBRO","NOVEMBRO", "DEZEMBRO")</f>
        <v>AGOSTO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4" t="s">
        <v>25</v>
      </c>
      <c r="EH3" s="204"/>
      <c r="EI3" s="204"/>
      <c r="EJ3" s="205">
        <f ca="1">NOW()</f>
        <v>45520.036700578705</v>
      </c>
      <c r="EK3" s="205"/>
      <c r="EL3" s="205"/>
      <c r="EM3" s="198">
        <f ca="1">NOW()</f>
        <v>45520.036700578705</v>
      </c>
      <c r="EN3" s="198"/>
      <c r="EO3" s="199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2" t="s">
        <v>28</v>
      </c>
      <c r="Q4" s="212"/>
      <c r="R4" s="212"/>
      <c r="S4" s="211">
        <f ca="1">NOW()</f>
        <v>45520.036700578705</v>
      </c>
      <c r="T4" s="211"/>
      <c r="AP4" s="24"/>
      <c r="BF4" s="252"/>
      <c r="BG4" s="252"/>
      <c r="BH4" s="252"/>
      <c r="BI4" s="252"/>
      <c r="BJ4" s="252"/>
      <c r="BK4" s="60" t="str">
        <f>"\Informações COI - "&amp;TEXT($AL$2,"dd-mm-aaa")&amp;".pdf"</f>
        <v>\Informações COI - 15-08-2024.pdf</v>
      </c>
    </row>
    <row r="5" spans="2:145" ht="16.5" customHeight="1">
      <c r="B5" s="23"/>
      <c r="AP5" s="24"/>
      <c r="BF5" s="252"/>
      <c r="BG5" s="252"/>
      <c r="BH5" s="252"/>
      <c r="BI5" s="252"/>
      <c r="BJ5" s="252"/>
      <c r="BK5" s="60" t="str">
        <f>"\Informações COI - "&amp;TEXT($AL$2,"dd-mm-aaa")&amp;".xlsm"</f>
        <v>\Informações COI - 15-08-2024.xlsm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2" t="s">
        <v>8</v>
      </c>
      <c r="E33" s="203"/>
      <c r="F33" s="200" t="s">
        <v>9</v>
      </c>
      <c r="G33" s="200"/>
      <c r="H33" s="200"/>
      <c r="I33" s="200"/>
      <c r="J33" s="200"/>
      <c r="K33" s="200"/>
      <c r="M33" s="44" t="s">
        <v>7</v>
      </c>
      <c r="N33" s="202" t="s">
        <v>8</v>
      </c>
      <c r="O33" s="203"/>
      <c r="P33" s="200" t="s">
        <v>9</v>
      </c>
      <c r="Q33" s="200"/>
      <c r="R33" s="200"/>
      <c r="S33" s="200"/>
      <c r="T33" s="200"/>
      <c r="U33" s="200"/>
      <c r="W33" s="44" t="s">
        <v>7</v>
      </c>
      <c r="X33" s="202" t="s">
        <v>8</v>
      </c>
      <c r="Y33" s="203"/>
      <c r="Z33" s="200" t="s">
        <v>9</v>
      </c>
      <c r="AA33" s="200"/>
      <c r="AB33" s="200"/>
      <c r="AC33" s="200"/>
      <c r="AD33" s="200"/>
      <c r="AE33" s="200"/>
      <c r="AG33" s="44" t="s">
        <v>7</v>
      </c>
      <c r="AH33" s="202" t="s">
        <v>8</v>
      </c>
      <c r="AI33" s="203"/>
      <c r="AJ33" s="200" t="s">
        <v>9</v>
      </c>
      <c r="AK33" s="200"/>
      <c r="AL33" s="200"/>
      <c r="AM33" s="200"/>
      <c r="AN33" s="200"/>
      <c r="AO33" s="200"/>
      <c r="AP33" s="45"/>
    </row>
    <row r="34" spans="2:42" s="46" customFormat="1" ht="75" customHeight="1">
      <c r="B34" s="47"/>
      <c r="C34" s="48">
        <v>1</v>
      </c>
      <c r="D34" s="197">
        <f ca="1">'JUSTIFICATIVA DE USINA'!C3</f>
        <v>14.386754845147152</v>
      </c>
      <c r="E34" s="197"/>
      <c r="F34" s="254">
        <f>'JUSTIFICATIVA DE USINA'!D3</f>
        <v>0</v>
      </c>
      <c r="G34" s="254"/>
      <c r="H34" s="254"/>
      <c r="I34" s="254"/>
      <c r="J34" s="254"/>
      <c r="K34" s="254"/>
      <c r="M34" s="48">
        <v>1</v>
      </c>
      <c r="N34" s="197">
        <f ca="1">'JUSTIFICATIVA DE USINA'!G3</f>
        <v>-1492.7600000000002</v>
      </c>
      <c r="O34" s="197"/>
      <c r="P34" s="254" t="str">
        <f>'JUSTIFICATIVA DE USINA'!H3</f>
        <v>Impacto Principal: - TR 3011/24: Classificação: atraso de manutenção preventiva,  falha no conversor de profhibus;</v>
      </c>
      <c r="Q34" s="254"/>
      <c r="R34" s="254"/>
      <c r="S34" s="254"/>
      <c r="T34" s="254"/>
      <c r="U34" s="254"/>
      <c r="W34" s="48">
        <v>1</v>
      </c>
      <c r="X34" s="197">
        <f ca="1">'JUSTIFICATIVA DE USINA'!K3</f>
        <v>-946.14159999999947</v>
      </c>
      <c r="Y34" s="197"/>
      <c r="Z34" s="254" t="str">
        <f>'JUSTIFICATIVA DE USINA'!L3</f>
        <v>Impacto Principal: - REP 02: baixa oferta de ROM, material do PUL BSM 07 fora da granulometria, REP 06: baixa oferta de ROM, DF da ESC 0901 manutenção corretiva;</v>
      </c>
      <c r="AA34" s="254"/>
      <c r="AB34" s="254"/>
      <c r="AC34" s="254"/>
      <c r="AD34" s="254"/>
      <c r="AE34" s="254"/>
      <c r="AG34" s="48">
        <v>1</v>
      </c>
      <c r="AH34" s="197">
        <f ca="1">'JUSTIFICATIVA DE USINA'!O3</f>
        <v>147.04166666666669</v>
      </c>
      <c r="AI34" s="197"/>
      <c r="AJ34" s="254">
        <f>'JUSTIFICATIVA DE USINA'!P3</f>
        <v>0</v>
      </c>
      <c r="AK34" s="254"/>
      <c r="AL34" s="254"/>
      <c r="AM34" s="254"/>
      <c r="AN34" s="254"/>
      <c r="AO34" s="254"/>
      <c r="AP34" s="49"/>
    </row>
    <row r="35" spans="2:42" s="46" customFormat="1" ht="75" customHeight="1">
      <c r="B35" s="47"/>
      <c r="C35" s="48">
        <v>2</v>
      </c>
      <c r="D35" s="197">
        <f ca="1">'JUSTIFICATIVA DE USINA'!C4</f>
        <v>674.6078011470745</v>
      </c>
      <c r="E35" s="197"/>
      <c r="F35" s="254">
        <f>'JUSTIFICATIVA DE USINA'!D4</f>
        <v>0</v>
      </c>
      <c r="G35" s="254"/>
      <c r="H35" s="254"/>
      <c r="I35" s="254"/>
      <c r="J35" s="254"/>
      <c r="K35" s="254"/>
      <c r="M35" s="48">
        <v>2</v>
      </c>
      <c r="N35" s="197">
        <f ca="1">'JUSTIFICATIVA DE USINA'!G4</f>
        <v>-1264.48</v>
      </c>
      <c r="O35" s="197"/>
      <c r="P35" s="254" t="str">
        <f>'JUSTIFICATIVA DE USINA'!H4</f>
        <v>Impacto Principal: - TR 3011/24: Classificação: atraso de manutenção preventiva,  falha no conversor de profhibus;</v>
      </c>
      <c r="Q35" s="254"/>
      <c r="R35" s="254"/>
      <c r="S35" s="254"/>
      <c r="T35" s="254"/>
      <c r="U35" s="254"/>
      <c r="W35" s="48">
        <v>2</v>
      </c>
      <c r="X35" s="197">
        <f ca="1">'JUSTIFICATIVA DE USINA'!K4</f>
        <v>-1392.1032</v>
      </c>
      <c r="Y35" s="197"/>
      <c r="Z35" s="254" t="str">
        <f>'JUSTIFICATIVA DE USINA'!L4</f>
        <v>Impacto Principal: - REP 02: baixa oferta de ROM, material do PUL BSM 07 fora da granulometria, REP 06: baixa oferta de ROM, DF da ESC 0901 manutenção corretiva;</v>
      </c>
      <c r="AA35" s="254"/>
      <c r="AB35" s="254"/>
      <c r="AC35" s="254"/>
      <c r="AD35" s="254"/>
      <c r="AE35" s="254"/>
      <c r="AG35" s="48">
        <v>2</v>
      </c>
      <c r="AH35" s="197">
        <f ca="1">'JUSTIFICATIVA DE USINA'!O4</f>
        <v>62.041666666666686</v>
      </c>
      <c r="AI35" s="197"/>
      <c r="AJ35" s="254">
        <f>'JUSTIFICATIVA DE USINA'!P4</f>
        <v>0</v>
      </c>
      <c r="AK35" s="254"/>
      <c r="AL35" s="254"/>
      <c r="AM35" s="254"/>
      <c r="AN35" s="254"/>
      <c r="AO35" s="254"/>
      <c r="AP35" s="49"/>
    </row>
    <row r="36" spans="2:42" s="46" customFormat="1" ht="75" customHeight="1">
      <c r="B36" s="47"/>
      <c r="C36" s="48">
        <v>3</v>
      </c>
      <c r="D36" s="197">
        <f ca="1">'JUSTIFICATIVA DE USINA'!C5</f>
        <v>576.96107720957389</v>
      </c>
      <c r="E36" s="197"/>
      <c r="F36" s="254">
        <f>'JUSTIFICATIVA DE USINA'!D5</f>
        <v>0</v>
      </c>
      <c r="G36" s="254"/>
      <c r="H36" s="254"/>
      <c r="I36" s="254"/>
      <c r="J36" s="254"/>
      <c r="K36" s="254"/>
      <c r="M36" s="48">
        <v>3</v>
      </c>
      <c r="N36" s="197">
        <f ca="1">'JUSTIFICATIVA DE USINA'!G5</f>
        <v>-4203.2</v>
      </c>
      <c r="O36" s="197"/>
      <c r="P36" s="254" t="str">
        <f>'JUSTIFICATIVA DE USINA'!H5</f>
        <v>Impacto Principal: - TR 3011/24: Classificação: atraso de manutenção preventiva,  falha no conversor de profhibus;</v>
      </c>
      <c r="Q36" s="254"/>
      <c r="R36" s="254"/>
      <c r="S36" s="254"/>
      <c r="T36" s="254"/>
      <c r="U36" s="254"/>
      <c r="W36" s="48">
        <v>3</v>
      </c>
      <c r="X36" s="197">
        <f ca="1">'JUSTIFICATIVA DE USINA'!K5</f>
        <v>-585.37199999999984</v>
      </c>
      <c r="Y36" s="197"/>
      <c r="Z36" s="254" t="str">
        <f>'JUSTIFICATIVA DE USINA'!L5</f>
        <v>Impacto Principal: -  REP 06: baixa oferta de ROM,  ESC 0901 priorizando alimentação para US1 correção do blend;</v>
      </c>
      <c r="AA36" s="254"/>
      <c r="AB36" s="254"/>
      <c r="AC36" s="254"/>
      <c r="AD36" s="254"/>
      <c r="AE36" s="254"/>
      <c r="AG36" s="48">
        <v>3</v>
      </c>
      <c r="AH36" s="197">
        <f ca="1">'JUSTIFICATIVA DE USINA'!O5</f>
        <v>206.04166666666669</v>
      </c>
      <c r="AI36" s="197"/>
      <c r="AJ36" s="254" t="e">
        <f>'JUSTIFICATIVA DE USINA'!#REF!</f>
        <v>#REF!</v>
      </c>
      <c r="AK36" s="254"/>
      <c r="AL36" s="254"/>
      <c r="AM36" s="254"/>
      <c r="AN36" s="254"/>
      <c r="AO36" s="254"/>
      <c r="AP36" s="49"/>
    </row>
    <row r="37" spans="2:42" s="46" customFormat="1" ht="75" customHeight="1">
      <c r="B37" s="47"/>
      <c r="C37" s="48">
        <v>4</v>
      </c>
      <c r="D37" s="197">
        <f ca="1">'JUSTIFICATIVA DE USINA'!C6</f>
        <v>313.13746012935462</v>
      </c>
      <c r="E37" s="197"/>
      <c r="F37" s="254">
        <f>'JUSTIFICATIVA DE USINA'!D6</f>
        <v>0</v>
      </c>
      <c r="G37" s="254"/>
      <c r="H37" s="254"/>
      <c r="I37" s="254"/>
      <c r="J37" s="254"/>
      <c r="K37" s="254"/>
      <c r="M37" s="48">
        <v>4</v>
      </c>
      <c r="N37" s="197">
        <f ca="1">'JUSTIFICATIVA DE USINA'!G6</f>
        <v>-882.07999999999993</v>
      </c>
      <c r="O37" s="197"/>
      <c r="P37" s="254" t="str">
        <f>'JUSTIFICATIVA DE USINA'!H6</f>
        <v>Impacto Principal: - TR 3011/24: Classificação: atraso de manutenção preventiva,  falha no conversor de profhibus;</v>
      </c>
      <c r="Q37" s="254"/>
      <c r="R37" s="254"/>
      <c r="S37" s="254"/>
      <c r="T37" s="254"/>
      <c r="U37" s="254"/>
      <c r="W37" s="48">
        <v>4</v>
      </c>
      <c r="X37" s="197">
        <f ca="1">'JUSTIFICATIVA DE USINA'!K6</f>
        <v>-195.37199999999984</v>
      </c>
      <c r="Y37" s="197"/>
      <c r="Z37" s="254" t="str">
        <f>'JUSTIFICATIVA DE USINA'!L6</f>
        <v>Impacto Principal: -  REP 06: baixa produtividade,  ESC 0901 priorizando alimentação para US1 correção do blend;</v>
      </c>
      <c r="AA37" s="254"/>
      <c r="AB37" s="254"/>
      <c r="AC37" s="254"/>
      <c r="AD37" s="254"/>
      <c r="AE37" s="254"/>
      <c r="AG37" s="48">
        <v>4</v>
      </c>
      <c r="AH37" s="197">
        <f ca="1">'JUSTIFICATIVA DE USINA'!O6</f>
        <v>78.041666666666686</v>
      </c>
      <c r="AI37" s="197"/>
      <c r="AJ37" s="254">
        <f>'JUSTIFICATIVA DE USINA'!P5</f>
        <v>0</v>
      </c>
      <c r="AK37" s="254"/>
      <c r="AL37" s="254"/>
      <c r="AM37" s="254"/>
      <c r="AN37" s="254"/>
      <c r="AO37" s="254"/>
      <c r="AP37" s="49"/>
    </row>
    <row r="38" spans="2:42" s="46" customFormat="1" ht="75" customHeight="1">
      <c r="B38" s="47"/>
      <c r="C38" s="48">
        <v>5</v>
      </c>
      <c r="D38" s="197">
        <f ca="1">'JUSTIFICATIVA DE USINA'!C7</f>
        <v>765.13016790138317</v>
      </c>
      <c r="E38" s="197"/>
      <c r="F38" s="254">
        <f>'JUSTIFICATIVA DE USINA'!D7</f>
        <v>0</v>
      </c>
      <c r="G38" s="254"/>
      <c r="H38" s="254"/>
      <c r="I38" s="254"/>
      <c r="J38" s="254"/>
      <c r="K38" s="254"/>
      <c r="M38" s="48">
        <v>5</v>
      </c>
      <c r="N38" s="197">
        <f ca="1">'JUSTIFICATIVA DE USINA'!G7</f>
        <v>-3707.84</v>
      </c>
      <c r="O38" s="197"/>
      <c r="P38" s="254" t="str">
        <f>'JUSTIFICATIVA DE USINA'!H7</f>
        <v>Impacto Principal: - TR 3011/24: Classificação: atraso de manutenção preventiva,  falha no conversor de profhibus;</v>
      </c>
      <c r="Q38" s="254"/>
      <c r="R38" s="254"/>
      <c r="S38" s="254"/>
      <c r="T38" s="254"/>
      <c r="U38" s="254"/>
      <c r="W38" s="48">
        <v>5</v>
      </c>
      <c r="X38" s="197">
        <f ca="1">'JUSTIFICATIVA DE USINA'!K7</f>
        <v>915.93560000000002</v>
      </c>
      <c r="Y38" s="197"/>
      <c r="Z38" s="254">
        <f>'JUSTIFICATIVA DE USINA'!L7</f>
        <v>0</v>
      </c>
      <c r="AA38" s="254"/>
      <c r="AB38" s="254"/>
      <c r="AC38" s="254"/>
      <c r="AD38" s="254"/>
      <c r="AE38" s="254"/>
      <c r="AG38" s="48">
        <v>5</v>
      </c>
      <c r="AH38" s="197">
        <f ca="1">'JUSTIFICATIVA DE USINA'!O7</f>
        <v>213.04166666666669</v>
      </c>
      <c r="AI38" s="197"/>
      <c r="AJ38" s="254">
        <f>'JUSTIFICATIVA DE USINA'!P7</f>
        <v>0</v>
      </c>
      <c r="AK38" s="254"/>
      <c r="AL38" s="254"/>
      <c r="AM38" s="254"/>
      <c r="AN38" s="254"/>
      <c r="AO38" s="254"/>
      <c r="AP38" s="49"/>
    </row>
    <row r="39" spans="2:42" s="46" customFormat="1" ht="75" customHeight="1">
      <c r="B39" s="47"/>
      <c r="C39" s="48" t="s">
        <v>17</v>
      </c>
      <c r="D39" s="197">
        <f ca="1">'JUSTIFICATIVA DE USINA'!C8</f>
        <v>1988.1460726467285</v>
      </c>
      <c r="E39" s="197"/>
      <c r="F39" s="254" t="e">
        <f>'JUSTIFICATIVA DE USINA'!#REF!</f>
        <v>#REF!</v>
      </c>
      <c r="G39" s="254"/>
      <c r="H39" s="254"/>
      <c r="I39" s="254"/>
      <c r="J39" s="254"/>
      <c r="K39" s="254"/>
      <c r="M39" s="48" t="s">
        <v>17</v>
      </c>
      <c r="N39" s="197">
        <f ca="1">'JUSTIFICATIVA DE USINA'!G8</f>
        <v>-2584.08</v>
      </c>
      <c r="O39" s="197"/>
      <c r="P39" s="254" t="str">
        <f>'JUSTIFICATIVA DE USINA'!H8</f>
        <v>Impacto Principal: - BSM5 atraso de preventiva (TR 2030-02 falha no sensor de rasgo e BR 2010KN01 com Falha no contactor);</v>
      </c>
      <c r="Q39" s="254"/>
      <c r="R39" s="254"/>
      <c r="S39" s="254"/>
      <c r="T39" s="254"/>
      <c r="U39" s="254"/>
      <c r="W39" s="48" t="s">
        <v>17</v>
      </c>
      <c r="X39" s="197">
        <f ca="1">'JUSTIFICATIVA DE USINA'!K8</f>
        <v>644.8735999999999</v>
      </c>
      <c r="Y39" s="197"/>
      <c r="Z39" s="254">
        <f>'JUSTIFICATIVA DE USINA'!L8</f>
        <v>0</v>
      </c>
      <c r="AA39" s="254"/>
      <c r="AB39" s="254"/>
      <c r="AC39" s="254"/>
      <c r="AD39" s="254"/>
      <c r="AE39" s="254"/>
      <c r="AG39" s="48" t="s">
        <v>17</v>
      </c>
      <c r="AH39" s="197">
        <f ca="1">'JUSTIFICATIVA DE USINA'!O8</f>
        <v>18.041666666666686</v>
      </c>
      <c r="AI39" s="197"/>
      <c r="AJ39" s="254">
        <f>'JUSTIFICATIVA DE USINA'!P8</f>
        <v>0</v>
      </c>
      <c r="AK39" s="254"/>
      <c r="AL39" s="254"/>
      <c r="AM39" s="254"/>
      <c r="AN39" s="254"/>
      <c r="AO39" s="254"/>
      <c r="AP39" s="49"/>
    </row>
    <row r="40" spans="2:42" s="46" customFormat="1" ht="75" customHeight="1">
      <c r="B40" s="47"/>
      <c r="C40" s="48">
        <v>7</v>
      </c>
      <c r="D40" s="197">
        <f ca="1">'JUSTIFICATIVA DE USINA'!C9</f>
        <v>457.20384994769847</v>
      </c>
      <c r="E40" s="197"/>
      <c r="F40" s="254">
        <f>'JUSTIFICATIVA DE USINA'!D9</f>
        <v>0</v>
      </c>
      <c r="G40" s="254"/>
      <c r="H40" s="254"/>
      <c r="I40" s="254"/>
      <c r="J40" s="254"/>
      <c r="K40" s="254"/>
      <c r="M40" s="48">
        <v>7</v>
      </c>
      <c r="N40" s="197">
        <f ca="1">'JUSTIFICATIVA DE USINA'!G9</f>
        <v>-4496.88</v>
      </c>
      <c r="O40" s="197"/>
      <c r="P40" s="254" t="str">
        <f>'JUSTIFICATIVA DE USINA'!H9</f>
        <v>Impacto Principal: - BSM5 atraso de preventiva (TR 2030-02 falha no sensor de rasgo e BR 2010KN01 com Falha no contactor);</v>
      </c>
      <c r="Q40" s="254"/>
      <c r="R40" s="254"/>
      <c r="S40" s="254"/>
      <c r="T40" s="254"/>
      <c r="U40" s="254"/>
      <c r="W40" s="48">
        <v>7</v>
      </c>
      <c r="X40" s="197">
        <f ca="1">'JUSTIFICATIVA DE USINA'!K9</f>
        <v>-73.663199999999961</v>
      </c>
      <c r="Y40" s="197"/>
      <c r="Z40" s="254">
        <f>'JUSTIFICATIVA DE USINA'!L9</f>
        <v>0</v>
      </c>
      <c r="AA40" s="254"/>
      <c r="AB40" s="254"/>
      <c r="AC40" s="254"/>
      <c r="AD40" s="254"/>
      <c r="AE40" s="254"/>
      <c r="AG40" s="48">
        <v>7</v>
      </c>
      <c r="AH40" s="197">
        <f ca="1">'JUSTIFICATIVA DE USINA'!O9</f>
        <v>-142.95833333333331</v>
      </c>
      <c r="AI40" s="197"/>
      <c r="AJ40" s="254">
        <f>'JUSTIFICATIVA DE USINA'!P9</f>
        <v>0</v>
      </c>
      <c r="AK40" s="254"/>
      <c r="AL40" s="254"/>
      <c r="AM40" s="254"/>
      <c r="AN40" s="254"/>
      <c r="AO40" s="254"/>
      <c r="AP40" s="49"/>
    </row>
    <row r="41" spans="2:42" s="46" customFormat="1" ht="75" customHeight="1">
      <c r="B41" s="47"/>
      <c r="C41" s="48">
        <v>8</v>
      </c>
      <c r="D41" s="197">
        <f ca="1">'JUSTIFICATIVA DE USINA'!C10</f>
        <v>-7.2630201092288189</v>
      </c>
      <c r="E41" s="197"/>
      <c r="F41" s="254">
        <f>'JUSTIFICATIVA DE USINA'!D10</f>
        <v>0</v>
      </c>
      <c r="G41" s="254"/>
      <c r="H41" s="254"/>
      <c r="I41" s="254"/>
      <c r="J41" s="254"/>
      <c r="K41" s="254"/>
      <c r="M41" s="48">
        <v>8</v>
      </c>
      <c r="N41" s="197">
        <f ca="1">'JUSTIFICATIVA DE USINA'!G10</f>
        <v>-4786.08</v>
      </c>
      <c r="O41" s="197"/>
      <c r="P41" s="254" t="str">
        <f>'JUSTIFICATIVA DE USINA'!H10</f>
        <v>Impacto Principal: - BSM5 atraso de preventiva (TR 2030-02 falha no sensor de rasgo e BR 2010KN01 com Falha no contactor);</v>
      </c>
      <c r="Q41" s="254"/>
      <c r="R41" s="254"/>
      <c r="S41" s="254"/>
      <c r="T41" s="254"/>
      <c r="U41" s="254"/>
      <c r="W41" s="48">
        <v>8</v>
      </c>
      <c r="X41" s="197">
        <f ca="1">'JUSTIFICATIVA DE USINA'!K10</f>
        <v>1136.0583999999999</v>
      </c>
      <c r="Y41" s="197"/>
      <c r="Z41" s="254">
        <f>'JUSTIFICATIVA DE USINA'!L10</f>
        <v>0</v>
      </c>
      <c r="AA41" s="254"/>
      <c r="AB41" s="254"/>
      <c r="AC41" s="254"/>
      <c r="AD41" s="254"/>
      <c r="AE41" s="254"/>
      <c r="AG41" s="48">
        <v>8</v>
      </c>
      <c r="AH41" s="197">
        <f ca="1">'JUSTIFICATIVA DE USINA'!O10</f>
        <v>66.041666666666686</v>
      </c>
      <c r="AI41" s="197"/>
      <c r="AJ41" s="254">
        <f>'JUSTIFICATIVA DE USINA'!P10</f>
        <v>0</v>
      </c>
      <c r="AK41" s="254"/>
      <c r="AL41" s="254"/>
      <c r="AM41" s="254"/>
      <c r="AN41" s="254"/>
      <c r="AO41" s="254"/>
      <c r="AP41" s="49"/>
    </row>
    <row r="42" spans="2:42" s="46" customFormat="1" ht="75" customHeight="1">
      <c r="B42" s="47"/>
      <c r="C42" s="48">
        <v>9</v>
      </c>
      <c r="D42" s="197">
        <f ca="1">'JUSTIFICATIVA DE USINA'!C11</f>
        <v>-782.35572788125319</v>
      </c>
      <c r="E42" s="197"/>
      <c r="F42" s="254" t="str">
        <f>'JUSTIFICATIVA DE USINA'!D11</f>
        <v>Impacto Principal: - BSM2 e 06 Insdisponibilidade de Retro (grelha obstruida);</v>
      </c>
      <c r="G42" s="254"/>
      <c r="H42" s="254"/>
      <c r="I42" s="254"/>
      <c r="J42" s="254"/>
      <c r="K42" s="254"/>
      <c r="M42" s="48">
        <v>9</v>
      </c>
      <c r="N42" s="197">
        <f ca="1">'JUSTIFICATIVA DE USINA'!G11</f>
        <v>-3996.6800000000003</v>
      </c>
      <c r="O42" s="197"/>
      <c r="P42" s="254" t="str">
        <f>'JUSTIFICATIVA DE USINA'!H11</f>
        <v>Impacto Principal: - BSM5 atraso de preventiva (TR 2030-02 falha no sensor de rasgo e BR 2010KN01 com Falha no contactor);</v>
      </c>
      <c r="Q42" s="254"/>
      <c r="R42" s="254"/>
      <c r="S42" s="254"/>
      <c r="T42" s="254"/>
      <c r="U42" s="254"/>
      <c r="W42" s="48">
        <v>9</v>
      </c>
      <c r="X42" s="197">
        <f ca="1">'JUSTIFICATIVA DE USINA'!K11</f>
        <v>596.1812000000001</v>
      </c>
      <c r="Y42" s="197"/>
      <c r="Z42" s="254" t="e">
        <f>'JUSTIFICATIVA DE USINA'!#REF!</f>
        <v>#REF!</v>
      </c>
      <c r="AA42" s="254"/>
      <c r="AB42" s="254"/>
      <c r="AC42" s="254"/>
      <c r="AD42" s="254"/>
      <c r="AE42" s="254"/>
      <c r="AG42" s="48">
        <v>9</v>
      </c>
      <c r="AH42" s="197">
        <f ca="1">'JUSTIFICATIVA DE USINA'!O11</f>
        <v>145.04166666666669</v>
      </c>
      <c r="AI42" s="197"/>
      <c r="AJ42" s="254">
        <f>'JUSTIFICATIVA DE USINA'!P11</f>
        <v>0</v>
      </c>
      <c r="AK42" s="254"/>
      <c r="AL42" s="254"/>
      <c r="AM42" s="254"/>
      <c r="AN42" s="254"/>
      <c r="AO42" s="254"/>
      <c r="AP42" s="49"/>
    </row>
    <row r="43" spans="2:42" s="46" customFormat="1" ht="75" customHeight="1">
      <c r="B43" s="47"/>
      <c r="C43" s="48">
        <v>10</v>
      </c>
      <c r="D43" s="197">
        <f ca="1">'JUSTIFICATIVA DE USINA'!C12</f>
        <v>-1282.7487857966898</v>
      </c>
      <c r="E43" s="197"/>
      <c r="F43" s="254" t="str">
        <f>'JUSTIFICATIVA DE USINA'!D12</f>
        <v>Impacto Principal: -  Baixa oferta ESC 1002 reposicionamento e ESC 0901 corretiva.</v>
      </c>
      <c r="G43" s="254"/>
      <c r="H43" s="254"/>
      <c r="I43" s="254"/>
      <c r="J43" s="254"/>
      <c r="K43" s="254"/>
      <c r="M43" s="48">
        <v>10</v>
      </c>
      <c r="N43" s="197">
        <f ca="1">'JUSTIFICATIVA DE USINA'!G12</f>
        <v>-4600.8</v>
      </c>
      <c r="O43" s="197"/>
      <c r="P43" s="254" t="str">
        <f>'JUSTIFICATIVA DE USINA'!H12</f>
        <v>Impacto Principal: - BSM5 PUL-N4WN-NW2-600-A PM em locomoção;</v>
      </c>
      <c r="Q43" s="254"/>
      <c r="R43" s="254"/>
      <c r="S43" s="254"/>
      <c r="T43" s="254"/>
      <c r="U43" s="254"/>
      <c r="W43" s="48">
        <v>10</v>
      </c>
      <c r="X43" s="197">
        <f ca="1">'JUSTIFICATIVA DE USINA'!K12</f>
        <v>568.2912</v>
      </c>
      <c r="Y43" s="197"/>
      <c r="Z43" s="254">
        <f>'JUSTIFICATIVA DE USINA'!L12</f>
        <v>0</v>
      </c>
      <c r="AA43" s="254"/>
      <c r="AB43" s="254"/>
      <c r="AC43" s="254"/>
      <c r="AD43" s="254"/>
      <c r="AE43" s="254"/>
      <c r="AG43" s="48">
        <v>10</v>
      </c>
      <c r="AH43" s="197">
        <f ca="1">'JUSTIFICATIVA DE USINA'!O12</f>
        <v>212.04166666666669</v>
      </c>
      <c r="AI43" s="197"/>
      <c r="AJ43" s="254">
        <f>'JUSTIFICATIVA DE USINA'!P12</f>
        <v>0</v>
      </c>
      <c r="AK43" s="254"/>
      <c r="AL43" s="254"/>
      <c r="AM43" s="254"/>
      <c r="AN43" s="254"/>
      <c r="AO43" s="254"/>
      <c r="AP43" s="49"/>
    </row>
    <row r="44" spans="2:42" s="46" customFormat="1" ht="75" customHeight="1">
      <c r="B44" s="47"/>
      <c r="C44" s="48">
        <v>11</v>
      </c>
      <c r="D44" s="197">
        <f ca="1">'JUSTIFICATIVA DE USINA'!C13</f>
        <v>-316.58059545036122</v>
      </c>
      <c r="E44" s="197"/>
      <c r="F44" s="254" t="str">
        <f>'JUSTIFICATIVA DE USINA'!D13</f>
        <v>Impacto Principal: -  Baixa oferta  ESC 0901 corretiva.</v>
      </c>
      <c r="G44" s="254"/>
      <c r="H44" s="254"/>
      <c r="I44" s="254"/>
      <c r="J44" s="254"/>
      <c r="K44" s="254"/>
      <c r="M44" s="48">
        <v>11</v>
      </c>
      <c r="N44" s="197">
        <f ca="1">'JUSTIFICATIVA DE USINA'!G13</f>
        <v>-2829.2799999999997</v>
      </c>
      <c r="O44" s="197"/>
      <c r="P44" s="254" t="str">
        <f>'JUSTIFICATIVA DE USINA'!H13</f>
        <v>Impacto Principal: - BSM5 PUL-N4WN-NW2-600-A PM em locomoção;</v>
      </c>
      <c r="Q44" s="254"/>
      <c r="R44" s="254"/>
      <c r="S44" s="254"/>
      <c r="T44" s="254"/>
      <c r="U44" s="254"/>
      <c r="W44" s="48">
        <v>11</v>
      </c>
      <c r="X44" s="197">
        <f ca="1">'JUSTIFICATIVA DE USINA'!K13</f>
        <v>866.58240000000001</v>
      </c>
      <c r="Y44" s="197"/>
      <c r="Z44" s="254">
        <f>'JUSTIFICATIVA DE USINA'!L11</f>
        <v>0</v>
      </c>
      <c r="AA44" s="254"/>
      <c r="AB44" s="254"/>
      <c r="AC44" s="254"/>
      <c r="AD44" s="254"/>
      <c r="AE44" s="254"/>
      <c r="AG44" s="48">
        <v>11</v>
      </c>
      <c r="AH44" s="197">
        <f ca="1">'JUSTIFICATIVA DE USINA'!O13</f>
        <v>230.04166666666669</v>
      </c>
      <c r="AI44" s="197"/>
      <c r="AJ44" s="254">
        <f>'JUSTIFICATIVA DE USINA'!P13</f>
        <v>0</v>
      </c>
      <c r="AK44" s="254"/>
      <c r="AL44" s="254"/>
      <c r="AM44" s="254"/>
      <c r="AN44" s="254"/>
      <c r="AO44" s="254"/>
      <c r="AP44" s="49"/>
    </row>
    <row r="45" spans="2:42" s="46" customFormat="1" ht="75" customHeight="1">
      <c r="B45" s="47"/>
      <c r="C45" s="48">
        <v>12</v>
      </c>
      <c r="D45" s="197">
        <f ca="1">'JUSTIFICATIVA DE USINA'!C14</f>
        <v>-1154.4055328199793</v>
      </c>
      <c r="E45" s="197"/>
      <c r="F45" s="254" t="e">
        <f>'JUSTIFICATIVA DE USINA'!#REF!</f>
        <v>#REF!</v>
      </c>
      <c r="G45" s="254"/>
      <c r="H45" s="254"/>
      <c r="I45" s="254"/>
      <c r="J45" s="254"/>
      <c r="K45" s="254"/>
      <c r="M45" s="48">
        <v>12</v>
      </c>
      <c r="N45" s="197">
        <f ca="1">'JUSTIFICATIVA DE USINA'!G14</f>
        <v>-949.19999999999982</v>
      </c>
      <c r="O45" s="197"/>
      <c r="P45" s="254" t="str">
        <f>'JUSTIFICATIVA DE USINA'!H14</f>
        <v>Impacto Principal: - BSM5 PUL-N4WN-NW2-600-A PM em locomoção;</v>
      </c>
      <c r="Q45" s="254"/>
      <c r="R45" s="254"/>
      <c r="S45" s="254"/>
      <c r="T45" s="254"/>
      <c r="U45" s="254"/>
      <c r="W45" s="48">
        <v>12</v>
      </c>
      <c r="X45" s="197">
        <f ca="1">'JUSTIFICATIVA DE USINA'!K14</f>
        <v>-832.76399999999967</v>
      </c>
      <c r="Y45" s="197"/>
      <c r="Z45" s="254" t="str">
        <f>'JUSTIFICATIVA DE USINA'!L14</f>
        <v>Impacto Principal: - REP6 baixa oferta ESC 0901 corretiiva;</v>
      </c>
      <c r="AA45" s="254"/>
      <c r="AB45" s="254"/>
      <c r="AC45" s="254"/>
      <c r="AD45" s="254"/>
      <c r="AE45" s="254"/>
      <c r="AG45" s="48">
        <v>12</v>
      </c>
      <c r="AH45" s="197">
        <f ca="1">'JUSTIFICATIVA DE USINA'!O14</f>
        <v>254.04166666666669</v>
      </c>
      <c r="AI45" s="197"/>
      <c r="AJ45" s="254">
        <f>'JUSTIFICATIVA DE USINA'!P14</f>
        <v>0</v>
      </c>
      <c r="AK45" s="254"/>
      <c r="AL45" s="254"/>
      <c r="AM45" s="254"/>
      <c r="AN45" s="254"/>
      <c r="AO45" s="254"/>
      <c r="AP45" s="49"/>
    </row>
    <row r="46" spans="2:42" s="46" customFormat="1" ht="75" customHeight="1">
      <c r="B46" s="47"/>
      <c r="C46" s="48">
        <v>13</v>
      </c>
      <c r="D46" s="197">
        <f ca="1">'JUSTIFICATIVA DE USINA'!C15</f>
        <v>-1629.4111546151453</v>
      </c>
      <c r="E46" s="197"/>
      <c r="F46" s="254" t="e">
        <f>'JUSTIFICATIVA DE USINA'!#REF!</f>
        <v>#REF!</v>
      </c>
      <c r="G46" s="254"/>
      <c r="H46" s="254"/>
      <c r="I46" s="254"/>
      <c r="J46" s="254"/>
      <c r="K46" s="254"/>
      <c r="M46" s="48">
        <v>13</v>
      </c>
      <c r="N46" s="197">
        <f ca="1">'JUSTIFICATIVA DE USINA'!G15</f>
        <v>-1967.88</v>
      </c>
      <c r="O46" s="197"/>
      <c r="P46" s="254" t="e">
        <f>'JUSTIFICATIVA DE USINA'!#REF!</f>
        <v>#REF!</v>
      </c>
      <c r="Q46" s="254"/>
      <c r="R46" s="254"/>
      <c r="S46" s="254"/>
      <c r="T46" s="254"/>
      <c r="U46" s="254"/>
      <c r="W46" s="48">
        <v>13</v>
      </c>
      <c r="X46" s="197">
        <f ca="1">'JUSTIFICATIVA DE USINA'!K15</f>
        <v>-612.76399999999967</v>
      </c>
      <c r="Y46" s="197"/>
      <c r="Z46" s="254" t="str">
        <f>'JUSTIFICATIVA DE USINA'!L15</f>
        <v>Impacto Principal: - REP6 baixa oferta ESC 0901 corretiiva;</v>
      </c>
      <c r="AA46" s="254"/>
      <c r="AB46" s="254"/>
      <c r="AC46" s="254"/>
      <c r="AD46" s="254"/>
      <c r="AE46" s="254"/>
      <c r="AG46" s="48">
        <v>13</v>
      </c>
      <c r="AH46" s="197">
        <f ca="1">'JUSTIFICATIVA DE USINA'!O15</f>
        <v>250.04166666666669</v>
      </c>
      <c r="AI46" s="197"/>
      <c r="AJ46" s="254">
        <f>'JUSTIFICATIVA DE USINA'!P15</f>
        <v>0</v>
      </c>
      <c r="AK46" s="254"/>
      <c r="AL46" s="254"/>
      <c r="AM46" s="254"/>
      <c r="AN46" s="254"/>
      <c r="AO46" s="254"/>
      <c r="AP46" s="49"/>
    </row>
    <row r="47" spans="2:42" s="46" customFormat="1" ht="75" customHeight="1">
      <c r="B47" s="47"/>
      <c r="C47" s="48">
        <v>14</v>
      </c>
      <c r="D47" s="197">
        <f ca="1">'JUSTIFICATIVA DE USINA'!C16</f>
        <v>-1430.8994910808997</v>
      </c>
      <c r="E47" s="197"/>
      <c r="F47" s="254" t="str">
        <f>'JUSTIFICATIVA DE USINA'!D15</f>
        <v>Impacto Principal: -  EIXO N5 Baixa DF de transporte, BSM2 DF da Retro 1121;</v>
      </c>
      <c r="G47" s="254"/>
      <c r="H47" s="254"/>
      <c r="I47" s="254"/>
      <c r="J47" s="254"/>
      <c r="K47" s="254"/>
      <c r="M47" s="48">
        <v>14</v>
      </c>
      <c r="N47" s="197">
        <f ca="1">'JUSTIFICATIVA DE USINA'!G16</f>
        <v>-4115.3599999999997</v>
      </c>
      <c r="O47" s="197"/>
      <c r="P47" s="254" t="str">
        <f>'JUSTIFICATIVA DE USINA'!H15</f>
        <v>Impacto Principal: - Classificação/Si08 falha na sonda;</v>
      </c>
      <c r="Q47" s="254"/>
      <c r="R47" s="254"/>
      <c r="S47" s="254"/>
      <c r="T47" s="254"/>
      <c r="U47" s="254"/>
      <c r="W47" s="48">
        <v>14</v>
      </c>
      <c r="X47" s="197">
        <f ca="1">'JUSTIFICATIVA DE USINA'!K16</f>
        <v>-889.4692</v>
      </c>
      <c r="Y47" s="197"/>
      <c r="Z47" s="254" t="str">
        <f>'JUSTIFICATIVA DE USINA'!L16</f>
        <v>Impacto Principal: - REP6 baixa oferta ESC 0901 corretiiva;</v>
      </c>
      <c r="AA47" s="254"/>
      <c r="AB47" s="254"/>
      <c r="AC47" s="254"/>
      <c r="AD47" s="254"/>
      <c r="AE47" s="254"/>
      <c r="AG47" s="48">
        <v>14</v>
      </c>
      <c r="AH47" s="197">
        <f ca="1">'JUSTIFICATIVA DE USINA'!O16</f>
        <v>-138.95833333333331</v>
      </c>
      <c r="AI47" s="197"/>
      <c r="AJ47" s="254">
        <f>'JUSTIFICATIVA DE USINA'!P17</f>
        <v>0</v>
      </c>
      <c r="AK47" s="254"/>
      <c r="AL47" s="254"/>
      <c r="AM47" s="254"/>
      <c r="AN47" s="254"/>
      <c r="AO47" s="254"/>
      <c r="AP47" s="49"/>
    </row>
    <row r="48" spans="2:42" s="46" customFormat="1" ht="75" customHeight="1">
      <c r="B48" s="47"/>
      <c r="C48" s="48">
        <v>15</v>
      </c>
      <c r="D48" s="197">
        <f ca="1">'JUSTIFICATIVA DE USINA'!C17</f>
        <v>-104.80553281998073</v>
      </c>
      <c r="E48" s="197"/>
      <c r="F48" s="254" t="e">
        <f>'JUSTIFICATIVA DE USINA'!#REF!</f>
        <v>#REF!</v>
      </c>
      <c r="G48" s="254"/>
      <c r="H48" s="254"/>
      <c r="I48" s="254"/>
      <c r="J48" s="254"/>
      <c r="K48" s="254"/>
      <c r="M48" s="48">
        <v>15</v>
      </c>
      <c r="N48" s="197">
        <f ca="1">'JUSTIFICATIVA DE USINA'!G17</f>
        <v>-4963.8</v>
      </c>
      <c r="O48" s="197"/>
      <c r="P48" s="254" t="str">
        <f>'JUSTIFICATIVA DE USINA'!H16</f>
        <v>Impacto Principal: -BSM5/TR 2030-02 desalinhamento e PN 2030-10 falha no inversor;</v>
      </c>
      <c r="Q48" s="254"/>
      <c r="R48" s="254"/>
      <c r="S48" s="254"/>
      <c r="T48" s="254"/>
      <c r="U48" s="254"/>
      <c r="W48" s="48">
        <v>15</v>
      </c>
      <c r="X48" s="197">
        <f ca="1">'JUSTIFICATIVA DE USINA'!K17</f>
        <v>-731.57919999999967</v>
      </c>
      <c r="Y48" s="197"/>
      <c r="Z48" s="254" t="str">
        <f>'JUSTIFICATIVA DE USINA'!L17</f>
        <v>Impacto Principal: - REP6 baixa oferta ESC 0901 corretiiva;</v>
      </c>
      <c r="AA48" s="254"/>
      <c r="AB48" s="254"/>
      <c r="AC48" s="254"/>
      <c r="AD48" s="254"/>
      <c r="AE48" s="254"/>
      <c r="AG48" s="48">
        <v>15</v>
      </c>
      <c r="AH48" s="197">
        <f ca="1">'JUSTIFICATIVA DE USINA'!O17</f>
        <v>-142.95833333333331</v>
      </c>
      <c r="AI48" s="197"/>
      <c r="AJ48" s="254" t="e">
        <f>'JUSTIFICATIVA DE USINA'!#REF!</f>
        <v>#REF!</v>
      </c>
      <c r="AK48" s="254"/>
      <c r="AL48" s="254"/>
      <c r="AM48" s="254"/>
      <c r="AN48" s="254"/>
      <c r="AO48" s="254"/>
      <c r="AP48" s="49"/>
    </row>
    <row r="49" spans="2:42" s="46" customFormat="1" ht="75" customHeight="1">
      <c r="B49" s="47"/>
      <c r="C49" s="48">
        <v>16</v>
      </c>
      <c r="D49" s="197">
        <f ca="1">'JUSTIFICATIVA DE USINA'!C18</f>
        <v>373.39147629482977</v>
      </c>
      <c r="E49" s="197"/>
      <c r="F49" s="254" t="e">
        <f>'JUSTIFICATIVA DE USINA'!#REF!</f>
        <v>#REF!</v>
      </c>
      <c r="G49" s="254"/>
      <c r="H49" s="254"/>
      <c r="I49" s="254"/>
      <c r="J49" s="254"/>
      <c r="K49" s="254"/>
      <c r="M49" s="48">
        <v>16</v>
      </c>
      <c r="N49" s="197">
        <f ca="1">'JUSTIFICATIVA DE USINA'!G18</f>
        <v>-4912.8</v>
      </c>
      <c r="O49" s="197"/>
      <c r="P49" s="254" t="str">
        <f>'JUSTIFICATIVA DE USINA'!H16</f>
        <v>Impacto Principal: -BSM5/TR 2030-02 desalinhamento e PN 2030-10 falha no inversor;</v>
      </c>
      <c r="Q49" s="254"/>
      <c r="R49" s="254"/>
      <c r="S49" s="254"/>
      <c r="T49" s="254"/>
      <c r="U49" s="254"/>
      <c r="W49" s="48">
        <v>16</v>
      </c>
      <c r="X49" s="197">
        <f ca="1">'JUSTIFICATIVA DE USINA'!K18</f>
        <v>683.04199999999992</v>
      </c>
      <c r="Y49" s="197"/>
      <c r="Z49" s="254">
        <f>'JUSTIFICATIVA DE USINA'!L18</f>
        <v>0</v>
      </c>
      <c r="AA49" s="254"/>
      <c r="AB49" s="254"/>
      <c r="AC49" s="254"/>
      <c r="AD49" s="254"/>
      <c r="AE49" s="254"/>
      <c r="AG49" s="48">
        <v>16</v>
      </c>
      <c r="AH49" s="197">
        <f ca="1">'JUSTIFICATIVA DE USINA'!O18</f>
        <v>1.0416666666666856</v>
      </c>
      <c r="AI49" s="197"/>
      <c r="AJ49" s="254">
        <f>'JUSTIFICATIVA DE USINA'!P18</f>
        <v>0</v>
      </c>
      <c r="AK49" s="254"/>
      <c r="AL49" s="254"/>
      <c r="AM49" s="254"/>
      <c r="AN49" s="254"/>
      <c r="AO49" s="254"/>
      <c r="AP49" s="49"/>
    </row>
    <row r="50" spans="2:42" s="46" customFormat="1" ht="75" customHeight="1">
      <c r="B50" s="47"/>
      <c r="C50" s="48">
        <v>17</v>
      </c>
      <c r="D50" s="197">
        <f ca="1">'JUSTIFICATIVA DE USINA'!C19</f>
        <v>1672.605580675172</v>
      </c>
      <c r="E50" s="197"/>
      <c r="F50" s="254" t="e">
        <f>'JUSTIFICATIVA DE USINA'!#REF!</f>
        <v>#REF!</v>
      </c>
      <c r="G50" s="254"/>
      <c r="H50" s="254"/>
      <c r="I50" s="254"/>
      <c r="J50" s="254"/>
      <c r="K50" s="254"/>
      <c r="M50" s="48">
        <v>17</v>
      </c>
      <c r="N50" s="197">
        <f ca="1">'JUSTIFICATIVA DE USINA'!G19</f>
        <v>-3680.04</v>
      </c>
      <c r="O50" s="197"/>
      <c r="P50" s="254" t="str">
        <f>'JUSTIFICATIVA DE USINA'!H20</f>
        <v>Impacto Principal: -Classificação/DP3011-02 rolamento danificado alimentando somente Bloco B (TR 3011-19 obstrução);</v>
      </c>
      <c r="Q50" s="254"/>
      <c r="R50" s="254"/>
      <c r="S50" s="254"/>
      <c r="T50" s="254"/>
      <c r="U50" s="254"/>
      <c r="W50" s="48">
        <v>17</v>
      </c>
      <c r="X50" s="197">
        <f ca="1">'JUSTIFICATIVA DE USINA'!K19</f>
        <v>704.34960000000001</v>
      </c>
      <c r="Y50" s="197"/>
      <c r="Z50" s="254">
        <f>'JUSTIFICATIVA DE USINA'!L19</f>
        <v>0</v>
      </c>
      <c r="AA50" s="254"/>
      <c r="AB50" s="254"/>
      <c r="AC50" s="254"/>
      <c r="AD50" s="254"/>
      <c r="AE50" s="254"/>
      <c r="AG50" s="48">
        <v>17</v>
      </c>
      <c r="AH50" s="197">
        <f ca="1">'JUSTIFICATIVA DE USINA'!O19</f>
        <v>213.04166666666669</v>
      </c>
      <c r="AI50" s="197"/>
      <c r="AJ50" s="254" t="e">
        <f>'JUSTIFICATIVA DE USINA'!#REF!</f>
        <v>#REF!</v>
      </c>
      <c r="AK50" s="254"/>
      <c r="AL50" s="254"/>
      <c r="AM50" s="254"/>
      <c r="AN50" s="254"/>
      <c r="AO50" s="254"/>
      <c r="AP50" s="49"/>
    </row>
    <row r="51" spans="2:42" s="46" customFormat="1" ht="75" customHeight="1">
      <c r="B51" s="47"/>
      <c r="C51" s="48">
        <v>18</v>
      </c>
      <c r="D51" s="197">
        <f ca="1">'JUSTIFICATIVA DE USINA'!C20</f>
        <v>948.85175457357855</v>
      </c>
      <c r="E51" s="197"/>
      <c r="F51" s="254">
        <f>'JUSTIFICATIVA DE USINA'!D19</f>
        <v>0</v>
      </c>
      <c r="G51" s="254"/>
      <c r="H51" s="254"/>
      <c r="I51" s="254"/>
      <c r="J51" s="254"/>
      <c r="K51" s="254"/>
      <c r="M51" s="48">
        <v>18</v>
      </c>
      <c r="N51" s="197">
        <f ca="1">'JUSTIFICATIVA DE USINA'!G20</f>
        <v>-2936.76</v>
      </c>
      <c r="O51" s="197"/>
      <c r="P51" s="254" t="e">
        <f>'JUSTIFICATIVA DE USINA'!#REF!</f>
        <v>#REF!</v>
      </c>
      <c r="Q51" s="254"/>
      <c r="R51" s="254"/>
      <c r="S51" s="254"/>
      <c r="T51" s="254"/>
      <c r="U51" s="254"/>
      <c r="W51" s="48">
        <v>18</v>
      </c>
      <c r="X51" s="197">
        <f ca="1">'JUSTIFICATIVA DE USINA'!K20</f>
        <v>544.8735999999999</v>
      </c>
      <c r="Y51" s="197"/>
      <c r="Z51" s="254" t="str">
        <f>'JUSTIFICATIVA DE USINA'!L21</f>
        <v>Impacto Principal: - REP 02,06: Troca de turno;</v>
      </c>
      <c r="AA51" s="254"/>
      <c r="AB51" s="254"/>
      <c r="AC51" s="254"/>
      <c r="AD51" s="254"/>
      <c r="AE51" s="254"/>
      <c r="AG51" s="48">
        <v>18</v>
      </c>
      <c r="AH51" s="197">
        <f ca="1">'JUSTIFICATIVA DE USINA'!O20</f>
        <v>289.04166666666669</v>
      </c>
      <c r="AI51" s="197"/>
      <c r="AJ51" s="254">
        <f>'JUSTIFICATIVA DE USINA'!P20</f>
        <v>0</v>
      </c>
      <c r="AK51" s="254"/>
      <c r="AL51" s="254"/>
      <c r="AM51" s="254"/>
      <c r="AN51" s="254"/>
      <c r="AO51" s="254"/>
      <c r="AP51" s="49"/>
    </row>
    <row r="52" spans="2:42" s="46" customFormat="1" ht="75" customHeight="1">
      <c r="B52" s="47"/>
      <c r="C52" s="48">
        <v>19</v>
      </c>
      <c r="D52" s="197">
        <f ca="1">'JUSTIFICATIVA DE USINA'!C21</f>
        <v>2505.9345295388321</v>
      </c>
      <c r="E52" s="197"/>
      <c r="F52" s="254">
        <f>'JUSTIFICATIVA DE USINA'!D21</f>
        <v>0</v>
      </c>
      <c r="G52" s="254"/>
      <c r="H52" s="254"/>
      <c r="I52" s="254"/>
      <c r="J52" s="254"/>
      <c r="K52" s="254"/>
      <c r="M52" s="48">
        <v>19</v>
      </c>
      <c r="N52" s="197">
        <f ca="1">'JUSTIFICATIVA DE USINA'!G21</f>
        <v>-1871.5599999999995</v>
      </c>
      <c r="O52" s="197"/>
      <c r="P52" s="254" t="str">
        <f>'JUSTIFICATIVA DE USINA'!H21</f>
        <v>Impacto Principal: - TR 3011-19/Classificação: Obstrução no chute de descarga;</v>
      </c>
      <c r="Q52" s="254"/>
      <c r="R52" s="254"/>
      <c r="S52" s="254"/>
      <c r="T52" s="254"/>
      <c r="U52" s="254"/>
      <c r="W52" s="48">
        <v>19</v>
      </c>
      <c r="X52" s="197">
        <f ca="1">'JUSTIFICATIVA DE USINA'!K21</f>
        <v>-1659.7475999999999</v>
      </c>
      <c r="Y52" s="197"/>
      <c r="Z52" s="254" t="str">
        <f>'JUSTIFICATIVA DE USINA'!L22</f>
        <v>Impacto Principal: - REP6 baixa oferta ESC 0901 reposicionamento;</v>
      </c>
      <c r="AA52" s="254"/>
      <c r="AB52" s="254"/>
      <c r="AC52" s="254"/>
      <c r="AD52" s="254"/>
      <c r="AE52" s="254"/>
      <c r="AG52" s="48">
        <v>19</v>
      </c>
      <c r="AH52" s="197">
        <f ca="1">'JUSTIFICATIVA DE USINA'!O21</f>
        <v>-142.95833333333331</v>
      </c>
      <c r="AI52" s="197"/>
      <c r="AJ52" s="254" t="str">
        <f>'JUSTIFICATIVA DE USINA'!P21</f>
        <v>Impacto Principal: - REP 03: recompondo pulmão;</v>
      </c>
      <c r="AK52" s="254"/>
      <c r="AL52" s="254"/>
      <c r="AM52" s="254"/>
      <c r="AN52" s="254"/>
      <c r="AO52" s="254"/>
      <c r="AP52" s="49"/>
    </row>
    <row r="53" spans="2:42" s="46" customFormat="1" ht="75" customHeight="1">
      <c r="B53" s="47"/>
      <c r="C53" s="48">
        <v>20</v>
      </c>
      <c r="D53" s="197">
        <f ca="1">'JUSTIFICATIVA DE USINA'!C22</f>
        <v>376.83794036794006</v>
      </c>
      <c r="E53" s="197"/>
      <c r="F53" s="254">
        <f>'JUSTIFICATIVA DE USINA'!D22</f>
        <v>0</v>
      </c>
      <c r="G53" s="254"/>
      <c r="H53" s="254"/>
      <c r="I53" s="254"/>
      <c r="J53" s="254"/>
      <c r="K53" s="254"/>
      <c r="M53" s="48">
        <v>20</v>
      </c>
      <c r="N53" s="197">
        <f ca="1">'JUSTIFICATIVA DE USINA'!G22</f>
        <v>-1435.5199999999995</v>
      </c>
      <c r="O53" s="197"/>
      <c r="P53" s="254" t="str">
        <f>'JUSTIFICATIVA DE USINA'!H22</f>
        <v>Impacto Principal: - TR 3011-19/Classificação: Obstrução no chute de descarga;</v>
      </c>
      <c r="Q53" s="254"/>
      <c r="R53" s="254"/>
      <c r="S53" s="254"/>
      <c r="T53" s="254"/>
      <c r="U53" s="254"/>
      <c r="W53" s="48">
        <v>20</v>
      </c>
      <c r="X53" s="197">
        <f ca="1">'JUSTIFICATIVA DE USINA'!K22</f>
        <v>-478.28440000000001</v>
      </c>
      <c r="Y53" s="197"/>
      <c r="Z53" s="254" t="str">
        <f>'JUSTIFICATIVA DE USINA'!L23</f>
        <v>Impacto Principal: - REP6 baixa oferta ESC 0901 reposicionamento, REP 02: Baixa oferta, DF da PC 8109 PUL BSM 07;</v>
      </c>
      <c r="AA53" s="254"/>
      <c r="AB53" s="254"/>
      <c r="AC53" s="254"/>
      <c r="AD53" s="254"/>
      <c r="AE53" s="254"/>
      <c r="AG53" s="48">
        <v>20</v>
      </c>
      <c r="AH53" s="197">
        <f ca="1">'JUSTIFICATIVA DE USINA'!O22</f>
        <v>-89.958333333333314</v>
      </c>
      <c r="AI53" s="197"/>
      <c r="AJ53" s="254" t="str">
        <f>'JUSTIFICATIVA DE USINA'!P22</f>
        <v>Impacto Principal: - REP 03: recompondo pulmão;</v>
      </c>
      <c r="AK53" s="254"/>
      <c r="AL53" s="254"/>
      <c r="AM53" s="254"/>
      <c r="AN53" s="254"/>
      <c r="AO53" s="254"/>
      <c r="AP53" s="49"/>
    </row>
    <row r="54" spans="2:42" s="46" customFormat="1" ht="75" customHeight="1">
      <c r="B54" s="47"/>
      <c r="C54" s="48">
        <v>21</v>
      </c>
      <c r="D54" s="197">
        <f ca="1">'JUSTIFICATIVA DE USINA'!C23</f>
        <v>2446.3706502041141</v>
      </c>
      <c r="E54" s="197"/>
      <c r="F54" s="254">
        <f>'JUSTIFICATIVA DE USINA'!D23</f>
        <v>0</v>
      </c>
      <c r="G54" s="254"/>
      <c r="H54" s="254"/>
      <c r="I54" s="254"/>
      <c r="J54" s="254"/>
      <c r="K54" s="254"/>
      <c r="M54" s="48">
        <v>21</v>
      </c>
      <c r="N54" s="197">
        <f ca="1">'JUSTIFICATIVA DE USINA'!G23</f>
        <v>-335.48000000000047</v>
      </c>
      <c r="O54" s="197"/>
      <c r="P54" s="254" t="str">
        <f>'JUSTIFICATIVA DE USINA'!H23</f>
        <v>Impacto Principal: - TR 3011-19/Classificação: Obstrução no chute de descarga;</v>
      </c>
      <c r="Q54" s="254"/>
      <c r="R54" s="254"/>
      <c r="S54" s="254"/>
      <c r="T54" s="254"/>
      <c r="U54" s="254"/>
      <c r="W54" s="48">
        <v>21</v>
      </c>
      <c r="X54" s="197">
        <f ca="1">'JUSTIFICATIVA DE USINA'!K23</f>
        <v>-711.4563999999998</v>
      </c>
      <c r="Y54" s="197"/>
      <c r="Z54" s="254" t="e">
        <f>'JUSTIFICATIVA DE USINA'!#REF!</f>
        <v>#REF!</v>
      </c>
      <c r="AA54" s="254"/>
      <c r="AB54" s="254"/>
      <c r="AC54" s="254"/>
      <c r="AD54" s="254"/>
      <c r="AE54" s="254"/>
      <c r="AG54" s="48">
        <v>21</v>
      </c>
      <c r="AH54" s="197">
        <f ca="1">'JUSTIFICATIVA DE USINA'!O23</f>
        <v>68.041666666666686</v>
      </c>
      <c r="AI54" s="197"/>
      <c r="AJ54" s="254">
        <f>'JUSTIFICATIVA DE USINA'!P23</f>
        <v>0</v>
      </c>
      <c r="AK54" s="254"/>
      <c r="AL54" s="254"/>
      <c r="AM54" s="254"/>
      <c r="AN54" s="254"/>
      <c r="AO54" s="254"/>
      <c r="AP54" s="49"/>
    </row>
    <row r="55" spans="2:42" s="46" customFormat="1" ht="75" customHeight="1">
      <c r="B55" s="47"/>
      <c r="C55" s="48">
        <v>22</v>
      </c>
      <c r="D55" s="197">
        <f ca="1">'JUSTIFICATIVA DE USINA'!C24</f>
        <v>3573.127527322582</v>
      </c>
      <c r="E55" s="197"/>
      <c r="F55" s="254">
        <f>'JUSTIFICATIVA DE USINA'!D24</f>
        <v>0</v>
      </c>
      <c r="G55" s="254"/>
      <c r="H55" s="254"/>
      <c r="I55" s="254"/>
      <c r="J55" s="254"/>
      <c r="K55" s="254"/>
      <c r="M55" s="48">
        <v>22</v>
      </c>
      <c r="N55" s="197">
        <f ca="1">'JUSTIFICATIVA DE USINA'!G24</f>
        <v>701.11999999999989</v>
      </c>
      <c r="O55" s="197"/>
      <c r="P55" s="254">
        <f>'JUSTIFICATIVA DE USINA'!H24</f>
        <v>0</v>
      </c>
      <c r="Q55" s="254"/>
      <c r="R55" s="254"/>
      <c r="S55" s="254"/>
      <c r="T55" s="254"/>
      <c r="U55" s="254"/>
      <c r="W55" s="48">
        <v>22</v>
      </c>
      <c r="X55" s="197">
        <f ca="1">'JUSTIFICATIVA DE USINA'!K24</f>
        <v>-711.4563999999998</v>
      </c>
      <c r="Y55" s="197"/>
      <c r="Z55" s="254" t="str">
        <f>'JUSTIFICATIVA DE USINA'!L24</f>
        <v>Impacto Principal: - REP6 baixa oferta ESC 0901 reposicionamento, REP 02: Baixa oferta, DF da PC 8109 PUL BSM 07;</v>
      </c>
      <c r="AA55" s="254"/>
      <c r="AB55" s="254"/>
      <c r="AC55" s="254"/>
      <c r="AD55" s="254"/>
      <c r="AE55" s="254"/>
      <c r="AG55" s="48">
        <v>22</v>
      </c>
      <c r="AH55" s="197">
        <f ca="1">'JUSTIFICATIVA DE USINA'!O24</f>
        <v>50.041666666666686</v>
      </c>
      <c r="AI55" s="197"/>
      <c r="AJ55" s="254">
        <f>'JUSTIFICATIVA DE USINA'!P24</f>
        <v>0</v>
      </c>
      <c r="AK55" s="254"/>
      <c r="AL55" s="254"/>
      <c r="AM55" s="254"/>
      <c r="AN55" s="254"/>
      <c r="AO55" s="254"/>
      <c r="AP55" s="49"/>
    </row>
    <row r="56" spans="2:42" s="46" customFormat="1" ht="75" customHeight="1">
      <c r="B56" s="47"/>
      <c r="C56" s="48">
        <v>23</v>
      </c>
      <c r="D56" s="197">
        <f ca="1">'JUSTIFICATIVA DE USINA'!C25</f>
        <v>3624.8250864764868</v>
      </c>
      <c r="E56" s="197"/>
      <c r="F56" s="254">
        <f>'JUSTIFICATIVA DE USINA'!D25</f>
        <v>0</v>
      </c>
      <c r="G56" s="254"/>
      <c r="H56" s="254"/>
      <c r="I56" s="254"/>
      <c r="J56" s="254"/>
      <c r="K56" s="254"/>
      <c r="M56" s="48">
        <v>23</v>
      </c>
      <c r="N56" s="197">
        <f ca="1">'JUSTIFICATIVA DE USINA'!G25</f>
        <v>511</v>
      </c>
      <c r="O56" s="197"/>
      <c r="P56" s="254">
        <f>'JUSTIFICATIVA DE USINA'!H26</f>
        <v>0</v>
      </c>
      <c r="Q56" s="254"/>
      <c r="R56" s="254"/>
      <c r="S56" s="254"/>
      <c r="T56" s="254"/>
      <c r="U56" s="254"/>
      <c r="W56" s="48">
        <v>23</v>
      </c>
      <c r="X56" s="197">
        <f ca="1">'JUSTIFICATIVA DE USINA'!K25</f>
        <v>-811.05519999999979</v>
      </c>
      <c r="Y56" s="197"/>
      <c r="Z56" s="254" t="str">
        <f>'JUSTIFICATIVA DE USINA'!L25</f>
        <v>Impacto Principal: - REP6 baixa oferta ESC 0901 reposicionamento, REP 02: Baixa oferta, DF da PC 8109 PUL BSM 07;</v>
      </c>
      <c r="AA56" s="254"/>
      <c r="AB56" s="254"/>
      <c r="AC56" s="254"/>
      <c r="AD56" s="254"/>
      <c r="AE56" s="254"/>
      <c r="AG56" s="48">
        <v>23</v>
      </c>
      <c r="AH56" s="197">
        <f ca="1">'JUSTIFICATIVA DE USINA'!O25</f>
        <v>-14.958333333333314</v>
      </c>
      <c r="AI56" s="197"/>
      <c r="AJ56" s="254" t="str">
        <f>'JUSTIFICATIVA DE USINA'!P25</f>
        <v xml:space="preserve"> </v>
      </c>
      <c r="AK56" s="254"/>
      <c r="AL56" s="254"/>
      <c r="AM56" s="254"/>
      <c r="AN56" s="254"/>
      <c r="AO56" s="254"/>
      <c r="AP56" s="49"/>
    </row>
    <row r="57" spans="2:42" s="46" customFormat="1" ht="75" customHeight="1">
      <c r="B57" s="47"/>
      <c r="C57" s="48">
        <v>24</v>
      </c>
      <c r="D57" s="197">
        <f ca="1">'JUSTIFICATIVA DE USINA'!C26</f>
        <v>5047.632798811358</v>
      </c>
      <c r="E57" s="197"/>
      <c r="F57" s="254">
        <f>'JUSTIFICATIVA DE USINA'!D26</f>
        <v>0</v>
      </c>
      <c r="G57" s="254"/>
      <c r="H57" s="254"/>
      <c r="I57" s="254"/>
      <c r="J57" s="254"/>
      <c r="K57" s="254"/>
      <c r="M57" s="48">
        <v>24</v>
      </c>
      <c r="N57" s="197">
        <f ca="1">'JUSTIFICATIVA DE USINA'!G26</f>
        <v>372.48</v>
      </c>
      <c r="O57" s="197"/>
      <c r="P57" s="254" t="e">
        <f>'JUSTIFICATIVA DE USINA'!#REF!</f>
        <v>#REF!</v>
      </c>
      <c r="Q57" s="254"/>
      <c r="R57" s="254"/>
      <c r="S57" s="254"/>
      <c r="T57" s="254"/>
      <c r="U57" s="254"/>
      <c r="W57" s="48">
        <v>24</v>
      </c>
      <c r="X57" s="197">
        <f ca="1">'JUSTIFICATIVA DE USINA'!K26</f>
        <v>60.809200000000146</v>
      </c>
      <c r="Y57" s="197"/>
      <c r="Z57" s="254">
        <f>'JUSTIFICATIVA DE USINA'!L26</f>
        <v>0</v>
      </c>
      <c r="AA57" s="254"/>
      <c r="AB57" s="254"/>
      <c r="AC57" s="254"/>
      <c r="AD57" s="254"/>
      <c r="AE57" s="254"/>
      <c r="AG57" s="48">
        <v>24</v>
      </c>
      <c r="AH57" s="197">
        <f ca="1">'JUSTIFICATIVA DE USINA'!O26</f>
        <v>123.04166666666669</v>
      </c>
      <c r="AI57" s="197"/>
      <c r="AJ57" s="254">
        <f>'JUSTIFICATIVA DE USINA'!P26</f>
        <v>0</v>
      </c>
      <c r="AK57" s="254"/>
      <c r="AL57" s="254"/>
      <c r="AM57" s="254"/>
      <c r="AN57" s="254"/>
      <c r="AO57" s="254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9" t="s">
        <v>1</v>
      </c>
      <c r="AB93" s="220"/>
      <c r="AC93" s="220"/>
      <c r="AD93" s="220"/>
      <c r="AE93" s="220"/>
      <c r="AF93" s="220"/>
      <c r="AG93" s="220"/>
      <c r="AH93" s="220"/>
      <c r="AI93" s="220"/>
      <c r="AJ93" s="220"/>
      <c r="AK93" s="220"/>
      <c r="AL93" s="220"/>
      <c r="AM93" s="220"/>
      <c r="AN93" s="220"/>
      <c r="AO93" s="221"/>
      <c r="AP93" s="24"/>
    </row>
    <row r="94" spans="2:42" ht="19.899999999999999" customHeight="1">
      <c r="B94" s="23"/>
      <c r="AA94" s="222"/>
      <c r="AB94" s="223"/>
      <c r="AC94" s="223"/>
      <c r="AD94" s="223"/>
      <c r="AE94" s="223"/>
      <c r="AF94" s="223"/>
      <c r="AG94" s="223"/>
      <c r="AH94" s="223"/>
      <c r="AI94" s="223"/>
      <c r="AJ94" s="223"/>
      <c r="AK94" s="223"/>
      <c r="AL94" s="223"/>
      <c r="AM94" s="223"/>
      <c r="AN94" s="223"/>
      <c r="AO94" s="224"/>
      <c r="AP94" s="24"/>
    </row>
    <row r="95" spans="2:42" ht="19.899999999999999" customHeight="1">
      <c r="B95" s="23"/>
      <c r="AA95" s="213" t="str">
        <f>'JUSTIFICATIVA DE USINA'!$Z$3</f>
        <v>- Aderente ao programada.
Ocorrências:*
- Baixa oferta de ROM,  ESC 0901 correção de praça, das 00:32 às 01:35;
- PEN 02: baixa produtividade, material úmido e argiloso PUL 680 JAC e ESC 1002, a partir 01:00h, como ação para corrigir o blend foi direcionada ESC 0901 para priorizar alimentação só para US1, a partir 02:30;
*Ponto de Atenção:
-
*-</v>
      </c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5"/>
      <c r="AP95" s="24"/>
    </row>
    <row r="96" spans="2:42" ht="19.899999999999999" customHeight="1">
      <c r="B96" s="23"/>
      <c r="AA96" s="213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5"/>
      <c r="AP96" s="24"/>
    </row>
    <row r="97" spans="2:42" ht="19.899999999999999" customHeight="1">
      <c r="B97" s="23"/>
      <c r="AA97" s="213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5"/>
      <c r="AP97" s="24"/>
    </row>
    <row r="98" spans="2:42" ht="19.899999999999999" customHeight="1">
      <c r="B98" s="23"/>
      <c r="AA98" s="213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5"/>
      <c r="AP98" s="24"/>
    </row>
    <row r="99" spans="2:42" ht="19.899999999999999" customHeight="1">
      <c r="B99" s="23"/>
      <c r="AA99" s="213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5"/>
      <c r="AP99" s="24"/>
    </row>
    <row r="100" spans="2:42" ht="19.899999999999999" customHeight="1">
      <c r="B100" s="23"/>
      <c r="AA100" s="213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5"/>
      <c r="AP100" s="24"/>
    </row>
    <row r="101" spans="2:42" ht="19.899999999999999" customHeight="1">
      <c r="B101" s="23"/>
      <c r="AA101" s="213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5"/>
      <c r="AP101" s="24"/>
    </row>
    <row r="102" spans="2:42" ht="19.899999999999999" customHeight="1">
      <c r="B102" s="23"/>
      <c r="AA102" s="213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5"/>
      <c r="AP102" s="24"/>
    </row>
    <row r="103" spans="2:42" ht="19.899999999999999" customHeight="1">
      <c r="B103" s="23"/>
      <c r="AA103" s="213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5"/>
      <c r="AP103" s="24"/>
    </row>
    <row r="104" spans="2:42" ht="19.899999999999999" customHeight="1">
      <c r="B104" s="23"/>
      <c r="AA104" s="213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5"/>
      <c r="AP104" s="24"/>
    </row>
    <row r="105" spans="2:42" ht="19.899999999999999" customHeight="1">
      <c r="B105" s="23"/>
      <c r="AA105" s="213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5"/>
      <c r="AP105" s="24"/>
    </row>
    <row r="106" spans="2:42" ht="19.899999999999999" customHeight="1">
      <c r="B106" s="23"/>
      <c r="AA106" s="213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5"/>
      <c r="AP106" s="24"/>
    </row>
    <row r="107" spans="2:42" ht="19.899999999999999" customHeight="1">
      <c r="B107" s="23"/>
      <c r="AA107" s="213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5"/>
      <c r="AP107" s="24"/>
    </row>
    <row r="108" spans="2:42" ht="19.899999999999999" customHeight="1" thickBot="1">
      <c r="B108" s="23"/>
      <c r="AA108" s="216"/>
      <c r="AB108" s="217"/>
      <c r="AC108" s="217"/>
      <c r="AD108" s="217"/>
      <c r="AE108" s="217"/>
      <c r="AF108" s="217"/>
      <c r="AG108" s="217"/>
      <c r="AH108" s="217"/>
      <c r="AI108" s="217"/>
      <c r="AJ108" s="217"/>
      <c r="AK108" s="217"/>
      <c r="AL108" s="217"/>
      <c r="AM108" s="217"/>
      <c r="AN108" s="217"/>
      <c r="AO108" s="218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19" t="s">
        <v>2</v>
      </c>
      <c r="AB111" s="220"/>
      <c r="AC111" s="220"/>
      <c r="AD111" s="220"/>
      <c r="AE111" s="220"/>
      <c r="AF111" s="220"/>
      <c r="AG111" s="220"/>
      <c r="AH111" s="220"/>
      <c r="AI111" s="220"/>
      <c r="AJ111" s="220"/>
      <c r="AK111" s="220"/>
      <c r="AL111" s="220"/>
      <c r="AM111" s="220"/>
      <c r="AN111" s="220"/>
      <c r="AO111" s="221"/>
      <c r="AP111" s="24"/>
    </row>
    <row r="112" spans="2:42" ht="19.899999999999999" customHeight="1">
      <c r="B112" s="23"/>
      <c r="AA112" s="222"/>
      <c r="AB112" s="223"/>
      <c r="AC112" s="223"/>
      <c r="AD112" s="223"/>
      <c r="AE112" s="223"/>
      <c r="AF112" s="223"/>
      <c r="AG112" s="223"/>
      <c r="AH112" s="223"/>
      <c r="AI112" s="223"/>
      <c r="AJ112" s="223"/>
      <c r="AK112" s="223"/>
      <c r="AL112" s="223"/>
      <c r="AM112" s="223"/>
      <c r="AN112" s="223"/>
      <c r="AO112" s="224"/>
      <c r="AP112" s="24"/>
    </row>
    <row r="113" spans="2:42" ht="19.899999999999999" customHeight="1">
      <c r="B113" s="23"/>
      <c r="AA113" s="213" t="str">
        <f>'JUSTIFICATIVA DE USINA'!$AL$3</f>
        <v xml:space="preserve">   -Abaixo da programação
- Impactos:
- TR 3011-24/Classificação: ocorreram diversas paradas devido a falhas na partida do motor de acionamento da TR 3011-024. durante a inspeção, foi identificado que o conversor de rede do M2 apresentou falha de comunicação na rede Profibus, sendo substituído, das 00: 15 às 05:00;
- BSM 5 permanece parada, devido atraso na manutenção preventiva, BR 2010KN01 com Falha no contactor, não está aceitando permissão de comando em modo manutenção (liberado), TR.2030KN-02 Com defeito no sensor de rasgo.
Equipe elétrica em campo verificando as falhas.
 PN 2030-10 fala no inverosr, das 13:09 às 13:25;
- TR 3011-19/Classificação,Bloco B, chave de nivel alto, desde  13:08 (vigente);
- SI 3011-03/Classificação: Eco na sonda, das 15:27 às 16:20, das 18:07 às 18:20; 
Ocorrências:
 - Início da alimentação da Classificação às 23h35 com material ensilado para início da PGU. O modo de operação em "anti-avalanche", ativando uma linha por vez.
 -  Alimentação da RC 3011-01 iniciada à retomada às 00h40.
-  TR 3011-18/Classificação: recorrentes paradas por detector de metal;
*Ponto de Atenção:*
- BR 3030-03,05: atraso de manutenção preventiva;
- RC 3011-01: Vazamento no chute da roda 02, a partir 03:50.</v>
      </c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5"/>
      <c r="AP113" s="24"/>
    </row>
    <row r="114" spans="2:42" ht="19.899999999999999" customHeight="1">
      <c r="B114" s="23"/>
      <c r="AA114" s="213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5"/>
      <c r="AP114" s="24"/>
    </row>
    <row r="115" spans="2:42" ht="19.899999999999999" customHeight="1">
      <c r="B115" s="23"/>
      <c r="AA115" s="213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5"/>
      <c r="AP115" s="24"/>
    </row>
    <row r="116" spans="2:42" ht="19.899999999999999" customHeight="1">
      <c r="B116" s="23"/>
      <c r="AA116" s="213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5"/>
      <c r="AP116" s="24"/>
    </row>
    <row r="117" spans="2:42" ht="19.899999999999999" customHeight="1">
      <c r="B117" s="23"/>
      <c r="AA117" s="213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5"/>
      <c r="AP117" s="24"/>
    </row>
    <row r="118" spans="2:42" ht="19.899999999999999" customHeight="1">
      <c r="B118" s="23"/>
      <c r="AA118" s="213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5"/>
      <c r="AP118" s="24"/>
    </row>
    <row r="119" spans="2:42" ht="19.899999999999999" customHeight="1">
      <c r="B119" s="23"/>
      <c r="AA119" s="213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5"/>
      <c r="AP119" s="24"/>
    </row>
    <row r="120" spans="2:42" ht="19.899999999999999" customHeight="1">
      <c r="B120" s="23"/>
      <c r="AA120" s="213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5"/>
      <c r="AP120" s="24"/>
    </row>
    <row r="121" spans="2:42" ht="19.899999999999999" customHeight="1">
      <c r="B121" s="23"/>
      <c r="AA121" s="213"/>
      <c r="AB121" s="214"/>
      <c r="AC121" s="214"/>
      <c r="AD121" s="214"/>
      <c r="AE121" s="214"/>
      <c r="AF121" s="214"/>
      <c r="AG121" s="214"/>
      <c r="AH121" s="214"/>
      <c r="AI121" s="214"/>
      <c r="AJ121" s="214"/>
      <c r="AK121" s="214"/>
      <c r="AL121" s="214"/>
      <c r="AM121" s="214"/>
      <c r="AN121" s="214"/>
      <c r="AO121" s="215"/>
      <c r="AP121" s="24"/>
    </row>
    <row r="122" spans="2:42" ht="19.899999999999999" customHeight="1">
      <c r="B122" s="23"/>
      <c r="AA122" s="213"/>
      <c r="AB122" s="214"/>
      <c r="AC122" s="214"/>
      <c r="AD122" s="214"/>
      <c r="AE122" s="214"/>
      <c r="AF122" s="214"/>
      <c r="AG122" s="214"/>
      <c r="AH122" s="214"/>
      <c r="AI122" s="214"/>
      <c r="AJ122" s="214"/>
      <c r="AK122" s="214"/>
      <c r="AL122" s="214"/>
      <c r="AM122" s="214"/>
      <c r="AN122" s="214"/>
      <c r="AO122" s="215"/>
      <c r="AP122" s="24"/>
    </row>
    <row r="123" spans="2:42" ht="19.899999999999999" customHeight="1">
      <c r="B123" s="23"/>
      <c r="AA123" s="213"/>
      <c r="AB123" s="214"/>
      <c r="AC123" s="214"/>
      <c r="AD123" s="214"/>
      <c r="AE123" s="214"/>
      <c r="AF123" s="214"/>
      <c r="AG123" s="214"/>
      <c r="AH123" s="214"/>
      <c r="AI123" s="214"/>
      <c r="AJ123" s="214"/>
      <c r="AK123" s="214"/>
      <c r="AL123" s="214"/>
      <c r="AM123" s="214"/>
      <c r="AN123" s="214"/>
      <c r="AO123" s="215"/>
      <c r="AP123" s="24"/>
    </row>
    <row r="124" spans="2:42" ht="19.899999999999999" customHeight="1">
      <c r="B124" s="23"/>
      <c r="AA124" s="213"/>
      <c r="AB124" s="214"/>
      <c r="AC124" s="214"/>
      <c r="AD124" s="214"/>
      <c r="AE124" s="214"/>
      <c r="AF124" s="214"/>
      <c r="AG124" s="214"/>
      <c r="AH124" s="214"/>
      <c r="AI124" s="214"/>
      <c r="AJ124" s="214"/>
      <c r="AK124" s="214"/>
      <c r="AL124" s="214"/>
      <c r="AM124" s="214"/>
      <c r="AN124" s="214"/>
      <c r="AO124" s="215"/>
      <c r="AP124" s="24"/>
    </row>
    <row r="125" spans="2:42" ht="19.899999999999999" customHeight="1">
      <c r="B125" s="23"/>
      <c r="AA125" s="213"/>
      <c r="AB125" s="214"/>
      <c r="AC125" s="214"/>
      <c r="AD125" s="214"/>
      <c r="AE125" s="214"/>
      <c r="AF125" s="214"/>
      <c r="AG125" s="214"/>
      <c r="AH125" s="214"/>
      <c r="AI125" s="214"/>
      <c r="AJ125" s="214"/>
      <c r="AK125" s="214"/>
      <c r="AL125" s="214"/>
      <c r="AM125" s="214"/>
      <c r="AN125" s="214"/>
      <c r="AO125" s="215"/>
      <c r="AP125" s="24"/>
    </row>
    <row r="126" spans="2:42" ht="19.899999999999999" customHeight="1" thickBot="1">
      <c r="B126" s="23"/>
      <c r="AA126" s="216"/>
      <c r="AB126" s="217"/>
      <c r="AC126" s="217"/>
      <c r="AD126" s="217"/>
      <c r="AE126" s="217"/>
      <c r="AF126" s="217"/>
      <c r="AG126" s="217"/>
      <c r="AH126" s="217"/>
      <c r="AI126" s="217"/>
      <c r="AJ126" s="217"/>
      <c r="AK126" s="217"/>
      <c r="AL126" s="217"/>
      <c r="AM126" s="217"/>
      <c r="AN126" s="217"/>
      <c r="AO126" s="218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9" t="s">
        <v>3</v>
      </c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220"/>
      <c r="AL129" s="220"/>
      <c r="AM129" s="220"/>
      <c r="AN129" s="220"/>
      <c r="AO129" s="221"/>
      <c r="AP129" s="24"/>
    </row>
    <row r="130" spans="2:42" ht="19.899999999999999" customHeight="1">
      <c r="B130" s="23"/>
      <c r="AA130" s="222"/>
      <c r="AB130" s="223"/>
      <c r="AC130" s="223"/>
      <c r="AD130" s="223"/>
      <c r="AE130" s="223"/>
      <c r="AF130" s="223"/>
      <c r="AG130" s="223"/>
      <c r="AH130" s="223"/>
      <c r="AI130" s="223"/>
      <c r="AJ130" s="223"/>
      <c r="AK130" s="223"/>
      <c r="AL130" s="223"/>
      <c r="AM130" s="223"/>
      <c r="AN130" s="223"/>
      <c r="AO130" s="224"/>
      <c r="AP130" s="24"/>
    </row>
    <row r="131" spans="2:42" ht="19.899999999999999" customHeight="1">
      <c r="B131" s="23"/>
      <c r="AA131" s="213" t="str">
        <f>'JUSTIFICATIVA DE USINA'!$AX$3</f>
        <v xml:space="preserve">- Abaixo ao programada.
- Impactos:
- REP 06: Baixa oferta de ROM, ESC 0901 correções de praça, das 00:32 às 01:35;
- REP 02: Baixa oferta de ROM, material do PUL BSM 07 não atende ( fora da granulometria), das 00:00 às 02:00h;
- REP 06:  Baixa produtividade, ESC 0901 priorizando alimentação par US1, a partir 02:30;
*Pontos de Atenção:*
- LN’s 1230- 20/21/REP 02, manutenção preventiva, Previsão17/08 às 23h59.
</v>
      </c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  <c r="AN131" s="214"/>
      <c r="AO131" s="215"/>
      <c r="AP131" s="24"/>
    </row>
    <row r="132" spans="2:42" ht="19.899999999999999" customHeight="1">
      <c r="B132" s="23"/>
      <c r="AA132" s="213"/>
      <c r="AB132" s="214"/>
      <c r="AC132" s="214"/>
      <c r="AD132" s="214"/>
      <c r="AE132" s="214"/>
      <c r="AF132" s="214"/>
      <c r="AG132" s="214"/>
      <c r="AH132" s="214"/>
      <c r="AI132" s="214"/>
      <c r="AJ132" s="214"/>
      <c r="AK132" s="214"/>
      <c r="AL132" s="214"/>
      <c r="AM132" s="214"/>
      <c r="AN132" s="214"/>
      <c r="AO132" s="215"/>
      <c r="AP132" s="24"/>
    </row>
    <row r="133" spans="2:42" ht="19.899999999999999" customHeight="1">
      <c r="B133" s="23"/>
      <c r="AA133" s="213"/>
      <c r="AB133" s="214"/>
      <c r="AC133" s="214"/>
      <c r="AD133" s="214"/>
      <c r="AE133" s="214"/>
      <c r="AF133" s="214"/>
      <c r="AG133" s="214"/>
      <c r="AH133" s="214"/>
      <c r="AI133" s="214"/>
      <c r="AJ133" s="214"/>
      <c r="AK133" s="214"/>
      <c r="AL133" s="214"/>
      <c r="AM133" s="214"/>
      <c r="AN133" s="214"/>
      <c r="AO133" s="215"/>
      <c r="AP133" s="24"/>
    </row>
    <row r="134" spans="2:42" ht="19.899999999999999" customHeight="1">
      <c r="B134" s="23"/>
      <c r="AA134" s="213"/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  <c r="AN134" s="214"/>
      <c r="AO134" s="215"/>
      <c r="AP134" s="24"/>
    </row>
    <row r="135" spans="2:42" ht="19.899999999999999" customHeight="1">
      <c r="B135" s="23"/>
      <c r="AA135" s="213"/>
      <c r="AB135" s="214"/>
      <c r="AC135" s="214"/>
      <c r="AD135" s="214"/>
      <c r="AE135" s="214"/>
      <c r="AF135" s="214"/>
      <c r="AG135" s="214"/>
      <c r="AH135" s="214"/>
      <c r="AI135" s="214"/>
      <c r="AJ135" s="214"/>
      <c r="AK135" s="214"/>
      <c r="AL135" s="214"/>
      <c r="AM135" s="214"/>
      <c r="AN135" s="214"/>
      <c r="AO135" s="215"/>
      <c r="AP135" s="24"/>
    </row>
    <row r="136" spans="2:42" ht="19.899999999999999" customHeight="1">
      <c r="B136" s="23"/>
      <c r="AA136" s="213"/>
      <c r="AB136" s="214"/>
      <c r="AC136" s="214"/>
      <c r="AD136" s="214"/>
      <c r="AE136" s="214"/>
      <c r="AF136" s="214"/>
      <c r="AG136" s="214"/>
      <c r="AH136" s="214"/>
      <c r="AI136" s="214"/>
      <c r="AJ136" s="214"/>
      <c r="AK136" s="214"/>
      <c r="AL136" s="214"/>
      <c r="AM136" s="214"/>
      <c r="AN136" s="214"/>
      <c r="AO136" s="215"/>
      <c r="AP136" s="24"/>
    </row>
    <row r="137" spans="2:42" ht="19.899999999999999" customHeight="1">
      <c r="B137" s="23"/>
      <c r="AA137" s="213"/>
      <c r="AB137" s="214"/>
      <c r="AC137" s="214"/>
      <c r="AD137" s="214"/>
      <c r="AE137" s="214"/>
      <c r="AF137" s="214"/>
      <c r="AG137" s="214"/>
      <c r="AH137" s="214"/>
      <c r="AI137" s="214"/>
      <c r="AJ137" s="214"/>
      <c r="AK137" s="214"/>
      <c r="AL137" s="214"/>
      <c r="AM137" s="214"/>
      <c r="AN137" s="214"/>
      <c r="AO137" s="215"/>
      <c r="AP137" s="24"/>
    </row>
    <row r="138" spans="2:42" ht="19.899999999999999" customHeight="1">
      <c r="B138" s="23"/>
      <c r="AA138" s="213"/>
      <c r="AB138" s="214"/>
      <c r="AC138" s="214"/>
      <c r="AD138" s="214"/>
      <c r="AE138" s="214"/>
      <c r="AF138" s="214"/>
      <c r="AG138" s="214"/>
      <c r="AH138" s="214"/>
      <c r="AI138" s="214"/>
      <c r="AJ138" s="214"/>
      <c r="AK138" s="214"/>
      <c r="AL138" s="214"/>
      <c r="AM138" s="214"/>
      <c r="AN138" s="214"/>
      <c r="AO138" s="215"/>
      <c r="AP138" s="24"/>
    </row>
    <row r="139" spans="2:42" ht="19.899999999999999" customHeight="1">
      <c r="B139" s="23"/>
      <c r="AA139" s="213"/>
      <c r="AB139" s="214"/>
      <c r="AC139" s="214"/>
      <c r="AD139" s="214"/>
      <c r="AE139" s="214"/>
      <c r="AF139" s="214"/>
      <c r="AG139" s="214"/>
      <c r="AH139" s="214"/>
      <c r="AI139" s="214"/>
      <c r="AJ139" s="214"/>
      <c r="AK139" s="214"/>
      <c r="AL139" s="214"/>
      <c r="AM139" s="214"/>
      <c r="AN139" s="214"/>
      <c r="AO139" s="215"/>
      <c r="AP139" s="24"/>
    </row>
    <row r="140" spans="2:42" ht="19.899999999999999" customHeight="1">
      <c r="B140" s="23"/>
      <c r="AA140" s="213"/>
      <c r="AB140" s="214"/>
      <c r="AC140" s="214"/>
      <c r="AD140" s="214"/>
      <c r="AE140" s="214"/>
      <c r="AF140" s="214"/>
      <c r="AG140" s="214"/>
      <c r="AH140" s="214"/>
      <c r="AI140" s="214"/>
      <c r="AJ140" s="214"/>
      <c r="AK140" s="214"/>
      <c r="AL140" s="214"/>
      <c r="AM140" s="214"/>
      <c r="AN140" s="214"/>
      <c r="AO140" s="215"/>
      <c r="AP140" s="24"/>
    </row>
    <row r="141" spans="2:42" ht="19.899999999999999" customHeight="1">
      <c r="B141" s="23"/>
      <c r="AA141" s="213"/>
      <c r="AB141" s="214"/>
      <c r="AC141" s="214"/>
      <c r="AD141" s="214"/>
      <c r="AE141" s="214"/>
      <c r="AF141" s="214"/>
      <c r="AG141" s="214"/>
      <c r="AH141" s="214"/>
      <c r="AI141" s="214"/>
      <c r="AJ141" s="214"/>
      <c r="AK141" s="214"/>
      <c r="AL141" s="214"/>
      <c r="AM141" s="214"/>
      <c r="AN141" s="214"/>
      <c r="AO141" s="215"/>
      <c r="AP141" s="24"/>
    </row>
    <row r="142" spans="2:42" ht="19.899999999999999" customHeight="1">
      <c r="B142" s="23"/>
      <c r="AA142" s="213"/>
      <c r="AB142" s="214"/>
      <c r="AC142" s="214"/>
      <c r="AD142" s="214"/>
      <c r="AE142" s="214"/>
      <c r="AF142" s="214"/>
      <c r="AG142" s="214"/>
      <c r="AH142" s="214"/>
      <c r="AI142" s="214"/>
      <c r="AJ142" s="214"/>
      <c r="AK142" s="214"/>
      <c r="AL142" s="214"/>
      <c r="AM142" s="214"/>
      <c r="AN142" s="214"/>
      <c r="AO142" s="215"/>
      <c r="AP142" s="24"/>
    </row>
    <row r="143" spans="2:42" ht="19.899999999999999" customHeight="1">
      <c r="B143" s="23"/>
      <c r="AA143" s="213"/>
      <c r="AB143" s="214"/>
      <c r="AC143" s="214"/>
      <c r="AD143" s="214"/>
      <c r="AE143" s="214"/>
      <c r="AF143" s="214"/>
      <c r="AG143" s="214"/>
      <c r="AH143" s="214"/>
      <c r="AI143" s="214"/>
      <c r="AJ143" s="214"/>
      <c r="AK143" s="214"/>
      <c r="AL143" s="214"/>
      <c r="AM143" s="214"/>
      <c r="AN143" s="214"/>
      <c r="AO143" s="215"/>
      <c r="AP143" s="24"/>
    </row>
    <row r="144" spans="2:42" ht="19.899999999999999" customHeight="1" thickBot="1">
      <c r="B144" s="23"/>
      <c r="AA144" s="216"/>
      <c r="AB144" s="217"/>
      <c r="AC144" s="217"/>
      <c r="AD144" s="217"/>
      <c r="AE144" s="217"/>
      <c r="AF144" s="217"/>
      <c r="AG144" s="217"/>
      <c r="AH144" s="217"/>
      <c r="AI144" s="217"/>
      <c r="AJ144" s="217"/>
      <c r="AK144" s="217"/>
      <c r="AL144" s="217"/>
      <c r="AM144" s="217"/>
      <c r="AN144" s="217"/>
      <c r="AO144" s="218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19" t="s">
        <v>4</v>
      </c>
      <c r="AB147" s="220"/>
      <c r="AC147" s="220"/>
      <c r="AD147" s="220"/>
      <c r="AE147" s="220"/>
      <c r="AF147" s="220"/>
      <c r="AG147" s="220"/>
      <c r="AH147" s="220"/>
      <c r="AI147" s="220"/>
      <c r="AJ147" s="220"/>
      <c r="AK147" s="220"/>
      <c r="AL147" s="220"/>
      <c r="AM147" s="220"/>
      <c r="AN147" s="220"/>
      <c r="AO147" s="221"/>
      <c r="AP147" s="24"/>
    </row>
    <row r="148" spans="2:42" ht="19.899999999999999" customHeight="1">
      <c r="B148" s="23"/>
      <c r="AA148" s="222"/>
      <c r="AB148" s="223"/>
      <c r="AC148" s="223"/>
      <c r="AD148" s="223"/>
      <c r="AE148" s="223"/>
      <c r="AF148" s="223"/>
      <c r="AG148" s="223"/>
      <c r="AH148" s="223"/>
      <c r="AI148" s="223"/>
      <c r="AJ148" s="223"/>
      <c r="AK148" s="223"/>
      <c r="AL148" s="223"/>
      <c r="AM148" s="223"/>
      <c r="AN148" s="223"/>
      <c r="AO148" s="224"/>
      <c r="AP148" s="24"/>
    </row>
    <row r="149" spans="2:42" ht="19.899999999999999" customHeight="1">
      <c r="B149" s="23"/>
      <c r="AA149" s="213" t="str">
        <f>'JUSTIFICATIVA DE USINA'!$BJ$3</f>
        <v>'- Aderente a massa programada.</v>
      </c>
      <c r="AB149" s="214"/>
      <c r="AC149" s="214"/>
      <c r="AD149" s="214"/>
      <c r="AE149" s="214"/>
      <c r="AF149" s="214"/>
      <c r="AG149" s="214"/>
      <c r="AH149" s="214"/>
      <c r="AI149" s="214"/>
      <c r="AJ149" s="214"/>
      <c r="AK149" s="214"/>
      <c r="AL149" s="214"/>
      <c r="AM149" s="214"/>
      <c r="AN149" s="214"/>
      <c r="AO149" s="215"/>
      <c r="AP149" s="24"/>
    </row>
    <row r="150" spans="2:42" ht="19.899999999999999" customHeight="1">
      <c r="B150" s="23"/>
      <c r="AA150" s="213"/>
      <c r="AB150" s="214"/>
      <c r="AC150" s="214"/>
      <c r="AD150" s="214"/>
      <c r="AE150" s="214"/>
      <c r="AF150" s="214"/>
      <c r="AG150" s="214"/>
      <c r="AH150" s="214"/>
      <c r="AI150" s="214"/>
      <c r="AJ150" s="214"/>
      <c r="AK150" s="214"/>
      <c r="AL150" s="214"/>
      <c r="AM150" s="214"/>
      <c r="AN150" s="214"/>
      <c r="AO150" s="215"/>
      <c r="AP150" s="24"/>
    </row>
    <row r="151" spans="2:42" ht="19.899999999999999" customHeight="1">
      <c r="B151" s="23"/>
      <c r="AA151" s="213"/>
      <c r="AB151" s="214"/>
      <c r="AC151" s="214"/>
      <c r="AD151" s="214"/>
      <c r="AE151" s="214"/>
      <c r="AF151" s="214"/>
      <c r="AG151" s="214"/>
      <c r="AH151" s="214"/>
      <c r="AI151" s="214"/>
      <c r="AJ151" s="214"/>
      <c r="AK151" s="214"/>
      <c r="AL151" s="214"/>
      <c r="AM151" s="214"/>
      <c r="AN151" s="214"/>
      <c r="AO151" s="215"/>
      <c r="AP151" s="24"/>
    </row>
    <row r="152" spans="2:42" ht="19.899999999999999" customHeight="1">
      <c r="B152" s="23"/>
      <c r="AA152" s="213"/>
      <c r="AB152" s="214"/>
      <c r="AC152" s="214"/>
      <c r="AD152" s="214"/>
      <c r="AE152" s="214"/>
      <c r="AF152" s="214"/>
      <c r="AG152" s="214"/>
      <c r="AH152" s="214"/>
      <c r="AI152" s="214"/>
      <c r="AJ152" s="214"/>
      <c r="AK152" s="214"/>
      <c r="AL152" s="214"/>
      <c r="AM152" s="214"/>
      <c r="AN152" s="214"/>
      <c r="AO152" s="215"/>
      <c r="AP152" s="24"/>
    </row>
    <row r="153" spans="2:42" ht="19.899999999999999" customHeight="1">
      <c r="B153" s="23"/>
      <c r="AA153" s="213"/>
      <c r="AB153" s="214"/>
      <c r="AC153" s="214"/>
      <c r="AD153" s="214"/>
      <c r="AE153" s="214"/>
      <c r="AF153" s="214"/>
      <c r="AG153" s="214"/>
      <c r="AH153" s="214"/>
      <c r="AI153" s="214"/>
      <c r="AJ153" s="214"/>
      <c r="AK153" s="214"/>
      <c r="AL153" s="214"/>
      <c r="AM153" s="214"/>
      <c r="AN153" s="214"/>
      <c r="AO153" s="215"/>
      <c r="AP153" s="24"/>
    </row>
    <row r="154" spans="2:42" ht="19.899999999999999" customHeight="1">
      <c r="B154" s="23"/>
      <c r="AA154" s="213"/>
      <c r="AB154" s="214"/>
      <c r="AC154" s="214"/>
      <c r="AD154" s="214"/>
      <c r="AE154" s="214"/>
      <c r="AF154" s="214"/>
      <c r="AG154" s="214"/>
      <c r="AH154" s="214"/>
      <c r="AI154" s="214"/>
      <c r="AJ154" s="214"/>
      <c r="AK154" s="214"/>
      <c r="AL154" s="214"/>
      <c r="AM154" s="214"/>
      <c r="AN154" s="214"/>
      <c r="AO154" s="215"/>
      <c r="AP154" s="24"/>
    </row>
    <row r="155" spans="2:42" ht="19.899999999999999" customHeight="1">
      <c r="B155" s="23"/>
      <c r="AA155" s="213"/>
      <c r="AB155" s="214"/>
      <c r="AC155" s="214"/>
      <c r="AD155" s="214"/>
      <c r="AE155" s="214"/>
      <c r="AF155" s="214"/>
      <c r="AG155" s="214"/>
      <c r="AH155" s="214"/>
      <c r="AI155" s="214"/>
      <c r="AJ155" s="214"/>
      <c r="AK155" s="214"/>
      <c r="AL155" s="214"/>
      <c r="AM155" s="214"/>
      <c r="AN155" s="214"/>
      <c r="AO155" s="215"/>
      <c r="AP155" s="24"/>
    </row>
    <row r="156" spans="2:42" ht="19.899999999999999" customHeight="1">
      <c r="B156" s="23"/>
      <c r="AA156" s="213"/>
      <c r="AB156" s="214"/>
      <c r="AC156" s="214"/>
      <c r="AD156" s="214"/>
      <c r="AE156" s="214"/>
      <c r="AF156" s="214"/>
      <c r="AG156" s="214"/>
      <c r="AH156" s="214"/>
      <c r="AI156" s="214"/>
      <c r="AJ156" s="214"/>
      <c r="AK156" s="214"/>
      <c r="AL156" s="214"/>
      <c r="AM156" s="214"/>
      <c r="AN156" s="214"/>
      <c r="AO156" s="215"/>
      <c r="AP156" s="24"/>
    </row>
    <row r="157" spans="2:42" ht="19.899999999999999" customHeight="1">
      <c r="B157" s="23"/>
      <c r="AA157" s="213"/>
      <c r="AB157" s="214"/>
      <c r="AC157" s="214"/>
      <c r="AD157" s="214"/>
      <c r="AE157" s="214"/>
      <c r="AF157" s="214"/>
      <c r="AG157" s="214"/>
      <c r="AH157" s="214"/>
      <c r="AI157" s="214"/>
      <c r="AJ157" s="214"/>
      <c r="AK157" s="214"/>
      <c r="AL157" s="214"/>
      <c r="AM157" s="214"/>
      <c r="AN157" s="214"/>
      <c r="AO157" s="215"/>
      <c r="AP157" s="24"/>
    </row>
    <row r="158" spans="2:42" ht="19.899999999999999" customHeight="1">
      <c r="B158" s="23"/>
      <c r="AA158" s="213"/>
      <c r="AB158" s="214"/>
      <c r="AC158" s="214"/>
      <c r="AD158" s="214"/>
      <c r="AE158" s="214"/>
      <c r="AF158" s="214"/>
      <c r="AG158" s="214"/>
      <c r="AH158" s="214"/>
      <c r="AI158" s="214"/>
      <c r="AJ158" s="214"/>
      <c r="AK158" s="214"/>
      <c r="AL158" s="214"/>
      <c r="AM158" s="214"/>
      <c r="AN158" s="214"/>
      <c r="AO158" s="215"/>
      <c r="AP158" s="24"/>
    </row>
    <row r="159" spans="2:42" ht="19.899999999999999" customHeight="1">
      <c r="B159" s="23"/>
      <c r="AA159" s="213"/>
      <c r="AB159" s="214"/>
      <c r="AC159" s="214"/>
      <c r="AD159" s="214"/>
      <c r="AE159" s="214"/>
      <c r="AF159" s="214"/>
      <c r="AG159" s="214"/>
      <c r="AH159" s="214"/>
      <c r="AI159" s="214"/>
      <c r="AJ159" s="214"/>
      <c r="AK159" s="214"/>
      <c r="AL159" s="214"/>
      <c r="AM159" s="214"/>
      <c r="AN159" s="214"/>
      <c r="AO159" s="215"/>
      <c r="AP159" s="24"/>
    </row>
    <row r="160" spans="2:42" ht="19.899999999999999" customHeight="1">
      <c r="B160" s="23"/>
      <c r="AA160" s="213"/>
      <c r="AB160" s="214"/>
      <c r="AC160" s="214"/>
      <c r="AD160" s="214"/>
      <c r="AE160" s="214"/>
      <c r="AF160" s="214"/>
      <c r="AG160" s="214"/>
      <c r="AH160" s="214"/>
      <c r="AI160" s="214"/>
      <c r="AJ160" s="214"/>
      <c r="AK160" s="214"/>
      <c r="AL160" s="214"/>
      <c r="AM160" s="214"/>
      <c r="AN160" s="214"/>
      <c r="AO160" s="215"/>
      <c r="AP160" s="24"/>
    </row>
    <row r="161" spans="2:42" ht="19.899999999999999" customHeight="1">
      <c r="B161" s="23"/>
      <c r="AA161" s="213"/>
      <c r="AB161" s="214"/>
      <c r="AC161" s="214"/>
      <c r="AD161" s="214"/>
      <c r="AE161" s="214"/>
      <c r="AF161" s="214"/>
      <c r="AG161" s="214"/>
      <c r="AH161" s="214"/>
      <c r="AI161" s="214"/>
      <c r="AJ161" s="214"/>
      <c r="AK161" s="214"/>
      <c r="AL161" s="214"/>
      <c r="AM161" s="214"/>
      <c r="AN161" s="214"/>
      <c r="AO161" s="215"/>
      <c r="AP161" s="24"/>
    </row>
    <row r="162" spans="2:42" ht="19.899999999999999" customHeight="1" thickBot="1">
      <c r="B162" s="23"/>
      <c r="AA162" s="216"/>
      <c r="AB162" s="217"/>
      <c r="AC162" s="217"/>
      <c r="AD162" s="217"/>
      <c r="AE162" s="217"/>
      <c r="AF162" s="217"/>
      <c r="AG162" s="217"/>
      <c r="AH162" s="217"/>
      <c r="AI162" s="217"/>
      <c r="AJ162" s="217"/>
      <c r="AK162" s="217"/>
      <c r="AL162" s="217"/>
      <c r="AM162" s="217"/>
      <c r="AN162" s="217"/>
      <c r="AO162" s="218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 link="1"/>
  <mergeCells count="218"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</mergeCells>
  <conditionalFormatting sqref="D34">
    <cfRule type="cellIs" dxfId="103" priority="96" operator="lessThan">
      <formula>0</formula>
    </cfRule>
  </conditionalFormatting>
  <conditionalFormatting sqref="D35">
    <cfRule type="cellIs" dxfId="102" priority="95" operator="lessThan">
      <formula>0</formula>
    </cfRule>
  </conditionalFormatting>
  <conditionalFormatting sqref="D36">
    <cfRule type="cellIs" dxfId="101" priority="94" operator="lessThan">
      <formula>0</formula>
    </cfRule>
  </conditionalFormatting>
  <conditionalFormatting sqref="D37">
    <cfRule type="cellIs" dxfId="100" priority="93" operator="lessThan">
      <formula>0</formula>
    </cfRule>
  </conditionalFormatting>
  <conditionalFormatting sqref="D38">
    <cfRule type="cellIs" dxfId="99" priority="92" operator="lessThan">
      <formula>0</formula>
    </cfRule>
  </conditionalFormatting>
  <conditionalFormatting sqref="D39">
    <cfRule type="cellIs" dxfId="98" priority="91" operator="lessThan">
      <formula>0</formula>
    </cfRule>
  </conditionalFormatting>
  <conditionalFormatting sqref="D40">
    <cfRule type="cellIs" dxfId="97" priority="90" operator="lessThan">
      <formula>0</formula>
    </cfRule>
  </conditionalFormatting>
  <conditionalFormatting sqref="D41">
    <cfRule type="cellIs" dxfId="96" priority="89" operator="lessThan">
      <formula>0</formula>
    </cfRule>
  </conditionalFormatting>
  <conditionalFormatting sqref="D42">
    <cfRule type="cellIs" dxfId="95" priority="88" operator="lessThan">
      <formula>0</formula>
    </cfRule>
  </conditionalFormatting>
  <conditionalFormatting sqref="D43">
    <cfRule type="cellIs" dxfId="94" priority="87" operator="lessThan">
      <formula>0</formula>
    </cfRule>
  </conditionalFormatting>
  <conditionalFormatting sqref="D44">
    <cfRule type="cellIs" dxfId="93" priority="86" operator="lessThan">
      <formula>0</formula>
    </cfRule>
  </conditionalFormatting>
  <conditionalFormatting sqref="D45">
    <cfRule type="cellIs" dxfId="92" priority="85" operator="lessThan">
      <formula>0</formula>
    </cfRule>
  </conditionalFormatting>
  <conditionalFormatting sqref="D46">
    <cfRule type="cellIs" dxfId="91" priority="84" operator="lessThan">
      <formula>0</formula>
    </cfRule>
  </conditionalFormatting>
  <conditionalFormatting sqref="D47">
    <cfRule type="cellIs" dxfId="90" priority="83" operator="lessThan">
      <formula>0</formula>
    </cfRule>
  </conditionalFormatting>
  <conditionalFormatting sqref="D48">
    <cfRule type="cellIs" dxfId="89" priority="82" operator="lessThan">
      <formula>0</formula>
    </cfRule>
  </conditionalFormatting>
  <conditionalFormatting sqref="D49">
    <cfRule type="cellIs" dxfId="88" priority="81" operator="lessThan">
      <formula>0</formula>
    </cfRule>
  </conditionalFormatting>
  <conditionalFormatting sqref="D50">
    <cfRule type="cellIs" dxfId="87" priority="80" operator="lessThan">
      <formula>0</formula>
    </cfRule>
  </conditionalFormatting>
  <conditionalFormatting sqref="D51">
    <cfRule type="cellIs" dxfId="86" priority="79" operator="lessThan">
      <formula>0</formula>
    </cfRule>
  </conditionalFormatting>
  <conditionalFormatting sqref="D52">
    <cfRule type="cellIs" dxfId="85" priority="78" operator="lessThan">
      <formula>0</formula>
    </cfRule>
  </conditionalFormatting>
  <conditionalFormatting sqref="D53">
    <cfRule type="cellIs" dxfId="84" priority="77" operator="lessThan">
      <formula>0</formula>
    </cfRule>
  </conditionalFormatting>
  <conditionalFormatting sqref="D54">
    <cfRule type="cellIs" dxfId="83" priority="76" operator="lessThan">
      <formula>0</formula>
    </cfRule>
  </conditionalFormatting>
  <conditionalFormatting sqref="D55">
    <cfRule type="cellIs" dxfId="82" priority="75" operator="lessThan">
      <formula>0</formula>
    </cfRule>
  </conditionalFormatting>
  <conditionalFormatting sqref="D56">
    <cfRule type="cellIs" dxfId="81" priority="74" operator="lessThan">
      <formula>0</formula>
    </cfRule>
  </conditionalFormatting>
  <conditionalFormatting sqref="D57">
    <cfRule type="cellIs" dxfId="80" priority="73" operator="lessThan">
      <formula>0</formula>
    </cfRule>
  </conditionalFormatting>
  <conditionalFormatting sqref="N34">
    <cfRule type="cellIs" dxfId="79" priority="72" operator="lessThan">
      <formula>0</formula>
    </cfRule>
  </conditionalFormatting>
  <conditionalFormatting sqref="N35">
    <cfRule type="cellIs" dxfId="78" priority="71" operator="lessThan">
      <formula>0</formula>
    </cfRule>
  </conditionalFormatting>
  <conditionalFormatting sqref="N36">
    <cfRule type="cellIs" dxfId="77" priority="70" operator="lessThan">
      <formula>0</formula>
    </cfRule>
  </conditionalFormatting>
  <conditionalFormatting sqref="N37">
    <cfRule type="cellIs" dxfId="76" priority="69" operator="lessThan">
      <formula>0</formula>
    </cfRule>
  </conditionalFormatting>
  <conditionalFormatting sqref="N38">
    <cfRule type="cellIs" dxfId="75" priority="68" operator="lessThan">
      <formula>0</formula>
    </cfRule>
  </conditionalFormatting>
  <conditionalFormatting sqref="N39">
    <cfRule type="cellIs" dxfId="74" priority="67" operator="lessThan">
      <formula>0</formula>
    </cfRule>
  </conditionalFormatting>
  <conditionalFormatting sqref="N40">
    <cfRule type="cellIs" dxfId="73" priority="66" operator="lessThan">
      <formula>0</formula>
    </cfRule>
  </conditionalFormatting>
  <conditionalFormatting sqref="N41">
    <cfRule type="cellIs" dxfId="72" priority="65" operator="lessThan">
      <formula>0</formula>
    </cfRule>
  </conditionalFormatting>
  <conditionalFormatting sqref="N42">
    <cfRule type="cellIs" dxfId="71" priority="64" operator="lessThan">
      <formula>0</formula>
    </cfRule>
  </conditionalFormatting>
  <conditionalFormatting sqref="N43">
    <cfRule type="cellIs" dxfId="70" priority="63" operator="lessThan">
      <formula>0</formula>
    </cfRule>
  </conditionalFormatting>
  <conditionalFormatting sqref="N44">
    <cfRule type="cellIs" dxfId="69" priority="62" operator="lessThan">
      <formula>0</formula>
    </cfRule>
  </conditionalFormatting>
  <conditionalFormatting sqref="N45">
    <cfRule type="cellIs" dxfId="68" priority="61" operator="lessThan">
      <formula>0</formula>
    </cfRule>
  </conditionalFormatting>
  <conditionalFormatting sqref="N46">
    <cfRule type="cellIs" dxfId="67" priority="60" operator="lessThan">
      <formula>0</formula>
    </cfRule>
  </conditionalFormatting>
  <conditionalFormatting sqref="N47">
    <cfRule type="cellIs" dxfId="66" priority="59" operator="lessThan">
      <formula>0</formula>
    </cfRule>
  </conditionalFormatting>
  <conditionalFormatting sqref="N48">
    <cfRule type="cellIs" dxfId="65" priority="58" operator="lessThan">
      <formula>0</formula>
    </cfRule>
  </conditionalFormatting>
  <conditionalFormatting sqref="N49">
    <cfRule type="cellIs" dxfId="64" priority="57" operator="lessThan">
      <formula>0</formula>
    </cfRule>
  </conditionalFormatting>
  <conditionalFormatting sqref="N50">
    <cfRule type="cellIs" dxfId="63" priority="56" operator="lessThan">
      <formula>0</formula>
    </cfRule>
  </conditionalFormatting>
  <conditionalFormatting sqref="N51">
    <cfRule type="cellIs" dxfId="62" priority="55" operator="lessThan">
      <formula>0</formula>
    </cfRule>
  </conditionalFormatting>
  <conditionalFormatting sqref="N52">
    <cfRule type="cellIs" dxfId="61" priority="54" operator="lessThan">
      <formula>0</formula>
    </cfRule>
  </conditionalFormatting>
  <conditionalFormatting sqref="N53">
    <cfRule type="cellIs" dxfId="60" priority="53" operator="lessThan">
      <formula>0</formula>
    </cfRule>
  </conditionalFormatting>
  <conditionalFormatting sqref="N54">
    <cfRule type="cellIs" dxfId="59" priority="52" operator="lessThan">
      <formula>0</formula>
    </cfRule>
  </conditionalFormatting>
  <conditionalFormatting sqref="N55">
    <cfRule type="cellIs" dxfId="58" priority="51" operator="lessThan">
      <formula>0</formula>
    </cfRule>
  </conditionalFormatting>
  <conditionalFormatting sqref="N56">
    <cfRule type="cellIs" dxfId="57" priority="50" operator="lessThan">
      <formula>0</formula>
    </cfRule>
  </conditionalFormatting>
  <conditionalFormatting sqref="N57">
    <cfRule type="cellIs" dxfId="56" priority="49" operator="lessThan">
      <formula>0</formula>
    </cfRule>
  </conditionalFormatting>
  <conditionalFormatting sqref="X34">
    <cfRule type="cellIs" dxfId="55" priority="48" operator="lessThan">
      <formula>0</formula>
    </cfRule>
  </conditionalFormatting>
  <conditionalFormatting sqref="X35">
    <cfRule type="cellIs" dxfId="54" priority="47" operator="lessThan">
      <formula>0</formula>
    </cfRule>
  </conditionalFormatting>
  <conditionalFormatting sqref="X36">
    <cfRule type="cellIs" dxfId="53" priority="46" operator="lessThan">
      <formula>0</formula>
    </cfRule>
  </conditionalFormatting>
  <conditionalFormatting sqref="X37">
    <cfRule type="cellIs" dxfId="52" priority="45" operator="lessThan">
      <formula>0</formula>
    </cfRule>
  </conditionalFormatting>
  <conditionalFormatting sqref="X38">
    <cfRule type="cellIs" dxfId="51" priority="44" operator="lessThan">
      <formula>0</formula>
    </cfRule>
  </conditionalFormatting>
  <conditionalFormatting sqref="X39">
    <cfRule type="cellIs" dxfId="50" priority="43" operator="lessThan">
      <formula>0</formula>
    </cfRule>
  </conditionalFormatting>
  <conditionalFormatting sqref="X40">
    <cfRule type="cellIs" dxfId="49" priority="42" operator="lessThan">
      <formula>0</formula>
    </cfRule>
  </conditionalFormatting>
  <conditionalFormatting sqref="X41">
    <cfRule type="cellIs" dxfId="48" priority="41" operator="lessThan">
      <formula>0</formula>
    </cfRule>
  </conditionalFormatting>
  <conditionalFormatting sqref="X42">
    <cfRule type="cellIs" dxfId="47" priority="40" operator="lessThan">
      <formula>0</formula>
    </cfRule>
  </conditionalFormatting>
  <conditionalFormatting sqref="X43">
    <cfRule type="cellIs" dxfId="46" priority="39" operator="lessThan">
      <formula>0</formula>
    </cfRule>
  </conditionalFormatting>
  <conditionalFormatting sqref="X44">
    <cfRule type="cellIs" dxfId="45" priority="38" operator="lessThan">
      <formula>0</formula>
    </cfRule>
  </conditionalFormatting>
  <conditionalFormatting sqref="X45">
    <cfRule type="cellIs" dxfId="44" priority="37" operator="lessThan">
      <formula>0</formula>
    </cfRule>
  </conditionalFormatting>
  <conditionalFormatting sqref="X46">
    <cfRule type="cellIs" dxfId="43" priority="36" operator="lessThan">
      <formula>0</formula>
    </cfRule>
  </conditionalFormatting>
  <conditionalFormatting sqref="X47">
    <cfRule type="cellIs" dxfId="42" priority="35" operator="lessThan">
      <formula>0</formula>
    </cfRule>
  </conditionalFormatting>
  <conditionalFormatting sqref="X48">
    <cfRule type="cellIs" dxfId="41" priority="34" operator="lessThan">
      <formula>0</formula>
    </cfRule>
  </conditionalFormatting>
  <conditionalFormatting sqref="X49">
    <cfRule type="cellIs" dxfId="40" priority="33" operator="lessThan">
      <formula>0</formula>
    </cfRule>
  </conditionalFormatting>
  <conditionalFormatting sqref="X50">
    <cfRule type="cellIs" dxfId="39" priority="32" operator="lessThan">
      <formula>0</formula>
    </cfRule>
  </conditionalFormatting>
  <conditionalFormatting sqref="X51">
    <cfRule type="cellIs" dxfId="38" priority="31" operator="lessThan">
      <formula>0</formula>
    </cfRule>
  </conditionalFormatting>
  <conditionalFormatting sqref="X52">
    <cfRule type="cellIs" dxfId="37" priority="30" operator="lessThan">
      <formula>0</formula>
    </cfRule>
  </conditionalFormatting>
  <conditionalFormatting sqref="X53">
    <cfRule type="cellIs" dxfId="36" priority="29" operator="lessThan">
      <formula>0</formula>
    </cfRule>
  </conditionalFormatting>
  <conditionalFormatting sqref="X54">
    <cfRule type="cellIs" dxfId="35" priority="28" operator="lessThan">
      <formula>0</formula>
    </cfRule>
  </conditionalFormatting>
  <conditionalFormatting sqref="X55">
    <cfRule type="cellIs" dxfId="34" priority="27" operator="lessThan">
      <formula>0</formula>
    </cfRule>
  </conditionalFormatting>
  <conditionalFormatting sqref="X56">
    <cfRule type="cellIs" dxfId="33" priority="26" operator="lessThan">
      <formula>0</formula>
    </cfRule>
  </conditionalFormatting>
  <conditionalFormatting sqref="X57">
    <cfRule type="cellIs" dxfId="32" priority="25" operator="lessThan">
      <formula>0</formula>
    </cfRule>
  </conditionalFormatting>
  <conditionalFormatting sqref="AH34">
    <cfRule type="cellIs" dxfId="31" priority="24" operator="lessThan">
      <formula>0</formula>
    </cfRule>
  </conditionalFormatting>
  <conditionalFormatting sqref="AH35">
    <cfRule type="cellIs" dxfId="30" priority="23" operator="lessThan">
      <formula>0</formula>
    </cfRule>
  </conditionalFormatting>
  <conditionalFormatting sqref="AH36">
    <cfRule type="cellIs" dxfId="29" priority="22" operator="lessThan">
      <formula>0</formula>
    </cfRule>
  </conditionalFormatting>
  <conditionalFormatting sqref="AH37">
    <cfRule type="cellIs" dxfId="28" priority="21" operator="lessThan">
      <formula>0</formula>
    </cfRule>
  </conditionalFormatting>
  <conditionalFormatting sqref="AH38">
    <cfRule type="cellIs" dxfId="27" priority="20" operator="lessThan">
      <formula>0</formula>
    </cfRule>
  </conditionalFormatting>
  <conditionalFormatting sqref="AH39">
    <cfRule type="cellIs" dxfId="26" priority="19" operator="lessThan">
      <formula>0</formula>
    </cfRule>
  </conditionalFormatting>
  <conditionalFormatting sqref="AH40">
    <cfRule type="cellIs" dxfId="25" priority="18" operator="lessThan">
      <formula>0</formula>
    </cfRule>
  </conditionalFormatting>
  <conditionalFormatting sqref="AH41">
    <cfRule type="cellIs" dxfId="24" priority="17" operator="lessThan">
      <formula>0</formula>
    </cfRule>
  </conditionalFormatting>
  <conditionalFormatting sqref="AH42">
    <cfRule type="cellIs" dxfId="23" priority="16" operator="lessThan">
      <formula>0</formula>
    </cfRule>
  </conditionalFormatting>
  <conditionalFormatting sqref="AH43">
    <cfRule type="cellIs" dxfId="22" priority="15" operator="lessThan">
      <formula>0</formula>
    </cfRule>
  </conditionalFormatting>
  <conditionalFormatting sqref="AH44">
    <cfRule type="cellIs" dxfId="21" priority="14" operator="lessThan">
      <formula>0</formula>
    </cfRule>
  </conditionalFormatting>
  <conditionalFormatting sqref="AH45">
    <cfRule type="cellIs" dxfId="20" priority="13" operator="lessThan">
      <formula>0</formula>
    </cfRule>
  </conditionalFormatting>
  <conditionalFormatting sqref="AH46">
    <cfRule type="cellIs" dxfId="19" priority="12" operator="lessThan">
      <formula>0</formula>
    </cfRule>
  </conditionalFormatting>
  <conditionalFormatting sqref="AH47">
    <cfRule type="cellIs" dxfId="18" priority="11" operator="lessThan">
      <formula>0</formula>
    </cfRule>
  </conditionalFormatting>
  <conditionalFormatting sqref="AH48">
    <cfRule type="cellIs" dxfId="17" priority="10" operator="lessThan">
      <formula>0</formula>
    </cfRule>
  </conditionalFormatting>
  <conditionalFormatting sqref="AH49">
    <cfRule type="cellIs" dxfId="16" priority="9" operator="lessThan">
      <formula>0</formula>
    </cfRule>
  </conditionalFormatting>
  <conditionalFormatting sqref="AH50">
    <cfRule type="cellIs" dxfId="15" priority="8" operator="lessThan">
      <formula>0</formula>
    </cfRule>
  </conditionalFormatting>
  <conditionalFormatting sqref="AH51">
    <cfRule type="cellIs" dxfId="14" priority="7" operator="lessThan">
      <formula>0</formula>
    </cfRule>
  </conditionalFormatting>
  <conditionalFormatting sqref="AH52">
    <cfRule type="cellIs" dxfId="13" priority="6" operator="lessThan">
      <formula>0</formula>
    </cfRule>
  </conditionalFormatting>
  <conditionalFormatting sqref="AH53">
    <cfRule type="cellIs" dxfId="12" priority="5" operator="lessThan">
      <formula>0</formula>
    </cfRule>
  </conditionalFormatting>
  <conditionalFormatting sqref="AH54">
    <cfRule type="cellIs" dxfId="11" priority="4" operator="lessThan">
      <formula>0</formula>
    </cfRule>
  </conditionalFormatting>
  <conditionalFormatting sqref="AH55">
    <cfRule type="cellIs" dxfId="10" priority="3" operator="lessThan">
      <formula>0</formula>
    </cfRule>
  </conditionalFormatting>
  <conditionalFormatting sqref="AH56">
    <cfRule type="cellIs" dxfId="9" priority="2" operator="lessThan">
      <formula>0</formula>
    </cfRule>
  </conditionalFormatting>
  <conditionalFormatting sqref="AH57">
    <cfRule type="cellIs" dxfId="8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IP21ConfigWorkBook xmlns:xsi="http://www.w3.org/2001/XMLSchema-instance" xmlns:xsd="http://www.w3.org/2001/XMLSchema" xmlns="http://www.aspentech.com/ProcessData/ExcelAddIn/IP21ConfigWorkBook">
  <WorkBookName>Informações COI - Usina.xlsm</WorkBookName>
  <MappingTemplateName/>
  <ColumnMaps/>
</IP21ConfigWorkBook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eb33b5f-5f61-415b-8043-6c30ca4c72e5">
      <Terms xmlns="http://schemas.microsoft.com/office/infopath/2007/PartnerControls"/>
    </lcf76f155ced4ddcb4097134ff3c332f>
    <TaxCatchAll xmlns="0e56c044-f2f6-4825-ae61-b726c90d87ff" xsi:nil="true"/>
    <TranslatedLang xmlns="aeb33b5f-5f61-415b-8043-6c30ca4c72e5" xsi:nil="true"/>
    <_Flow_SignoffStatus xmlns="aeb33b5f-5f61-415b-8043-6c30ca4c72e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00299D67-BFCC-4FE0-A2C3-EAE486100D58}">
  <ds:schemaRefs>
    <ds:schemaRef ds:uri="http://www.w3.org/2001/XMLSchema"/>
    <ds:schemaRef ds:uri="http://www.aspentech.com/ProcessData/ExcelAddIn/IP21ConfigWorkBook"/>
  </ds:schemaRefs>
</ds:datastoreItem>
</file>

<file path=customXml/itemProps2.xml><?xml version="1.0" encoding="utf-8"?>
<ds:datastoreItem xmlns:ds="http://schemas.openxmlformats.org/officeDocument/2006/customXml" ds:itemID="{279B3EFF-2EFE-48E0-A08D-3A52953C32A9}">
  <ds:schemaRefs>
    <ds:schemaRef ds:uri="8a5d8c6f-dde9-445b-b0d6-d4b912837274"/>
    <ds:schemaRef ds:uri="http://www.w3.org/XML/1998/namespace"/>
    <ds:schemaRef ds:uri="http://purl.org/dc/terms/"/>
    <ds:schemaRef ds:uri="7bdd9492-9499-4339-afbe-1a61fbb6d408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7EBDDFA-3046-4727-A724-E03BB3476BE0}"/>
</file>

<file path=customXml/itemProps5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JUSTIFICATIVA DE USINA</vt:lpstr>
      <vt:lpstr>ACOMPANHAMENTO USINA</vt:lpstr>
      <vt:lpstr>MSG USINA</vt:lpstr>
      <vt:lpstr>Planilha1</vt:lpstr>
      <vt:lpstr>Gesão de Entradas Protótipo</vt:lpstr>
      <vt:lpstr>GESTÃO DAS ENTRADAS</vt:lpstr>
      <vt:lpstr>PRODUÇÃO TOTAL USINA</vt:lpstr>
      <vt:lpstr>Perfil de perdas</vt:lpstr>
      <vt:lpstr>USE PARA FECHAMENTO DO DIA</vt:lpstr>
      <vt:lpstr>'JUSTIFICATIVA DE USINA'!_MailOriginal</vt:lpstr>
      <vt:lpstr>'ACOMPANHAMENTO USINA'!Area_de_impressao</vt:lpstr>
      <vt:lpstr>'JUSTIFICATIVA DE USINA'!Area_de_impressao</vt:lpstr>
      <vt:lpstr>'MSG USINA'!Area_de_impressao</vt:lpstr>
      <vt:lpstr>'USE PARA FECHAMENTO DO DIA'!Area_de_impressao</vt:lpstr>
      <vt:lpstr>dtHoje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Marcos Amorim</cp:lastModifiedBy>
  <cp:revision/>
  <cp:lastPrinted>2024-08-14T05:29:33Z</cp:lastPrinted>
  <dcterms:created xsi:type="dcterms:W3CDTF">2015-03-17T16:33:08Z</dcterms:created>
  <dcterms:modified xsi:type="dcterms:W3CDTF">2024-08-16T03:52:51Z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