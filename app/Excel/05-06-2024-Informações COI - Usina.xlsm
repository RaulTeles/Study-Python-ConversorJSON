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E757BCB4-07E6-AE0B-56E0-F0EEF7A6E26C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Users\raul.conceicao.silva\Documents\Projetos\COI - Vale\Documentos\POC\JSON Exemplos Case 1\Excel\"/>
    </mc:Choice>
  </mc:AlternateContent>
  <xr:revisionPtr revIDLastSave="0" documentId="13_ncr:1_{945862BA-1EC0-46FD-8300-5E473B1774FE}" xr6:coauthVersionLast="47" xr6:coauthVersionMax="47" xr10:uidLastSave="{00000000-0000-0000-0000-000000000000}"/>
  <bookViews>
    <workbookView xWindow="-120" yWindow="-120" windowWidth="38640" windowHeight="15720" tabRatio="706" activeTab="1" xr2:uid="{00000000-000D-0000-FFFF-FFFF00000000}"/>
  </bookViews>
  <sheets>
    <sheet name="JUSTIFICATIVA DE USINA" sheetId="19" r:id="rId1"/>
    <sheet name="ACOMPANHAMENTO USINA" sheetId="18" r:id="rId2"/>
    <sheet name="MSG USINA" sheetId="22" r:id="rId3"/>
    <sheet name="Planilha1" sheetId="24" state="hidden" r:id="rId4"/>
    <sheet name="Gesão de Entradas Protótipo" sheetId="26" state="hidden" r:id="rId5"/>
    <sheet name="GESTÃO DAS ENTRADAS" sheetId="27" r:id="rId6"/>
    <sheet name="PRODUÇÃO TOTAL USINA" sheetId="17" r:id="rId7"/>
    <sheet name="Perfil de perdas" sheetId="29" state="hidden" r:id="rId8"/>
    <sheet name="USE PARA FECHAMENTO DO DIA" sheetId="23" state="hidden" r:id="rId9"/>
  </sheets>
  <externalReferences>
    <externalReference r:id="rId10"/>
    <externalReference r:id="rId11"/>
  </externalReferences>
  <definedNames>
    <definedName name="_______r" hidden="1">{#N/A,#N/A,FALSE,"PCOL"}</definedName>
    <definedName name="______n2" hidden="1">{#N/A,#N/A,FALSE,"PCOL"}</definedName>
    <definedName name="______r" hidden="1">{#N/A,#N/A,FALSE,"PCOL"}</definedName>
    <definedName name="_____n2" hidden="1">{#N/A,#N/A,FALSE,"PCOL"}</definedName>
    <definedName name="_____r" hidden="1">{#N/A,#N/A,FALSE,"PCOL"}</definedName>
    <definedName name="____n2" hidden="1">{#N/A,#N/A,FALSE,"PCOL"}</definedName>
    <definedName name="____r" hidden="1">{#N/A,#N/A,FALSE,"PCOL"}</definedName>
    <definedName name="___n2" hidden="1">{#N/A,#N/A,FALSE,"PCOL"}</definedName>
    <definedName name="___r" hidden="1">{#N/A,#N/A,FALSE,"PCOL"}</definedName>
    <definedName name="__ago07" hidden="1">{"'gráf jan00'!$A$1:$AK$41"}</definedName>
    <definedName name="__ago1" hidden="1">{"'gráf jan00'!$A$1:$AK$41"}</definedName>
    <definedName name="__ago10" hidden="1">{"'gráf jan00'!$A$1:$AK$41"}</definedName>
    <definedName name="__ago2" hidden="1">{"'gráf jan00'!$A$1:$AK$41"}</definedName>
    <definedName name="__ago2004" hidden="1">{"'gráf jan00'!$A$1:$AK$41"}</definedName>
    <definedName name="__ago3" hidden="1">{"'gráf jan00'!$A$1:$AK$41"}</definedName>
    <definedName name="__ago4" hidden="1">{"'gráf jan00'!$A$1:$AK$41"}</definedName>
    <definedName name="__ago5" hidden="1">{"'gráf jan00'!$A$1:$AK$41"}</definedName>
    <definedName name="__ago6" hidden="1">{"'gráf jan00'!$A$1:$AK$41"}</definedName>
    <definedName name="__ago7" hidden="1">{"'gráf jan00'!$A$1:$AK$41"}</definedName>
    <definedName name="__ago8" hidden="1">{"'gráf jan00'!$A$1:$AK$41"}</definedName>
    <definedName name="__ago9" hidden="1">{"'gráf jan00'!$A$1:$AK$41"}</definedName>
    <definedName name="__BSM02" hidden="1">{#N/A,#N/A,FALSE,"PCOL"}</definedName>
    <definedName name="__EFC2" hidden="1">{"'RR'!$A$2:$E$81"}</definedName>
    <definedName name="__EFC3" hidden="1">{"'RR'!$A$2:$E$81"}</definedName>
    <definedName name="__fca2" hidden="1">{"'Quadro'!$A$4:$BG$78"}</definedName>
    <definedName name="__mm1">#N/A</definedName>
    <definedName name="__n2" hidden="1">{#N/A,#N/A,FALSE,"PCOL"}</definedName>
    <definedName name="__PA01" hidden="1">{"'teste'!$B$2:$R$49"}</definedName>
    <definedName name="__r" hidden="1">{#N/A,#N/A,FALSE,"PCOL"}</definedName>
    <definedName name="__WX2" hidden="1">{#N/A,#N/A,FALSE,"EXPORTAC";#N/A,#N/A,FALSE,"SUPEL94"}</definedName>
    <definedName name="__x1" hidden="1">{#N/A,#N/A,FALSE,"EXPORTAC";#N/A,#N/A,FALSE,"SUPEL94"}</definedName>
    <definedName name="__x2" hidden="1">{#N/A,#N/A,FALSE,"GQGEMPRE"}</definedName>
    <definedName name="_1__123Graph_ACHART_1" hidden="1">#REF!</definedName>
    <definedName name="_10__123Graph_CCHART_1" hidden="1">#REF!</definedName>
    <definedName name="_11__123Graph_BCHART_1" hidden="1">#REF!</definedName>
    <definedName name="_13__123Graph_DCHART_1" hidden="1">#REF!</definedName>
    <definedName name="_16__123Graph_CCHART_1" hidden="1">#REF!</definedName>
    <definedName name="_16__123Graph_ECHART_1" hidden="1">#REF!</definedName>
    <definedName name="_19__123Graph_FCHART_1" hidden="1">#REF!</definedName>
    <definedName name="_2__123Graph_ACHART_3" hidden="1">#REF!</definedName>
    <definedName name="_21__123Graph_DCHART_1" hidden="1">#REF!</definedName>
    <definedName name="_22__123Graph_XCHART_3" hidden="1">#REF!</definedName>
    <definedName name="_26__123Graph_ECHART_1" hidden="1">#REF!</definedName>
    <definedName name="_3__123Graph_ACHART_1" hidden="1">#REF!</definedName>
    <definedName name="_3__123Graph_BCHART_1" hidden="1">#REF!</definedName>
    <definedName name="_31__123Graph_FCHART_1" hidden="1">#REF!</definedName>
    <definedName name="_36__123Graph_XCHART_3" hidden="1">#REF!</definedName>
    <definedName name="_4__123Graph_ACHART_3" hidden="1">#REF!</definedName>
    <definedName name="_4__123Graph_CCHART_1" hidden="1">#REF!</definedName>
    <definedName name="_5__123Graph_ACHART_1" hidden="1">#REF!</definedName>
    <definedName name="_5__123Graph_DCHART_1" hidden="1">#REF!</definedName>
    <definedName name="_6__123Graph_ACHART_3" hidden="1">#REF!</definedName>
    <definedName name="_6__123Graph_ECHART_1" hidden="1">#REF!</definedName>
    <definedName name="_7__123Graph_BCHART_1" hidden="1">#REF!</definedName>
    <definedName name="_7__123Graph_FCHART_1" hidden="1">#REF!</definedName>
    <definedName name="_8__123Graph_XCHART_3" hidden="1">#REF!</definedName>
    <definedName name="_a18000">#REF!</definedName>
    <definedName name="_a21000">#REF!</definedName>
    <definedName name="_A99999">#REF!</definedName>
    <definedName name="_AAA2006">#N/A</definedName>
    <definedName name="_ago07" hidden="1">{"'gráf jan00'!$A$1:$AK$41"}</definedName>
    <definedName name="_ago1" hidden="1">{"'gráf jan00'!$A$1:$AK$41"}</definedName>
    <definedName name="_ago10" hidden="1">{"'gráf jan00'!$A$1:$AK$41"}</definedName>
    <definedName name="_ago2" hidden="1">{"'gráf jan00'!$A$1:$AK$41"}</definedName>
    <definedName name="_ago2004" hidden="1">{"'gráf jan00'!$A$1:$AK$41"}</definedName>
    <definedName name="_ago3" hidden="1">{"'gráf jan00'!$A$1:$AK$41"}</definedName>
    <definedName name="_ago4" hidden="1">{"'gráf jan00'!$A$1:$AK$41"}</definedName>
    <definedName name="_ago5" hidden="1">{"'gráf jan00'!$A$1:$AK$41"}</definedName>
    <definedName name="_ago6" hidden="1">{"'gráf jan00'!$A$1:$AK$41"}</definedName>
    <definedName name="_ago7" hidden="1">{"'gráf jan00'!$A$1:$AK$41"}</definedName>
    <definedName name="_ago8" hidden="1">{"'gráf jan00'!$A$1:$AK$41"}</definedName>
    <definedName name="_ago9" hidden="1">{"'gráf jan00'!$A$1:$AK$41"}</definedName>
    <definedName name="_ANS1" hidden="1">{#N/A,#N/A,FALSE,"PCOL"}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SM01" hidden="1">{#N/A,#N/A,FALSE,"PCOL"}</definedName>
    <definedName name="_BSM02" hidden="1">{#N/A,#N/A,FALSE,"PCOL"}</definedName>
    <definedName name="_EFC2" hidden="1">{"'RR'!$A$2:$E$81"}</definedName>
    <definedName name="_EFC3" hidden="1">{"'RR'!$A$2:$E$81"}</definedName>
    <definedName name="_fca2" hidden="1">{"'Quadro'!$A$4:$BG$78"}</definedName>
    <definedName name="_Fill" hidden="1">#REF!</definedName>
    <definedName name="_xlnm._FilterDatabase" localSheetId="0" hidden="1">'JUSTIFICATIVA DE USINA'!$F$2:$H$26</definedName>
    <definedName name="_xlnm._FilterDatabase" hidden="1">#REF!</definedName>
    <definedName name="_gdp98">#REF!</definedName>
    <definedName name="_gdp99">#REF!</definedName>
    <definedName name="_K001">#N/A</definedName>
    <definedName name="_Key1" hidden="1">#REF!</definedName>
    <definedName name="_MAI50">#REF!</definedName>
    <definedName name="_MailOriginal" localSheetId="0">'JUSTIFICATIVA DE USINA'!$L$9</definedName>
    <definedName name="_mm1">#N/A</definedName>
    <definedName name="_n2" hidden="1">{#N/A,#N/A,FALSE,"PCOL"}</definedName>
    <definedName name="_np1">#REF!</definedName>
    <definedName name="_Order1" hidden="1">255</definedName>
    <definedName name="_Order2" hidden="1">0</definedName>
    <definedName name="_PA01" hidden="1">{"'teste'!$B$2:$R$49"}</definedName>
    <definedName name="_r" hidden="1">{#N/A,#N/A,FALSE,"PCOL"}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A43">#REF!</definedName>
    <definedName name="_WX2" hidden="1">{#N/A,#N/A,FALSE,"EXPORTAC";#N/A,#N/A,FALSE,"SUPEL94"}</definedName>
    <definedName name="_x1" hidden="1">{#N/A,#N/A,FALSE,"EXPORTAC";#N/A,#N/A,FALSE,"SUPEL94"}</definedName>
    <definedName name="_x2" hidden="1">{#N/A,#N/A,FALSE,"GQGEMPRE"}</definedName>
    <definedName name="_xlcn.WorksheetConnection_ProgramaçãoC3M9751" hidden="1">#REF!</definedName>
    <definedName name="_xlcn.WorksheetConnection_ProgramaçãoC3P11741" hidden="1">#REF!</definedName>
    <definedName name="a" hidden="1">{#N/A,#N/A,FALSE,"PCOL"}</definedName>
    <definedName name="A.23" hidden="1">{#N/A,#N/A,FALSE,"SITUAÇÃO DIÁRIA ";#N/A,#N/A,FALSE,"7 à 7"}</definedName>
    <definedName name="aa" hidden="1">{"'Quadro'!$A$4:$BG$78"}</definedName>
    <definedName name="aaa" hidden="1">{"'gráf jan00'!$A$1:$AK$41"}</definedName>
    <definedName name="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AAAAAAAAAAAAAAA" hidden="1">{"'gráf jan00'!$A$1:$AK$41"}</definedName>
    <definedName name="AABB" hidden="1">{"'gráf jan00'!$A$1:$AK$41"}</definedName>
    <definedName name="aasaasas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bcd" hidden="1">{#N/A,#N/A,FALSE,"PCOL"}</definedName>
    <definedName name="aberto">#REF!</definedName>
    <definedName name="abs" hidden="1">{"'Quadro'!$A$4:$BG$78"}</definedName>
    <definedName name="AC">#REF!</definedName>
    <definedName name="acao" hidden="1">{"'Quadro'!$A$4:$BG$78"}</definedName>
    <definedName name="Acidente" hidden="1">{"'gráf jan00'!$A$1:$AK$41"}</definedName>
    <definedName name="acompanhamento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amentodois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emento">#REF!</definedName>
    <definedName name="Acumul">#N/A</definedName>
    <definedName name="adas">#REF!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itivo" hidden="1">{#N/A,#N/A,FALSE,"PCOL"}</definedName>
    <definedName name="adsf" hidden="1">{"'gráf jan00'!$A$1:$AK$41"}</definedName>
    <definedName name="adsretrrujnh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hidden="1">{"'gráf jan00'!$A$1:$AK$41"}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hidden="1">{"'gráf jan00'!$A$1:$AK$41"}</definedName>
    <definedName name="Agosto" hidden="1">{#N/A,#N/A,FALSE,"SITUAÇÃO DIÁRIA ";#N/A,#N/A,FALSE,"7 à 7"}</definedName>
    <definedName name="aina" hidden="1">{#N/A,#N/A,FALSE,"PCOL"}</definedName>
    <definedName name="aliq_ir_antes">#REF!</definedName>
    <definedName name="aliq_ir_depois">#REF!</definedName>
    <definedName name="amanha">#REF!</definedName>
    <definedName name="amort">#REF!</definedName>
    <definedName name="AN">#REF!</definedName>
    <definedName name="ANEXO1" hidden="1">{"'teste'!$B$2:$R$49"}</definedName>
    <definedName name="Anoant">#REF!</definedName>
    <definedName name="Anoprop">#REF!</definedName>
    <definedName name="ans" hidden="1">{#N/A,#N/A,FALSE,"PCOL"}</definedName>
    <definedName name="anscount" hidden="1">45</definedName>
    <definedName name="Apoio2">#REF!</definedName>
    <definedName name="aq" hidden="1">{"'Quadro'!$A$4:$BG$78"}</definedName>
    <definedName name="Arara" hidden="1">{#N/A,#N/A,FALSE,"PCOL"}</definedName>
    <definedName name="Área">#REF!</definedName>
    <definedName name="Area_Executante">#REF!</definedName>
    <definedName name="area_limpar">#REF!,#REF!,#REF!,#REF!,#REF!,#REF!,#REF!</definedName>
    <definedName name="area_limpar2">#REF!,#REF!,#REF!,#REF!,#REF!,#REF!,#REF!,#REF!,#REF!,#REF!</definedName>
    <definedName name="Area_Solicitante">#REF!</definedName>
    <definedName name="Área1">#REF!</definedName>
    <definedName name="Área2">#REF!</definedName>
    <definedName name="Área3">#REF!</definedName>
    <definedName name="AREA4">#REF!</definedName>
    <definedName name="AREA5">#REF!</definedName>
    <definedName name="AREA6">#REF!</definedName>
    <definedName name="AREAS">#REF!</definedName>
    <definedName name="as" hidden="1">{"'RR'!$A$2:$E$81"}</definedName>
    <definedName name="AS2DocOpenMode" hidden="1">"AS2DocumentEdit"</definedName>
    <definedName name="AS2NamedRange" hidden="1">18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as" hidden="1">{#N/A,#N/A,TRUE,"indice";#N/A,#N/A,TRUE,"indicadores";#N/A,#N/A,TRUE,"comentarios"}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hidden="1">{"'Resumo'!$A$4:$N$60"}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" hidden="1">#REF!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erv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sf">#N/A</definedName>
    <definedName name="ASPEP">#REF!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WEFGQ3" hidden="1">{"'gráf jan00'!$A$1:$AK$41"}</definedName>
    <definedName name="AtivaMétricasGVA">#REF!</definedName>
    <definedName name="ATIVOS">#REF!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z" hidden="1">{"'Quadro'!$A$4:$BG$78"}</definedName>
    <definedName name="b" hidden="1">{"'CptDifn'!$AA$32:$AG$32"}</definedName>
    <definedName name="BALANCO">#REF!</definedName>
    <definedName name="basedf">#REF!</definedName>
    <definedName name="baseuf">#REF!</definedName>
    <definedName name="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" hidden="1">{#N/A,#N/A,FALSE,"PCOL"}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d" hidden="1">{"'IndicadoresRH'!$AA$50:$AP$67"}</definedName>
    <definedName name="BE">#REF!</definedName>
    <definedName name="Beneficio_Custo">#REF!</definedName>
    <definedName name="bk">#REF!</definedName>
    <definedName name="BL">#REF!</definedName>
    <definedName name="BLPH10" hidden="1">#REF!</definedName>
    <definedName name="BLPH23" hidden="1">#REF!</definedName>
    <definedName name="BLPH24" hidden="1">#REF!</definedName>
    <definedName name="BLPH25" hidden="1">#REF!</definedName>
    <definedName name="BLPH6" hidden="1">#REF!</definedName>
    <definedName name="BLPH7" hidden="1">#REF!</definedName>
    <definedName name="BS">#REF!</definedName>
    <definedName name="BSM0" hidden="1">{#N/A,#N/A,FALSE,"PCOL"}</definedName>
    <definedName name="BSM01_">#REF!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c" hidden="1">{"'REL CUSTODIF'!$B$1:$H$72"}</definedName>
    <definedName name="CA">#REF!</definedName>
    <definedName name="cacro120">#N/A</definedName>
    <definedName name="CALBUMMEDIDAACUM2">#REF!</definedName>
    <definedName name="cambio">#REF!</definedName>
    <definedName name="Categoria">#REF!</definedName>
    <definedName name="CAUSA">#REF!</definedName>
    <definedName name="causas">#REF!</definedName>
    <definedName name="causas_raiz">#REF!</definedName>
    <definedName name="cc">#REF!</definedName>
    <definedName name="cccc" hidden="1">{#N/A,#N/A,FALSE,"GQGEMPRE"}</definedName>
    <definedName name="cccccc" hidden="1">{#N/A,#N/A,FALSE,"EXPORTAC";#N/A,#N/A,FALSE,"SUPEL94"}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enário">#REF!</definedName>
    <definedName name="Cenário_1">#REF!</definedName>
    <definedName name="Cenário_4">#REF!</definedName>
    <definedName name="CF">#REF!</definedName>
    <definedName name="ciclos" hidden="1">{"'RR'!$A$2:$E$81"}</definedName>
    <definedName name="cida" hidden="1">{#N/A,#N/A,FALSE,"PCOL"}</definedName>
    <definedName name="claro">#REF!</definedName>
    <definedName name="Clschv">#REF!</definedName>
    <definedName name="CMC" hidden="1">{"'Quadro'!$A$4:$BG$78"}</definedName>
    <definedName name="çmç">#REF!</definedName>
    <definedName name="Cobra" hidden="1">{#N/A,#N/A,FALSE,"PCOL"}</definedName>
    <definedName name="Cobre" hidden="1">{"'CptDifn'!$AA$32:$AG$32"}</definedName>
    <definedName name="COMAN" hidden="1">{"'REL CUSTODIF'!$B$1:$H$72"}</definedName>
    <definedName name="comissao">#REF!</definedName>
    <definedName name="COMP_CLI">#N/A</definedName>
    <definedName name="complex_alta">#REF!</definedName>
    <definedName name="complex_baixa">#REF!</definedName>
    <definedName name="complex_media">#REF!</definedName>
    <definedName name="Concentrado_Cobre" hidden="1">{"'CptDifn'!$AA$32:$AG$32"}</definedName>
    <definedName name="conex">#REF!</definedName>
    <definedName name="cons_energ_elet">#REF!</definedName>
    <definedName name="Consulta5">#REF!</definedName>
    <definedName name="contas">#REF!</definedName>
    <definedName name="Copia" hidden="1">{#N/A,#N/A,FALSE,"PCOL"}</definedName>
    <definedName name="cópi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st_of_debt">#REF!</definedName>
    <definedName name="coucou" hidden="1">{#N/A,#N/A,TRUE,"Cover sheet";#N/A,#N/A,TRUE,"INPUTS";#N/A,#N/A,TRUE,"OUTPUTS";#N/A,#N/A,TRUE,"VALUATION"}</definedName>
    <definedName name="counter_trade">#REF!</definedName>
    <definedName name="CP">#REF!</definedName>
    <definedName name="_xlnm.Criteria">#REF!</definedName>
    <definedName name="cs_fase1">#REF!</definedName>
    <definedName name="Custeio" hidden="1">{"'IndicadoresRH'!$AA$50:$AP$67"}</definedName>
    <definedName name="custo_debt">#REF!</definedName>
    <definedName name="custo_equity">#REF!</definedName>
    <definedName name="custo_fixo_fe">#REF!</definedName>
    <definedName name="custo_fixo_mn">#REF!</definedName>
    <definedName name="custo_var_fe">#REF!</definedName>
    <definedName name="custo_var_mn">#REF!</definedName>
    <definedName name="CV">#REF!</definedName>
    <definedName name="CY">#REF!</definedName>
    <definedName name="d" hidden="1">#REF!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os">#REF!</definedName>
    <definedName name="DadosExternos_1" localSheetId="6" hidden="1">'PRODUÇÃO TOTAL USINA'!$BA$1:$BK$25</definedName>
    <definedName name="DadosExternos_2" localSheetId="6" hidden="1">'PRODUÇÃO TOTAL USINA'!$CD$1:$CF$9</definedName>
    <definedName name="data">#REF!</definedName>
    <definedName name="_xlnm.Database">#REF!</definedName>
    <definedName name="DB">#REF!</definedName>
    <definedName name="dd">#N/A</definedName>
    <definedName name="ddd" hidden="1">#REF!</definedName>
    <definedName name="dddd" hidden="1">{#N/A,#N/A,FALSE,"PCOL"}</definedName>
    <definedName name="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">#N/A</definedName>
    <definedName name="ddddddddd">#N/A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os_Bco">#REF!</definedName>
    <definedName name="de">#REF!</definedName>
    <definedName name="DEAM" hidden="1">{"'CptDifn'!$AA$32:$AG$32"}</definedName>
    <definedName name="DEAS" hidden="1">{"'CptDifn'!$AA$32:$AG$32"}</definedName>
    <definedName name="debt">#REF!</definedName>
    <definedName name="DECG" hidden="1">{"'CptDifn'!$AA$32:$AG$32"}</definedName>
    <definedName name="DEF" hidden="1">{"'RR'!$A$2:$E$81"}</definedName>
    <definedName name="DEFB">#REF!</definedName>
    <definedName name="DEGL" hidden="1">{"'CptDifn'!$AA$32:$AG$32"}</definedName>
    <definedName name="DEGS">#REF!</definedName>
    <definedName name="DEJL">#REF!</definedName>
    <definedName name="DEJM">#REF!</definedName>
    <definedName name="demanda">#REF!</definedName>
    <definedName name="depre">#REF!</definedName>
    <definedName name="depre_princ">#REF!</definedName>
    <definedName name="deprec_linear">#REF!</definedName>
    <definedName name="DERF" hidden="1">{"'RR'!$A$2:$E$81"}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E" hidden="1">{"'RR'!$A$2:$E$81"}</definedName>
    <definedName name="despesa">#REF!</definedName>
    <definedName name="DESR" hidden="1">{"'RR'!$A$2:$E$81"}</definedName>
    <definedName name="DEST_0901">#REF!</definedName>
    <definedName name="DEST_0902">#REF!</definedName>
    <definedName name="DEST_0903">#REF!</definedName>
    <definedName name="DEST_0904">#REF!</definedName>
    <definedName name="DEST_0905">#REF!</definedName>
    <definedName name="DEST_0906">#REF!</definedName>
    <definedName name="DEST_0907">#REF!</definedName>
    <definedName name="DEST_1001">#REF!</definedName>
    <definedName name="DEST_1302">#REF!</definedName>
    <definedName name="DEST_2003">#REF!</definedName>
    <definedName name="DEST_2005">#REF!</definedName>
    <definedName name="DEST_2006">#REF!</definedName>
    <definedName name="DEST_2007">#REF!</definedName>
    <definedName name="DEST_2008">#REF!</definedName>
    <definedName name="DEST_2009">#REF!</definedName>
    <definedName name="DEST_2010">#REF!</definedName>
    <definedName name="DEST_7707">#REF!</definedName>
    <definedName name="DEST_7708">#REF!</definedName>
    <definedName name="DEST_8102">#REF!</definedName>
    <definedName name="DEST_8104">#REF!</definedName>
    <definedName name="DEST_8105">#REF!</definedName>
    <definedName name="DEST_8106">#REF!</definedName>
    <definedName name="DEST_8108">#REF!</definedName>
    <definedName name="DEST_8109">#REF!</definedName>
    <definedName name="DEST_8111">#REF!</definedName>
    <definedName name="DEST_8112">#REF!</definedName>
    <definedName name="DEST_8113">#REF!</definedName>
    <definedName name="DEST_8114">#REF!</definedName>
    <definedName name="DEST_8115">#REF!</definedName>
    <definedName name="Destino_N4E">OFFSET(#REF!,0,0,COUNTA(#REF!)-1,1)</definedName>
    <definedName name="Destino_N4W">OFFSET(#REF!,0,0,COUNTA(#REF!)-1,1)</definedName>
    <definedName name="Destino_N5">OFFSET(#REF!,0,0,COUNTA(#REF!)-1,1)</definedName>
    <definedName name="DET_CLI">#N/A</definedName>
    <definedName name="DET_PROD">#N/A</definedName>
    <definedName name="Detalhe" hidden="1">{"'Resumo'!$A$4:$N$60"}</definedName>
    <definedName name="DEWS" hidden="1">{"'RR'!$A$2:$E$81"}</definedName>
    <definedName name="DEZ" hidden="1">{"'280700'!$A$7:$L$37"}</definedName>
    <definedName name="df">#REF!</definedName>
    <definedName name="dfadsfsadf" hidden="1">{"'gráf jan00'!$A$1:$AK$41"}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DF" hidden="1">{"'gráf jan00'!$A$1:$AK$41"}</definedName>
    <definedName name="dffasf" hidden="1">{#N/A,#N/A,TRUE,"indice";#N/A,#N/A,TRUE,"indicadores";#N/A,#N/A,TRUE,"comentarios"}</definedName>
    <definedName name="dfhgdf" hidden="1">{#N/A,#N/A,TRUE,"indice";#N/A,#N/A,TRUE,"indicadores";#N/A,#N/A,TRUE,"comentarios"}</definedName>
    <definedName name="dfr" hidden="1">{"'RR'!$A$2:$E$81"}</definedName>
    <definedName name="DFSDSFD" hidden="1">{"'Quadro'!$A$4:$BG$78"}</definedName>
    <definedName name="dft" hidden="1">{"'RR'!$A$2:$E$81"}</definedName>
    <definedName name="dfuil" hidden="1">{"'RR'!$A$2:$E$81"}</definedName>
    <definedName name="DI">#REF!</definedName>
    <definedName name="Diadasemana">#REF!</definedName>
    <definedName name="Diadomes">#REF!</definedName>
    <definedName name="diagrama">#REF!</definedName>
    <definedName name="Dificuldade">#REF!</definedName>
    <definedName name="DILO_Ferrovia" hidden="1">{"'Quadro'!$A$4:$BG$78"}</definedName>
    <definedName name="DispTelGASAG" hidden="1">{"'teste'!$B$2:$R$49"}</definedName>
    <definedName name="dksojd" hidden="1">{#N/A,#N/A,FALSE,"PCOL"}</definedName>
    <definedName name="DO">#REF!</definedName>
    <definedName name="dolar">#REF!</definedName>
    <definedName name="drf" hidden="1">{"'RR'!$A$2:$E$81"}</definedName>
    <definedName name="dsda" hidden="1">{#N/A,#N/A,TRUE,"indice";#N/A,#N/A,TRUE,"indicadores";#N/A,#N/A,TRUE,"comentarios"}</definedName>
    <definedName name="dsda1" hidden="1">{#N/A,#N/A,TRUE,"indice";#N/A,#N/A,TRUE,"indicadores";#N/A,#N/A,TRUE,"comentarios"}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Inicial">[1]ColocarData!$A$2</definedName>
    <definedName name="duvidoso">#REF!</definedName>
    <definedName name="dv">#REF!</definedName>
    <definedName name="dwsdad" hidden="1">{"'ReceitaLiquidaME'!$AA$25:$AN$32"}</definedName>
    <definedName name="e" hidden="1">{#N/A,#N/A,FALSE,"PCOL"}</definedName>
    <definedName name="EB">#REF!</definedName>
    <definedName name="ECRNAT">#REF!</definedName>
    <definedName name="ECRNATDT">#REF!</definedName>
    <definedName name="EDU">#REF!</definedName>
    <definedName name="e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ATRL">#REF!</definedName>
    <definedName name="EFATURA">#REF!</definedName>
    <definedName name="EFC" hidden="1">{"'RR'!$A$2:$E$81"}</definedName>
    <definedName name="EFVM" hidden="1">{"'RR'!$A$2:$E$81"}</definedName>
    <definedName name="EFVM2" hidden="1">{"'RR'!$A$2:$E$81"}</definedName>
    <definedName name="EFVM3" hidden="1">{"'RR'!$A$2:$E$81"}</definedName>
    <definedName name="eGasAacu">#REF!</definedName>
    <definedName name="eGasAacuUS">#REF!</definedName>
    <definedName name="eGasAcu">#REF!</definedName>
    <definedName name="eGasAcuUS">#REF!</definedName>
    <definedName name="eGasmes">#REF!</definedName>
    <definedName name="eGasmesus">#REF!</definedName>
    <definedName name="EM">#REF!</definedName>
    <definedName name="Empregados_lotados_no_DPPS">#REF!</definedName>
    <definedName name="ENTRADAS">#REF!</definedName>
    <definedName name="equip">#REF!</definedName>
    <definedName name="Equipamento">#REF!</definedName>
    <definedName name="equipamentos">#REF!</definedName>
    <definedName name="Equipe">#REF!</definedName>
    <definedName name="equity">#REF!</definedName>
    <definedName name="EQUPS">#REF!</definedName>
    <definedName name="ERI" hidden="1">#REF!</definedName>
    <definedName name="ERRO" hidden="1">{"'CptDifn'!$AA$32:$AG$32"}</definedName>
    <definedName name="ERRO1" hidden="1">{"'CptDifn'!$AA$32:$AG$32"}</definedName>
    <definedName name="ERRO3" hidden="1">{"'CptDifn'!$AA$32:$AG$32"}</definedName>
    <definedName name="ERRO4" hidden="1">{"'CptDifn'!$AA$32:$AG$32"}</definedName>
    <definedName name="ERRO5" hidden="1">{"'CptDifn'!$AA$32:$AG$32"}</definedName>
    <definedName name="ERRO6" hidden="1">{"'CptDifn'!$AA$32:$AG$32"}</definedName>
    <definedName name="ERRRRRRRRRRRRRRRO" hidden="1">{"'CptDifn'!$AA$32:$AG$32"}</definedName>
    <definedName name="ESCTURMA">#REF!</definedName>
    <definedName name="ESEQ">#REF!</definedName>
    <definedName name="ESEQ1">#REF!</definedName>
    <definedName name="Est_0901">#REF!</definedName>
    <definedName name="Est_0902">#REF!</definedName>
    <definedName name="Est_0903">#REF!</definedName>
    <definedName name="Est_0904">#REF!</definedName>
    <definedName name="Est_0905">#REF!</definedName>
    <definedName name="Est_0906">#REF!</definedName>
    <definedName name="Est_0907">#REF!</definedName>
    <definedName name="Est_1001">#REF!</definedName>
    <definedName name="Est_1302">#REF!</definedName>
    <definedName name="Est_2003">#REF!</definedName>
    <definedName name="Est_2005">#REF!</definedName>
    <definedName name="Est_2006">#REF!</definedName>
    <definedName name="Est_2007">#REF!</definedName>
    <definedName name="Est_2008">#REF!</definedName>
    <definedName name="Est_2009">#REF!</definedName>
    <definedName name="Est_2010">#REF!</definedName>
    <definedName name="Est_7707">#REF!</definedName>
    <definedName name="Est_7708">#REF!</definedName>
    <definedName name="Est_8102">#REF!</definedName>
    <definedName name="Est_8104">#REF!</definedName>
    <definedName name="Est_8105">#REF!</definedName>
    <definedName name="Est_8106">#REF!</definedName>
    <definedName name="Est_8108">#REF!</definedName>
    <definedName name="Est_8109">#REF!</definedName>
    <definedName name="Est_8111">#REF!</definedName>
    <definedName name="Est_8112">#REF!</definedName>
    <definedName name="Est_8113">#REF!</definedName>
    <definedName name="Est_8114">#REF!</definedName>
    <definedName name="Est_8115">#REF!</definedName>
    <definedName name="est_B" hidden="1">{#N/A,#N/A,FALSE,"PCOL"}</definedName>
    <definedName name="Etapas">#REF!</definedName>
    <definedName name="eU" hidden="1">{#N/A,#N/A,FALSE,"PCOL"}</definedName>
    <definedName name="ev.Calculation" hidden="1">-4135</definedName>
    <definedName name="ev.Initialized" hidden="1">FALSE</definedName>
    <definedName name="Evalmov">#REF!</definedName>
    <definedName name="Evalmov1">#REF!</definedName>
    <definedName name="eVolChv">#REF!</definedName>
    <definedName name="EVolFat">#REF!</definedName>
    <definedName name="Evolmov">#REF!</definedName>
    <definedName name="Evolmov1">#REF!</definedName>
    <definedName name="ewew">#REF!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_xlnm.Extract">#REF!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sdfasfdadsf" hidden="1">{"'gráf jan00'!$A$1:$AK$41"}</definedName>
    <definedName name="fatorconv">#REF!</definedName>
    <definedName name="FCA" hidden="1">{"'Quadro'!$A$4:$BG$78"}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FDFDF" hidden="1">{"'gráf jan00'!$A$1:$AK$41"}</definedName>
    <definedName name="FEE">#REF!</definedName>
    <definedName name="FEE_asis">#REF!</definedName>
    <definedName name="fees">#REF!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mn">#REF!</definedName>
    <definedName name="FeMnAC50">#REF!</definedName>
    <definedName name="FeMnAC76">#REF!</definedName>
    <definedName name="femnex">#REF!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anda" hidden="1">{#N/A,#N/A,TRUE,"indice";#N/A,#N/A,TRUE,"indicadores";#N/A,#N/A,TRUE,"comentarios"}</definedName>
    <definedName name="FeSiMn16">#REF!</definedName>
    <definedName name="ff" hidden="1">{"'gráf jan00'!$A$1:$AK$41"}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>#N/A</definedName>
    <definedName name="ffre" hidden="1">{"'RR'!$A$2:$E$81"}</definedName>
    <definedName name="FFVP" hidden="1">{"'gráf jan00'!$A$1:$AK$41"}</definedName>
    <definedName name="FFVP1" hidden="1">{"'gráf jan00'!$A$1:$AK$41"}</definedName>
    <definedName name="FFVP10" hidden="1">{"'gráf jan00'!$A$1:$AK$41"}</definedName>
    <definedName name="FFVP11" hidden="1">{"'gráf jan00'!$A$1:$AK$41"}</definedName>
    <definedName name="FFVP12" hidden="1">{"'gráf jan00'!$A$1:$AK$41"}</definedName>
    <definedName name="FFVP13" hidden="1">{"'gráf jan00'!$A$1:$AK$41"}</definedName>
    <definedName name="FFVP14" hidden="1">{"'gráf jan00'!$A$1:$AK$41"}</definedName>
    <definedName name="FFVP15" hidden="1">{"'gráf jan00'!$A$1:$AK$41"}</definedName>
    <definedName name="FFVP16" hidden="1">{"'gráf jan00'!$A$1:$AK$41"}</definedName>
    <definedName name="FFVP2" hidden="1">{"'gráf jan00'!$A$1:$AK$41"}</definedName>
    <definedName name="FFVP3" hidden="1">{"'gráf jan00'!$A$1:$AK$41"}</definedName>
    <definedName name="FFVP4" hidden="1">{"'gráf jan00'!$A$1:$AK$41"}</definedName>
    <definedName name="FFVP5" hidden="1">{"'gráf jan00'!$A$1:$AK$41"}</definedName>
    <definedName name="FFVP6" hidden="1">{"'gráf jan00'!$A$1:$AK$41"}</definedName>
    <definedName name="FFVP7" hidden="1">{"'gráf jan00'!$A$1:$AK$41"}</definedName>
    <definedName name="FFVP8" hidden="1">{"'gráf jan00'!$A$1:$AK$41"}</definedName>
    <definedName name="FFVP9" hidden="1">{"'gráf jan00'!$A$1:$AK$41"}</definedName>
    <definedName name="fhh" hidden="1">#REF!</definedName>
    <definedName name="fi">#REF!</definedName>
    <definedName name="figura1">#REF!</definedName>
    <definedName name="Fil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ill1" hidden="1">#REF!</definedName>
    <definedName name="fim">#REF!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lump">#REF!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i" hidden="1">{"'Quadro'!$A$4:$BG$78"}</definedName>
    <definedName name="forno">#REF!</definedName>
    <definedName name="franco">#REF!</definedName>
    <definedName name="Frank" hidden="1">{#N/A,#N/A,TRUE,"Cover sheet";#N/A,#N/A,TRUE,"DCF analysis";#N/A,#N/A,TRUE,"WACC calculation"}</definedName>
    <definedName name="FRDdia">#REF!</definedName>
    <definedName name="frde" hidden="1">{"'RR'!$A$2:$E$81"}</definedName>
    <definedName name="FRDEFT" hidden="1">{"'RR'!$A$2:$E$81"}</definedName>
    <definedName name="fre" hidden="1">{"'RR'!$A$2:$E$81"}</definedName>
    <definedName name="fred" hidden="1">{"'RR'!$A$2:$E$81"}</definedName>
    <definedName name="FROTA" hidden="1">{"'Quadro'!$A$4:$BG$78"}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hidden="1">{"'gráf jan00'!$A$1:$AK$41"}</definedName>
    <definedName name="FTG" hidden="1">{"'RR'!$A$2:$E$81"}</definedName>
    <definedName name="ftr" hidden="1">{"'RR'!$A$2:$E$81"}</definedName>
    <definedName name="FU">#REF!</definedName>
    <definedName name="FU_asis">#REF!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hidden="1">{#N/A,#N/A,FALSE,"PCOL"}</definedName>
    <definedName name="gamen" hidden="1">{#N/A,#N/A,FALSE,"PCOL"}</definedName>
    <definedName name="GAMON" hidden="1">{#N/A,#N/A,FALSE,"PCOL"}</definedName>
    <definedName name="Ganhos_intangiveis">#REF!</definedName>
    <definedName name="Ganhos_Tangiveis">#REF!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TG" hidden="1">{"'gráf jan00'!$A$1:$AK$41"}</definedName>
    <definedName name="GC">#REF!</definedName>
    <definedName name="geaga" hidden="1">{"'Quadro'!$A$4:$BG$78"}</definedName>
    <definedName name="gemin" hidden="1">{#N/A,#N/A,FALSE,"PCOL"}</definedName>
    <definedName name="Gemop" hidden="1">{#N/A,#N/A,TRUE,"indice";#N/A,#N/A,TRUE,"indicadores";#N/A,#N/A,TRUE,"comentarios"}</definedName>
    <definedName name="getep" hidden="1">{#N/A,#N/A,TRUE,"indice";#N/A,#N/A,TRUE,"indicadores";#N/A,#N/A,TRUE,"comentarios"}</definedName>
    <definedName name="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" hidden="1">{"'ReceitaLiquidaME'!$AA$25:$AN$32"}</definedName>
    <definedName name="ggtggg" hidden="1">{#N/A,#N/A,FALSE,"DEF1";#N/A,#N/A,FALSE,"DEF2";#N/A,#N/A,FALSE,"DEF3"}</definedName>
    <definedName name="gogo" hidden="1">{#N/A,#N/A,TRUE,"Cover sheet";#N/A,#N/A,TRUE,"INPUTS";#N/A,#N/A,TRUE,"OUTPUTS";#N/A,#N/A,TRUE,"VALUATION"}</definedName>
    <definedName name="GQ">#REF!</definedName>
    <definedName name="GRAF_10A" hidden="1">{#N/A,#N/A,FALSE,"SITUAÇÃO DIÁRIA ";#N/A,#N/A,FALSE,"7 à 7"}</definedName>
    <definedName name="GRAF_11A" hidden="1">{#N/A,#N/A,FALSE,"SITUAÇÃO DIÁRIA ";#N/A,#N/A,FALSE,"7 à 7"}</definedName>
    <definedName name="GRAF_12A" hidden="1">{#N/A,#N/A,FALSE,"SITUAÇÃO DIÁRIA ";#N/A,#N/A,FALSE,"7 à 7"}</definedName>
    <definedName name="GRAF_21" hidden="1">{#N/A,#N/A,FALSE,"SITUAÇÃO DIÁRIA ";#N/A,#N/A,FALSE,"7 à 7"}</definedName>
    <definedName name="graf_3" hidden="1">{#N/A,#N/A,FALSE,"SITUAÇÃO DIÁRIA ";#N/A,#N/A,FALSE,"7 à 7"}</definedName>
    <definedName name="Grafico">#N/A</definedName>
    <definedName name="GráficoICD" hidden="1">#N/A</definedName>
    <definedName name="GRF" hidden="1">{"'RR'!$A$2:$E$81"}</definedName>
    <definedName name="grtgert" hidden="1">{#N/A,#N/A,TRUE,"indice";#N/A,#N/A,TRUE,"indicadores";#N/A,#N/A,TRUE,"comentarios"}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YHU6J">#N/A</definedName>
    <definedName name="GYU" hidden="1">{"'ReceitaLiquidaME'!$AA$25:$AN$32"}</definedName>
    <definedName name="h" hidden="1">#REF!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fh" hidden="1">{"'REL CUSTODIF'!$B$1:$H$72"}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hhh" hidden="1">{"'ReceitaLiquidaME'!$AA$25:$AN$32"}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lhl">#REF!</definedName>
    <definedName name="HK">#REF!</definedName>
    <definedName name="hoje">#REF!</definedName>
    <definedName name="horas">#REF!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tml" hidden="1">{"'Rend_Op'!$A$41:$AG$43"}</definedName>
    <definedName name="HTML_CodePage" hidden="1">1252</definedName>
    <definedName name="HTML_Control" hidden="1">{"'ReceitaLiquidaME'!$AA$25:$AN$32"}</definedName>
    <definedName name="HTML_Control_2" hidden="1">{"'ReceitaLiquidaME'!$AA$25:$AN$32"}</definedName>
    <definedName name="HTML_Control1" hidden="1">{"'Placar Intranet'!$A$2:$K$24"}</definedName>
    <definedName name="HTML_Description" hidden="1">""</definedName>
    <definedName name="HTML_Email" hidden="1">""</definedName>
    <definedName name="HTML_Header" hidden="1">""</definedName>
    <definedName name="HTML_LastUpdate" hidden="1">"15/08/2000 (Atualização Mensal)"</definedName>
    <definedName name="HTML_LineAfter" hidden="1">FALSE</definedName>
    <definedName name="HTML_LineBefore" hidden="1">FALSE</definedName>
    <definedName name="HTML_Name" hidden="1">"GACON (866-4325)"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"C:\Performance_Intranet\outrosindicadores\indicadoresrh.htm"</definedName>
    <definedName name="HTML_PathTemplate" hidden="1">"C:\WINDOWS\Desktop\HTMLTemp.htm"</definedName>
    <definedName name="HTML_Title" hidden="1">""</definedName>
    <definedName name="HU" hidden="1">{"'gráf jan00'!$A$1:$AK$41"}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D_UGCCATDT">#REF!</definedName>
    <definedName name="Identificação_EFVM" hidden="1">{"'RR'!$A$2:$E$81"}</definedName>
    <definedName name="im">#REF!</definedName>
    <definedName name="imp">#REF!</definedName>
    <definedName name="import_alta">#REF!</definedName>
    <definedName name="import_baixa">#REF!</definedName>
    <definedName name="import_media">#REF!</definedName>
    <definedName name="Importação">#REF!</definedName>
    <definedName name="imposto">#REF!</definedName>
    <definedName name="imposto_depois">#REF!</definedName>
    <definedName name="impressão">#REF!</definedName>
    <definedName name="in" hidden="1">{#N/A,#N/A,FALSE,"DEF1";#N/A,#N/A,FALSE,"DEF2";#N/A,#N/A,FALSE,"DEF3"}</definedName>
    <definedName name="incluir" hidden="1">TRUE</definedName>
    <definedName name="Indicador_Desempenho">#REF!</definedName>
    <definedName name="Inicio">#N/A</definedName>
    <definedName name="Intran" hidden="1">{"'teste'!$B$2:$R$49"}</definedName>
    <definedName name="Inv_aprovado">#REF!</definedName>
    <definedName name="INV_ECON_MENSAL" hidden="1">{#N/A,#N/A,FALSE,"DEF1";#N/A,#N/A,FALSE,"DEF2";#N/A,#N/A,FALSE,"DEF3"}</definedName>
    <definedName name="inv_financ_Mensal_desemb" hidden="1">{#N/A,#N/A,FALSE,"DEF1";#N/A,#N/A,FALSE,"DEF2";#N/A,#N/A,FALSE,"DEF3"}</definedName>
    <definedName name="investimento">#REF!</definedName>
    <definedName name="Investimento_Ano_Anterior">#REF!</definedName>
    <definedName name="Investimento_Ano0">#REF!</definedName>
    <definedName name="Investimento_Ano1">#REF!</definedName>
    <definedName name="Investimento_Ano2">#REF!</definedName>
    <definedName name="Investimento_Ano3">#REF!</definedName>
    <definedName name="Investimento_Ano4">#REF!</definedName>
    <definedName name="Investimento_Ano5">#REF!</definedName>
    <definedName name="Investimento_Ano6">#REF!</definedName>
    <definedName name="Investimento_Total_RS">#REF!</definedName>
    <definedName name="Investimento_Total_US">#REF!</definedName>
    <definedName name="Investir">#REF!</definedName>
    <definedName name="Investir_04">#REF!</definedName>
    <definedName name="Investir_4">#REF!</definedName>
    <definedName name="IS">#REF!</definedName>
    <definedName name="ise">#REF!</definedName>
    <definedName name="iueyiewijksjdkjksa">#REF!</definedName>
    <definedName name="ivan" hidden="1">{"'gráf jan00'!$A$1:$AK$41"}</definedName>
    <definedName name="j" hidden="1">{"'CptDifn'!$AA$32:$AG$32"}</definedName>
    <definedName name="JAJA">#N/A</definedName>
    <definedName name="Jan_Al">#REF!</definedName>
    <definedName name="Jan_Fe">#REF!</definedName>
    <definedName name="Jan_Mn">#REF!</definedName>
    <definedName name="Jan_P">#REF!</definedName>
    <definedName name="Jan_Si">#REF!</definedName>
    <definedName name="janal">#REF!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ujk" hidden="1">{#N/A,#N/A,FALSE,"PCOL"}</definedName>
    <definedName name="JUL" hidden="1">{"'280700'!$A$7:$L$37"}</definedName>
    <definedName name="Justificativa" hidden="1">{"'Complexo Itabira'!$D$1:$N$95"}</definedName>
    <definedName name="Justificativa_estrategia">#REF!</definedName>
    <definedName name="JUSTIFICATIVAS" hidden="1">{"'Complexo Itabira'!$D$1:$N$95"}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{#N/A,#N/A,FALSE,"PCOL"}</definedName>
    <definedName name="Kd">#REF!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hl">#REF!</definedName>
    <definedName name="kmh" hidden="1">{#N/A,#N/A,TRUE,"Cover sheet";#N/A,#N/A,TRUE,"DCF analysis";#N/A,#N/A,TRUE,"WACC calculation"}</definedName>
    <definedName name="ko" hidden="1">{#N/A,#N/A,FALSE,"PCOL"}</definedName>
    <definedName name="kskjiwui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BA">#REF!</definedName>
    <definedName name="LDFMTPISEGO">#REF!</definedName>
    <definedName name="LEASING">#REF!</definedName>
    <definedName name="LES">#REF!</definedName>
    <definedName name="let" hidden="1">"Quadro Logistico Maio"</definedName>
    <definedName name="LI">#REF!</definedName>
    <definedName name="LILIAN">#REF!</definedName>
    <definedName name="Limite_reduc">#REF!</definedName>
    <definedName name="LIT_0901">#REF!</definedName>
    <definedName name="LIT_0902">#REF!</definedName>
    <definedName name="LIT_0903">#REF!</definedName>
    <definedName name="LIT_0904">#REF!</definedName>
    <definedName name="LIT_0905">#REF!</definedName>
    <definedName name="LIT_0906">#REF!</definedName>
    <definedName name="LIT_0907">#REF!</definedName>
    <definedName name="LIT_1001">#REF!</definedName>
    <definedName name="LIT_1302">#REF!</definedName>
    <definedName name="LIT_2003">#REF!</definedName>
    <definedName name="LIT_2005">#REF!</definedName>
    <definedName name="LIT_2006">#REF!</definedName>
    <definedName name="LIT_2007">#REF!</definedName>
    <definedName name="LIT_2008">#REF!</definedName>
    <definedName name="LIT_2009">#REF!</definedName>
    <definedName name="LIT_2010">#REF!</definedName>
    <definedName name="LIT_7707">#REF!</definedName>
    <definedName name="LIT_7708">#REF!</definedName>
    <definedName name="LIT_8102">#REF!</definedName>
    <definedName name="LIT_8104">#REF!</definedName>
    <definedName name="LIT_8105">#REF!</definedName>
    <definedName name="LIT_8106">#REF!</definedName>
    <definedName name="LIT_8108">#REF!</definedName>
    <definedName name="LIT_8109">#REF!</definedName>
    <definedName name="LIT_8111">#REF!</definedName>
    <definedName name="LIT_8112">#REF!</definedName>
    <definedName name="LIT_8113">#REF!</definedName>
    <definedName name="LIT_8114">#REF!</definedName>
    <definedName name="LIT_8115">#REF!</definedName>
    <definedName name="LLL">#REF!</definedName>
    <definedName name="LMA">#REF!</definedName>
    <definedName name="LMG">#REF!</definedName>
    <definedName name="lmlm">#REF!</definedName>
    <definedName name="Localidade">#REF!</definedName>
    <definedName name="Lote">#N/A</definedName>
    <definedName name="LoteBolota">#N/A</definedName>
    <definedName name="LoteBonito2" hidden="1">{"'Resumo2'!$B$2:$J$23"}</definedName>
    <definedName name="LPA">#REF!</definedName>
    <definedName name="LRJ">#REF!</definedName>
    <definedName name="LS01Maior">#REF!</definedName>
    <definedName name="LS01Menor">#REF!</definedName>
    <definedName name="LS02Maior">#REF!</definedName>
    <definedName name="LS02Menor">#REF!</definedName>
    <definedName name="LS03Maior">#REF!</definedName>
    <definedName name="LS03Menor">#REF!</definedName>
    <definedName name="LSP">#REF!</definedName>
    <definedName name="Macro1">#REF!</definedName>
    <definedName name="Macro10">#N/A</definedName>
    <definedName name="macro100">#N/A</definedName>
    <definedName name="Macro11">#N/A</definedName>
    <definedName name="macro1111">#N/A</definedName>
    <definedName name="Macro12">#REF!</definedName>
    <definedName name="Macro13">#REF!</definedName>
    <definedName name="Macro14">#REF!</definedName>
    <definedName name="Macro15">#REF!</definedName>
    <definedName name="MACRO150">#N/A</definedName>
    <definedName name="Macro16">#REF!</definedName>
    <definedName name="Macro17">#REF!</definedName>
    <definedName name="Macro18">#REF!</definedName>
    <definedName name="Macro19">#REF!</definedName>
    <definedName name="Macro2">#REF!</definedName>
    <definedName name="Macro20">#REF!</definedName>
    <definedName name="Macro21">#REF!</definedName>
    <definedName name="Macro22">#REF!</definedName>
    <definedName name="Macro23">#REF!</definedName>
    <definedName name="Macro24">#REF!</definedName>
    <definedName name="Macro25">#REF!</definedName>
    <definedName name="Macro26">#REF!</definedName>
    <definedName name="Macro27">#REF!</definedName>
    <definedName name="Macro28">#REF!</definedName>
    <definedName name="MACRO29">#REF!</definedName>
    <definedName name="Macro3">#N/A</definedName>
    <definedName name="Macro30">#N/A</definedName>
    <definedName name="Macro32">#REF!</definedName>
    <definedName name="Macro33">#REF!</definedName>
    <definedName name="Macro34">#REF!</definedName>
    <definedName name="Macro35">#REF!</definedName>
    <definedName name="Macro37">#REF!</definedName>
    <definedName name="Macro38">#REF!</definedName>
    <definedName name="Macro39">#REF!</definedName>
    <definedName name="Macro40">#REF!</definedName>
    <definedName name="Macro41">#REF!</definedName>
    <definedName name="Macro43">#REF!</definedName>
    <definedName name="Macro44">#REF!</definedName>
    <definedName name="MACRO45">#REF!</definedName>
    <definedName name="Macro46">#REF!</definedName>
    <definedName name="Macro47">#REF!</definedName>
    <definedName name="Macro48">#REF!</definedName>
    <definedName name="Macro49">#REF!</definedName>
    <definedName name="Macro5">#N/A</definedName>
    <definedName name="Macro50">#REF!</definedName>
    <definedName name="Macro51">#REF!</definedName>
    <definedName name="Macro52">#REF!</definedName>
    <definedName name="Macro53">#REF!</definedName>
    <definedName name="Macro54">#REF!</definedName>
    <definedName name="MACRO55">#REF!</definedName>
    <definedName name="Macro56">#REF!</definedName>
    <definedName name="Macro57">#REF!</definedName>
    <definedName name="Macro6">#REF!</definedName>
    <definedName name="Macro63">#REF!</definedName>
    <definedName name="MACRO65">#REF!</definedName>
    <definedName name="Macro7">#REF!</definedName>
    <definedName name="Macro70">#REF!</definedName>
    <definedName name="Macro71">#REF!</definedName>
    <definedName name="Macro72">#REF!</definedName>
    <definedName name="Macro73">#REF!</definedName>
    <definedName name="Macro74">#REF!</definedName>
    <definedName name="Macro75">#REF!</definedName>
    <definedName name="Macro76">#REF!</definedName>
    <definedName name="Macro77">#REF!</definedName>
    <definedName name="Macro78">#REF!</definedName>
    <definedName name="Macro79">#REF!</definedName>
    <definedName name="Macro8">#REF!</definedName>
    <definedName name="Macro80">#REF!</definedName>
    <definedName name="MACRO85">#REF!</definedName>
    <definedName name="Macro9">#REF!</definedName>
    <definedName name="MACRO95">#REF!</definedName>
    <definedName name="mal" hidden="1">{"'Quadro'!$A$4:$BG$78"}</definedName>
    <definedName name="MANGANES">#REF!</definedName>
    <definedName name="MANU" hidden="1">{"'Placar Intranet'!$A$2:$K$24"}</definedName>
    <definedName name="Manutencao">#REF!</definedName>
    <definedName name="Manutenções">#REF!</definedName>
    <definedName name="MAR" hidden="1">{"'RR'!$A$2:$E$81"}</definedName>
    <definedName name="margem_ct">#REF!</definedName>
    <definedName name="MARIA" hidden="1">{"'gráf jan00'!$A$1:$AK$41"}</definedName>
    <definedName name="MATPRI">#REF!</definedName>
    <definedName name="MatrizCorrel2003">#REF!</definedName>
    <definedName name="MáxPFCJ">#REF!</definedName>
    <definedName name="MáxPPLX">#REF!</definedName>
    <definedName name="mercia" hidden="1">{"'REL CUSTODIF'!$B$1:$H$72"}</definedName>
    <definedName name="MES">#REF!</definedName>
    <definedName name="Mesant">#REF!</definedName>
    <definedName name="META">#REF!</definedName>
    <definedName name="metasantigas" hidden="1">{"'gráf jan00'!$A$1:$AK$41"}</definedName>
    <definedName name="min_0901">#REF!</definedName>
    <definedName name="min_0902">#REF!</definedName>
    <definedName name="min_0903">#REF!</definedName>
    <definedName name="min_0904">#REF!</definedName>
    <definedName name="min_0905">#REF!</definedName>
    <definedName name="min_0906">#REF!</definedName>
    <definedName name="min_0907">#REF!</definedName>
    <definedName name="min_1001">#REF!</definedName>
    <definedName name="min_1302">#REF!</definedName>
    <definedName name="min_2003">#REF!</definedName>
    <definedName name="min_2005">#REF!</definedName>
    <definedName name="min_2006">#REF!</definedName>
    <definedName name="min_2007">#REF!</definedName>
    <definedName name="min_2008">#REF!</definedName>
    <definedName name="min_2009">#REF!</definedName>
    <definedName name="min_2010">#REF!</definedName>
    <definedName name="min_7707">#REF!</definedName>
    <definedName name="min_7708">#REF!</definedName>
    <definedName name="min_8102">#REF!</definedName>
    <definedName name="min_8104">#REF!</definedName>
    <definedName name="min_8105">#REF!</definedName>
    <definedName name="min_8106">#REF!</definedName>
    <definedName name="min_8108">#REF!</definedName>
    <definedName name="min_8109">#REF!</definedName>
    <definedName name="min_8111">#REF!</definedName>
    <definedName name="min_8112">#REF!</definedName>
    <definedName name="min_8113">#REF!</definedName>
    <definedName name="min_8114">#REF!</definedName>
    <definedName name="min_8115">#REF!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ínPFCJ">#REF!</definedName>
    <definedName name="MínPPLX">#REF!</definedName>
    <definedName name="mm">#REF!</definedName>
    <definedName name="mmm" hidden="1">#REF!</definedName>
    <definedName name="mmmm" hidden="1">{"'Quadro'!$A$4:$BG$78"}</definedName>
    <definedName name="MOA" hidden="1">{#N/A,#N/A,FALSE,"DEF1";#N/A,#N/A,FALSE,"DEF2";#N/A,#N/A,FALSE,"DEF3"}</definedName>
    <definedName name="MODELO" hidden="1">{#N/A,#N/A,FALSE,"SITUAÇÃO DIÁRIA ";#N/A,#N/A,FALSE,"7 à 7"}</definedName>
    <definedName name="Módulo1.Macro1">#REF!</definedName>
    <definedName name="Módulo1.Macro2">#REF!</definedName>
    <definedName name="Módulo1.Macro3">#REF!</definedName>
    <definedName name="Módulo1.Macro4">#REF!</definedName>
    <definedName name="Módulo1.Macro5">#REF!</definedName>
    <definedName name="Módulo1.Macro6">#REF!</definedName>
    <definedName name="mshare">#REF!</definedName>
    <definedName name="MULHRT" hidden="1">{"'gráf jan00'!$A$1:$AK$41"}</definedName>
    <definedName name="n" hidden="1">{"'CptDifn'!$AA$32:$AG$32"}</definedName>
    <definedName name="N.Ferrosos" hidden="1">{"'CptDifn'!$AA$32:$AG$32"}</definedName>
    <definedName name="N4E">#REF!</definedName>
    <definedName name="N4WC">#REF!</definedName>
    <definedName name="N4WN">#REF!</definedName>
    <definedName name="N5E">#REF!</definedName>
    <definedName name="N5W">#REF!</definedName>
    <definedName name="n5wa">#REF!</definedName>
    <definedName name="nathalia" hidden="1">{"'IndicadoresRH'!$AA$50:$AP$67"}</definedName>
    <definedName name="Natureza">#REF!</definedName>
    <definedName name="negócio" hidden="1">{"'gráf jan00'!$A$1:$AK$41"}</definedName>
    <definedName name="newDC" hidden="1">{#N/A,#N/A,TRUE,"Cover sheet";#N/A,#N/A,TRUE,"DCF analysis";#N/A,#N/A,TRUE,"WACC calculation"}</definedName>
    <definedName name="NewMatrix">#REF!</definedName>
    <definedName name="NewMatrix2004">#REF!</definedName>
    <definedName name="nnln">#REF!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p">#REF!</definedName>
    <definedName name="NP2noN6F1">#REF!</definedName>
    <definedName name="NP2noNACJ">#REF!</definedName>
    <definedName name="NP2noNBCJ">#REF!</definedName>
    <definedName name="NP2noNPCJ">#REF!</definedName>
    <definedName name="NP2rom">#REF!</definedName>
    <definedName name="NP3noNACJ">#REF!</definedName>
    <definedName name="NP3noNBCJ">#REF!</definedName>
    <definedName name="NP3noNPCJ">#REF!</definedName>
    <definedName name="NP3rom">#REF!</definedName>
    <definedName name="NvsASD">"V2001-12-31"</definedName>
    <definedName name="NvsAutoDrillOk">"VN"</definedName>
    <definedName name="NvsElapsedTime">0.00128807870351011</definedName>
    <definedName name="NvsEndTime">36969.4292877315</definedName>
    <definedName name="NvsInstSpec">"%,FBU_FILIAL,TENTIDADES,NTMA"</definedName>
    <definedName name="NvsLayoutType">"M3"</definedName>
    <definedName name="NvsPanelEffdt">"V1990-01-01"</definedName>
    <definedName name="NvsPanelSetid">"VMODEL"</definedName>
    <definedName name="NvsReqBU">"VTEL"</definedName>
    <definedName name="NvsReqBUOnly">"VN"</definedName>
    <definedName name="NvsTransLed">"VN"</definedName>
    <definedName name="NvsTreeASD">"V2050-01-01"</definedName>
    <definedName name="NvsValTbl.BUSINESS_UNIT">"BUS_UNIT_TBL_GL"</definedName>
    <definedName name="o" hidden="1">{"'CptDifn'!$AA$32:$AG$32"}</definedName>
    <definedName name="Objetivo">#REF!</definedName>
    <definedName name="Objeto">#REF!</definedName>
    <definedName name="Ocorrencias">#REF!</definedName>
    <definedName name="OD">#REF!</definedName>
    <definedName name="OM">OFFSET(#REF!,0,0,COUNTA(#REF!)-1,1)</definedName>
    <definedName name="OM_0901">#REF!</definedName>
    <definedName name="OM_0902">#REF!</definedName>
    <definedName name="OM_0903">#REF!</definedName>
    <definedName name="OM_0904">#REF!</definedName>
    <definedName name="OM_0905">#REF!</definedName>
    <definedName name="OM_0906">#REF!</definedName>
    <definedName name="OM_0907">#REF!</definedName>
    <definedName name="OM_1001">#REF!</definedName>
    <definedName name="OM_1302">#REF!</definedName>
    <definedName name="OM_2003">#REF!</definedName>
    <definedName name="OM_2005">#REF!</definedName>
    <definedName name="OM_2006">#REF!</definedName>
    <definedName name="OM_2007">#REF!</definedName>
    <definedName name="OM_2008">#REF!</definedName>
    <definedName name="OM_2009">#REF!</definedName>
    <definedName name="OM_2010">#REF!</definedName>
    <definedName name="OM_7707">#REF!</definedName>
    <definedName name="OM_7708">#REF!</definedName>
    <definedName name="OM_8102">#REF!</definedName>
    <definedName name="OM_8104">#REF!</definedName>
    <definedName name="OM_8105">#REF!</definedName>
    <definedName name="OM_8106">#REF!</definedName>
    <definedName name="OM_8108">#REF!</definedName>
    <definedName name="OM_8109">#REF!</definedName>
    <definedName name="OM_8111">#REF!</definedName>
    <definedName name="OM_8112">#REF!</definedName>
    <definedName name="OM_8113">#REF!</definedName>
    <definedName name="OM_8114">#REF!</definedName>
    <definedName name="OM_8115">#REF!</definedName>
    <definedName name="OMPROD">OFFSET(#REF!,0,0,COUNTA(#REF!)-1,1)</definedName>
    <definedName name="OMREC">OFFSET(#REF!,0,0,COUNTA(#REF!)-1,1)</definedName>
    <definedName name="OMS">#REF!</definedName>
    <definedName name="once">#REF!</definedName>
    <definedName name="OOO" hidden="1">{#N/A,#N/A,FALSE,"SITUAÇÃO DIÁRIA ";#N/A,#N/A,FALSE,"7 à 7"}</definedName>
    <definedName name="OperChv">#REF!</definedName>
    <definedName name="OR_0901">#REF!</definedName>
    <definedName name="OR_0902">#REF!</definedName>
    <definedName name="OR_0903">#REF!</definedName>
    <definedName name="OR_0904">#REF!</definedName>
    <definedName name="OR_0905">#REF!</definedName>
    <definedName name="OR_0906">#REF!</definedName>
    <definedName name="OR_0907">#REF!</definedName>
    <definedName name="OR_1001">#REF!</definedName>
    <definedName name="OR_1302">#REF!</definedName>
    <definedName name="OR_2003">#REF!</definedName>
    <definedName name="OR_2005">#REF!</definedName>
    <definedName name="OR_2006">#REF!</definedName>
    <definedName name="OR_2007">#REF!</definedName>
    <definedName name="OR_2008">#REF!</definedName>
    <definedName name="OR_2009">#REF!</definedName>
    <definedName name="OR_2010">#REF!</definedName>
    <definedName name="OR_7707">#REF!</definedName>
    <definedName name="OR_7708">#REF!</definedName>
    <definedName name="OR_8102">#REF!</definedName>
    <definedName name="OR_8104">#REF!</definedName>
    <definedName name="OR_8105">#REF!</definedName>
    <definedName name="OR_8106">#REF!</definedName>
    <definedName name="OR_8108">#REF!</definedName>
    <definedName name="OR_8109">#REF!</definedName>
    <definedName name="OR_8111">#REF!</definedName>
    <definedName name="OR_8112">#REF!</definedName>
    <definedName name="OR_8113">#REF!</definedName>
    <definedName name="OR_8114">#REF!</definedName>
    <definedName name="OR_8115">#REF!</definedName>
    <definedName name="OUT" hidden="1">{"'280700'!$A$7:$L$37"}</definedName>
    <definedName name="outo">#REF!</definedName>
    <definedName name="oVolacu">#REF!</definedName>
    <definedName name="oVolAno">#REF!</definedName>
    <definedName name="oVolchv">#REF!</definedName>
    <definedName name="OVOLFAT">#REF!</definedName>
    <definedName name="oVolmes">#REF!</definedName>
    <definedName name="P" hidden="1">{"'gráf jan00'!$A$1:$AK$41"}</definedName>
    <definedName name="Pal_Workbook_GUID" hidden="1">"R8KDBISBJRVIMCLBL32JIFE2"</definedName>
    <definedName name="pAnoRL">#REF!</definedName>
    <definedName name="pAnoUS">#REF!</definedName>
    <definedName name="PassaExtenso">#REF!</definedName>
    <definedName name="pata" hidden="1">{#N/A,#N/A,FALSE,"SITUAÇÃO DIÁRIA ";#N/A,#N/A,FALSE,"7 à 7"}</definedName>
    <definedName name="Payback">#REF!</definedName>
    <definedName name="PAZ.COM.N" hidden="1">{"'TelRDAV'!$A$1:$T$20"}</definedName>
    <definedName name="PCRNATDT">#REF!</definedName>
    <definedName name="percentual_eq">#REF!</definedName>
    <definedName name="perda">#REF!</definedName>
    <definedName name="perdaE_0901">#REF!</definedName>
    <definedName name="perdaE_0902">#REF!</definedName>
    <definedName name="perdaE_0903">#REF!</definedName>
    <definedName name="perdaE_0904">#REF!</definedName>
    <definedName name="perdaE_0905">#REF!</definedName>
    <definedName name="perdaE_0906">#REF!</definedName>
    <definedName name="perdaE_0907">#REF!</definedName>
    <definedName name="perdaE_1001">#REF!</definedName>
    <definedName name="perdaE_1302">#REF!</definedName>
    <definedName name="perdaE_2003">#REF!</definedName>
    <definedName name="perdaE_2005">#REF!</definedName>
    <definedName name="perdaE_2006">#REF!</definedName>
    <definedName name="perdaE_2007">#REF!</definedName>
    <definedName name="perdaE_2008">#REF!</definedName>
    <definedName name="perdaE_2009">#REF!</definedName>
    <definedName name="perdaE_2010">#REF!</definedName>
    <definedName name="perdaE_7707">#REF!</definedName>
    <definedName name="perdaE_7708">#REF!</definedName>
    <definedName name="perdaE_8102">#REF!</definedName>
    <definedName name="perdaE_8104">#REF!</definedName>
    <definedName name="perdaE_8105">#REF!</definedName>
    <definedName name="perdaE_8106">#REF!</definedName>
    <definedName name="perdaE_8108">#REF!</definedName>
    <definedName name="perdaE_8109">#REF!</definedName>
    <definedName name="perdaE_8111">#REF!</definedName>
    <definedName name="perdaE_8112">#REF!</definedName>
    <definedName name="perdaE_8113">#REF!</definedName>
    <definedName name="perdaE_8114">#REF!</definedName>
    <definedName name="perdaE_8115">#REF!</definedName>
    <definedName name="perdaM_0901">#REF!</definedName>
    <definedName name="perdaM_0902">#REF!</definedName>
    <definedName name="perdaM_0903">#REF!</definedName>
    <definedName name="perdaM_0904">#REF!</definedName>
    <definedName name="perdaM_0905">#REF!</definedName>
    <definedName name="perdaM_0906">#REF!</definedName>
    <definedName name="perdaM_0907">#REF!</definedName>
    <definedName name="perdaM_1001">#REF!</definedName>
    <definedName name="perdaM_1302">#REF!</definedName>
    <definedName name="perdaM_2003">#REF!</definedName>
    <definedName name="perdaM_2005">#REF!</definedName>
    <definedName name="perdaM_2006">#REF!</definedName>
    <definedName name="perdaM_2007">#REF!</definedName>
    <definedName name="perdaM_2008">#REF!</definedName>
    <definedName name="perdaM_2009">#REF!</definedName>
    <definedName name="perdaM_2010">#REF!</definedName>
    <definedName name="perdaM_7707">#REF!</definedName>
    <definedName name="perdaM_7708">#REF!</definedName>
    <definedName name="perdaM_8102">#REF!</definedName>
    <definedName name="perdaM_8104">#REF!</definedName>
    <definedName name="perdaM_8105">#REF!</definedName>
    <definedName name="perdaM_8106">#REF!</definedName>
    <definedName name="perdaM_8108">#REF!</definedName>
    <definedName name="perdaM_8109">#REF!</definedName>
    <definedName name="perdaM_8111">#REF!</definedName>
    <definedName name="perdaM_8112">#REF!</definedName>
    <definedName name="perdaM_8113">#REF!</definedName>
    <definedName name="perdaM_8114">#REF!</definedName>
    <definedName name="perdaM_8115">#REF!</definedName>
    <definedName name="perdaO_0901">#REF!</definedName>
    <definedName name="perdaO_0902">#REF!</definedName>
    <definedName name="perdaO_0903">#REF!</definedName>
    <definedName name="perdaO_0904">#REF!</definedName>
    <definedName name="perdaO_0905">#REF!</definedName>
    <definedName name="perdaO_0906">#REF!</definedName>
    <definedName name="perdaO_0907">#REF!</definedName>
    <definedName name="perdaO_1001">#REF!</definedName>
    <definedName name="perdaO_1302">#REF!</definedName>
    <definedName name="perdaO_2003">#REF!</definedName>
    <definedName name="perdaO_2005">#REF!</definedName>
    <definedName name="perdaO_2006">#REF!</definedName>
    <definedName name="perdaO_2007">#REF!</definedName>
    <definedName name="perdaO_2008">#REF!</definedName>
    <definedName name="perdaO_2009">#REF!</definedName>
    <definedName name="perdaO_2010">#REF!</definedName>
    <definedName name="perdaO_7707">#REF!</definedName>
    <definedName name="perdaO_7708">#REF!</definedName>
    <definedName name="perdaO_8102">#REF!</definedName>
    <definedName name="perdaO_8104">#REF!</definedName>
    <definedName name="perdaO_8105">#REF!</definedName>
    <definedName name="perdaO_8106">#REF!</definedName>
    <definedName name="perdaO_8108">#REF!</definedName>
    <definedName name="perdaO_8109">#REF!</definedName>
    <definedName name="perdaO_8111">#REF!</definedName>
    <definedName name="perdaO_8112">#REF!</definedName>
    <definedName name="perdaO_8113">#REF!</definedName>
    <definedName name="perdaO_8114">#REF!</definedName>
    <definedName name="perdaO_8115">#REF!</definedName>
    <definedName name="perdas">#REF!</definedName>
    <definedName name="pfAnoProp">#REF!</definedName>
    <definedName name="PFCJdia">#REF!</definedName>
    <definedName name="pGasanoUS">#REF!</definedName>
    <definedName name="plan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2">#N/A</definedName>
    <definedName name="Planilha" hidden="1">#REF!</definedName>
    <definedName name="Planos" hidden="1">{"'Rend_Op'!$A$41:$AG$43"}</definedName>
    <definedName name="Portos1" hidden="1">{"'RR'!$A$2:$E$81"}</definedName>
    <definedName name="pos_carregamento">#REF!</definedName>
    <definedName name="pot_util">#REF!</definedName>
    <definedName name="pot_util_asis">#REF!</definedName>
    <definedName name="PPLXdia">#REF!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RA" hidden="1">{"'CptDifn'!$AA$32:$AG$32"}</definedName>
    <definedName name="prejuizo">#REF!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V_EXT">#N/A</definedName>
    <definedName name="PREV_INT">#N/A</definedName>
    <definedName name="PREV_MERC">#N/A</definedName>
    <definedName name="_xlnm.Print_Area" localSheetId="1">'ACOMPANHAMENTO USINA'!$A$1:$AP$165</definedName>
    <definedName name="_xlnm.Print_Area" localSheetId="2">'MSG USINA'!$B$3:$AP$111</definedName>
    <definedName name="_xlnm.Print_Area" localSheetId="8">'USE PARA FECHAMENTO DO DIA'!$A$1:$AP$164</definedName>
    <definedName name="_xlnm.Print_Area">#REF!</definedName>
    <definedName name="Prioridade">#REF!</definedName>
    <definedName name="priorização" hidden="1">{"'gráf jan00'!$A$1:$AK$41"}</definedName>
    <definedName name="PRIPAR">#REF!</definedName>
    <definedName name="Prod" hidden="1">{"'IndicadoresRH'!$AA$50:$AP$67"}</definedName>
    <definedName name="ProdChv">#REF!</definedName>
    <definedName name="produt">#REF!</definedName>
    <definedName name="PRODUTIVIDADE">#REF!</definedName>
    <definedName name="Prog.Excel._Set" hidden="1">{"'teste'!$B$2:$R$49"}</definedName>
    <definedName name="programação" hidden="1">{"'IndicadoresRH'!$AA$50:$AP$67"}</definedName>
    <definedName name="proj03N">#REF!</definedName>
    <definedName name="proj04N">#REF!</definedName>
    <definedName name="ProjDescarga">#REF!</definedName>
    <definedName name="ProjEmbarque">#REF!</definedName>
    <definedName name="Projeto">#REF!</definedName>
    <definedName name="proposta" hidden="1">{"'Quadro'!$A$4:$BG$78"}</definedName>
    <definedName name="PRRA">#REF!</definedName>
    <definedName name="pValchv">#REF!</definedName>
    <definedName name="q" hidden="1">{#N/A,#N/A,FALSE,"PCOL"}</definedName>
    <definedName name="qq" hidden="1">{"'gráf jan00'!$A$1:$AK$41"}</definedName>
    <definedName name="QQQQ" hidden="1">{"'gráf jan00'!$A$1:$AK$41"}</definedName>
    <definedName name="qqqqqq" hidden="1">{"'gráf jan00'!$A$1:$AK$41"}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fd" hidden="1">{#N/A,#N/A,TRUE,"Cover sheet";#N/A,#N/A,TRUE,"INPUTS";#N/A,#N/A,TRUE,"OUTPUTS";#N/A,#N/A,TRUE,"VALUATION"}</definedName>
    <definedName name="QUARPAR">#REF!</definedName>
    <definedName name="que" hidden="1">{#N/A,#N/A,FALSE,"PCOL"}</definedName>
    <definedName name="queda">#REF!</definedName>
    <definedName name="qwqq" hidden="1">{#N/A,#N/A,FALSE,"PCOL"}</definedName>
    <definedName name="qwqw" hidden="1">{#N/A,#N/A,FALSE,"PCOL"}</definedName>
    <definedName name="qwqweq" hidden="1">{#N/A,#N/A,FALSE,"PCOL"}</definedName>
    <definedName name="qwqwq" hidden="1">{#N/A,#N/A,FALSE,"PCOL"}</definedName>
    <definedName name="qwqwsq" hidden="1">{#N/A,#N/A,FALSE,"PCOL"}</definedName>
    <definedName name="Ramal">#REF!</definedName>
    <definedName name="realbrit">#REF!</definedName>
    <definedName name="realbsm1">#REF!</definedName>
    <definedName name="realbsm2">#REF!</definedName>
    <definedName name="realbsm3">#REF!</definedName>
    <definedName name="realbsm4">#REF!</definedName>
    <definedName name="realbsm5">#REF!</definedName>
    <definedName name="realcanga">#REF!</definedName>
    <definedName name="realhf">#REF!</definedName>
    <definedName name="realhopper">#REF!</definedName>
    <definedName name="realmina">#REF!</definedName>
    <definedName name="realprod">#REF!</definedName>
    <definedName name="realrep2">#REF!</definedName>
    <definedName name="realrep6">#REF!</definedName>
    <definedName name="_xlnm.Recorder">#REF!</definedName>
    <definedName name="RecuperaçãoMoagemNova">#REF!</definedName>
    <definedName name="REDUCA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JTYJETYJETYJETY" hidden="1">{"'ReceitaLiquidaME'!$AA$25:$AN$32"}</definedName>
    <definedName name="REMANEJO">OFFSET(#REF!,0,0,COUNTA(#REF!)-1,1)</definedName>
    <definedName name="rent_alta">#REF!</definedName>
    <definedName name="rent_baixa">#REF!</definedName>
    <definedName name="REPRODUÇÃO30052006" hidden="1">{"'Complexo Itabira'!$D$1:$N$95"}</definedName>
    <definedName name="Responsavel">#REF!</definedName>
    <definedName name="resum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sumo1" hidden="1">{"'teste'!$B$2:$R$49"}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isco">#REF!</definedName>
    <definedName name="risco_alto">#REF!</definedName>
    <definedName name="risco_baixo">#REF!</definedName>
    <definedName name="risco_medio">#REF!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AutoStopPercChange">15</definedName>
    <definedName name="RiskBeforeRecalcMacro" hidden="1">""</definedName>
    <definedName name="RiskBeforeSimMacro" hidden="1">""</definedName>
    <definedName name="RiskCollectDistributionSamples">0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TRUE</definedName>
    <definedName name="RiskMultipleCPUSupportEnabled" hidden="1">TRUE</definedName>
    <definedName name="RiskNumIterations">100</definedName>
    <definedName name="RiskNumSimulations">1</definedName>
    <definedName name="RiskPauseOnError">TRUE</definedName>
    <definedName name="RiskRealTimeResults">TRUE</definedName>
    <definedName name="RiskReportGraphFormat">0</definedName>
    <definedName name="RiskResultsUpdateFreq">500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2</definedName>
    <definedName name="RiskTemplateSheetName">"myTemplate"</definedName>
    <definedName name="RiskUpdateDisplay">TRUE</definedName>
    <definedName name="RiskUseDifferentSeedForEachSim">FALSE</definedName>
    <definedName name="RiskUseFixedSeed">FALSE</definedName>
    <definedName name="RiskUseMultipleCPUs">FALSE</definedName>
    <definedName name="RO">#REF!</definedName>
    <definedName name="Roce">#REF!</definedName>
    <definedName name="rodar" hidden="1">{"'gráf jan00'!$A$1:$AK$41"}</definedName>
    <definedName name="rodotrilho">#N/A</definedName>
    <definedName name="rom">#N/A</definedName>
    <definedName name="ROMESTOC">OFFSET(#REF!,0,0,COUNTA(#REF!)-1,1)</definedName>
    <definedName name="roy">#REF!</definedName>
    <definedName name="s" hidden="1">{#N/A,#N/A,FALSE,"PCOL"}</definedName>
    <definedName name="sac" hidden="1">{#N/A,#N/A,FALSE,"PCOL"}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do">#REF!</definedName>
    <definedName name="sansara" hidden="1">{"'Quadro'!$A$4:$BG$78"}</definedName>
    <definedName name="sap">#REF!</definedName>
    <definedName name="saquinho" hidden="1">{#N/A,#N/A,FALSE,"PCOL"}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y68ujuj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as" hidden="1">{"'Quadro'!$A$4:$BG$78"}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cissor_Lift">#REF!</definedName>
    <definedName name="s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FFDFDF" hidden="1">{"'gráf jan00'!$A$1:$AK$41"}</definedName>
    <definedName name="sdsd">#REF!</definedName>
    <definedName name="sdsde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sxaewewqeq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dsa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GPAR">#REF!</definedName>
    <definedName name="sens_asis_simn">#REF!</definedName>
    <definedName name="sens_custofixo">#REF!</definedName>
    <definedName name="sens_energ">#REF!</definedName>
    <definedName name="sens_insumos">#REF!</definedName>
    <definedName name="sens_price_simn_mi">#REF!</definedName>
    <definedName name="separator">#REF!</definedName>
    <definedName name="SET" hidden="1">{"'280700'!$A$7:$L$37"}</definedName>
    <definedName name="sfdhykiloewazx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f" hidden="1">#REF!</definedName>
    <definedName name="SFRY6Y6" hidden="1">#REF!</definedName>
    <definedName name="SFTrom">#REF!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mnex">#REF!</definedName>
    <definedName name="simnin">#REF!</definedName>
    <definedName name="ss" hidden="1">{#N/A,#N/A,FALSE,"PCOL"}</definedName>
    <definedName name="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" hidden="1">{"'CptDifn'!$AA$32:$AG$32"}</definedName>
    <definedName name="TableName">"Dummy"</definedName>
    <definedName name="Taxa_de_Desconto">#REF!</definedName>
    <definedName name="taxas">#REF!</definedName>
    <definedName name="TEMP" hidden="1">{#N/A,#N/A,FALSE,"PCOL"}</definedName>
    <definedName name="tempAE">#REF!</definedName>
    <definedName name="tempo" hidden="1">{#N/A,#N/A,FALSE,"PCOL"}</definedName>
    <definedName name="ter" hidden="1">#REF!</definedName>
    <definedName name="TERPAR">#REF!</definedName>
    <definedName name="teste">_L78C2:_L82C3</definedName>
    <definedName name="teste10" hidden="1">{"'Quadro'!$A$4:$BG$78"}</definedName>
    <definedName name="teste20" hidden="1">{"'Quadro'!$A$4:$BG$78"}</definedName>
    <definedName name="teste3" hidden="1">{"'Quadro'!$A$4:$BG$78"}</definedName>
    <definedName name="testeA" hidden="1">{"'Quadro'!$A$4:$BG$78"}</definedName>
    <definedName name="TextRefCopyRangeCount" hidden="1">1</definedName>
    <definedName name="TI">#REF!</definedName>
    <definedName name="Tipo">#REF!</definedName>
    <definedName name="TIR">#REF!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L01Menor">#REF!</definedName>
    <definedName name="TL02Menor">#REF!</definedName>
    <definedName name="ton">#REF!</definedName>
    <definedName name="Tool">#REF!</definedName>
    <definedName name="TOTAL">#REF!</definedName>
    <definedName name="TotalCarajas">#REF!</definedName>
    <definedName name="totalminas">#REF!</definedName>
    <definedName name="TP">#REF!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m">#REF!</definedName>
    <definedName name="Trem_de_SFCK">#REF!</definedName>
    <definedName name="trezeabril" hidden="1">{"'gráf jan00'!$A$1:$AK$41"}</definedName>
    <definedName name="TREZEABRILL" hidden="1">{"'gráf jan00'!$A$1:$AK$41"}</definedName>
    <definedName name="trezeag" hidden="1">{"'gráf jan00'!$A$1:$AK$41"}</definedName>
    <definedName name="trezeagosto" hidden="1">{"'gráf jan00'!$A$1:$AK$41"}</definedName>
    <definedName name="trezeagosto2" hidden="1">{"'gráf jan00'!$A$1:$AK$41"}</definedName>
    <definedName name="trezeagosto3" hidden="1">{"'gráf jan00'!$A$1:$AK$41"}</definedName>
    <definedName name="trezeagosto4" hidden="1">{"'gráf jan00'!$A$1:$AK$41"}</definedName>
    <definedName name="trezeagosto5" hidden="1">{"'gráf jan00'!$A$1:$AK$41"}</definedName>
    <definedName name="trezeagosto6" hidden="1">{"'gráf jan00'!$A$1:$AK$41"}</definedName>
    <definedName name="trezeagosto7" hidden="1">{"'gráf jan00'!$A$1:$AK$41"}</definedName>
    <definedName name="trezeagosto8" hidden="1">{"'gráf jan00'!$A$1:$AK$41"}</definedName>
    <definedName name="trezejulho" hidden="1">{"'gráf jan00'!$A$1:$AK$41"}</definedName>
    <definedName name="trezejulho2" hidden="1">{"'gráf jan00'!$A$1:$AK$41"}</definedName>
    <definedName name="trezejulho3" hidden="1">{"'gráf jan00'!$A$1:$AK$41"}</definedName>
    <definedName name="trezejun" hidden="1">{"'gráf jan00'!$A$1:$AK$41"}</definedName>
    <definedName name="trezejunho" hidden="1">{"'gráf jan00'!$A$1:$AK$41"}</definedName>
    <definedName name="trezejunnho" hidden="1">{"'gráf jan00'!$A$1:$AK$41"}</definedName>
    <definedName name="trezemarço" hidden="1">{"'gráf jan00'!$A$1:$AK$41"}</definedName>
    <definedName name="TS01Maior">#REF!</definedName>
    <definedName name="TS01Menor">#REF!</definedName>
    <definedName name="TS02Maior">#REF!</definedName>
    <definedName name="TS02Menor">#REF!</definedName>
    <definedName name="TS03Maior">#REF!</definedName>
    <definedName name="TS03Menor">#REF!</definedName>
    <definedName name="tt">#REF!</definedName>
    <definedName name="TTT" hidden="1">{"'gráf jan00'!$A$1:$AK$41"}</definedName>
    <definedName name="TTTT" hidden="1">{"'gráf jan00'!$A$1:$AK$41"}</definedName>
    <definedName name="TURNO">#REF!</definedName>
    <definedName name="tusd">#REF!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u" hidden="1">{"'CptDifn'!$AA$32:$AG$32"}</definedName>
    <definedName name="uf">#REF!</definedName>
    <definedName name="UGCCATDT">#REF!</definedName>
    <definedName name="UHE_SA_CARVALHO_ampl_APE">"dados"</definedName>
    <definedName name="unid10">#REF!</definedName>
    <definedName name="unid11">#REF!</definedName>
    <definedName name="unid12">#REF!</definedName>
    <definedName name="unid6">#REF!</definedName>
    <definedName name="unid7">#REF!</definedName>
    <definedName name="unid8">#REF!</definedName>
    <definedName name="unid9">#REF!</definedName>
    <definedName name="uoluyk" hidden="1">{#N/A,#N/A,TRUE,"indice";#N/A,#N/A,TRUE,"indicadores";#N/A,#N/A,TRUE,"comentarios"}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hidden="1">{#N/A,#N/A,FALSE,"PCOL"}</definedName>
    <definedName name="ValAAn">#REF!</definedName>
    <definedName name="ValAAnrl">#REF!</definedName>
    <definedName name="ValAcu">#REF!</definedName>
    <definedName name="ValAcurl">#REF!</definedName>
    <definedName name="Valchv">#REF!</definedName>
    <definedName name="Valchvrl">#REF!</definedName>
    <definedName name="Valmes">#REF!</definedName>
    <definedName name="ValMesRL">#REF!</definedName>
    <definedName name="ValMesUS">#REF!</definedName>
    <definedName name="Valor">#REF!</definedName>
    <definedName name="var_comissao">#REF!</definedName>
    <definedName name="VAR_EXT">#N/A</definedName>
    <definedName name="VAR_INT">#N/A</definedName>
    <definedName name="vefa" hidden="1">{"'INDICE_EQUIP_INTRANET'!$A$4:$T$193"}</definedName>
    <definedName name="VENDA">#REF!</definedName>
    <definedName name="Verba">#REF!</definedName>
    <definedName name="vol_adicional">#REF!</definedName>
    <definedName name="Volaan">#REF!</definedName>
    <definedName name="Volacu">#REF!</definedName>
    <definedName name="VolFAT">#REF!</definedName>
    <definedName name="Volmes">#REF!</definedName>
    <definedName name="Voltar">#N/A</definedName>
    <definedName name="Volume">#REF!</definedName>
    <definedName name="volume1" hidden="1">{"'RR'!$A$2:$E$81"}</definedName>
    <definedName name="VPI">#REF!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">#N/A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xs" hidden="1">{"'RR'!$A$2:$E$81"}</definedName>
    <definedName name="w" hidden="1">{#N/A,#N/A,FALSE,"PCOL"}</definedName>
    <definedName name="wacc">#REF!</definedName>
    <definedName name="wadfaw" hidden="1">{#N/A,#N/A,TRUE,"indice";#N/A,#N/A,TRUE,"indicadores";#N/A,#N/A,TRUE,"comentarios"}</definedName>
    <definedName name="wdewdwd" hidden="1">{#N/A,#N/A,FALSE,"PCOL"}</definedName>
    <definedName name="wdfsed">#REF!</definedName>
    <definedName name="wdwd" hidden="1">{#N/A,#N/A,FALSE,"PCOL"}</definedName>
    <definedName name="we">#N/A</definedName>
    <definedName name="web">#REF!</definedName>
    <definedName name="wedwedw" hidden="1">{#N/A,#N/A,FALSE,"PCOL"}</definedName>
    <definedName name="wedwew" hidden="1">{#N/A,#N/A,FALSE,"PCOL"}</definedName>
    <definedName name="wewe" hidden="1">{#N/A,#N/A,FALSE,"PCOL"}</definedName>
    <definedName name="wewedwedw" hidden="1">{#N/A,#N/A,FALSE,"PCOL"}</definedName>
    <definedName name="wewew" hidden="1">{#N/A,#N/A,FALSE,"PCOL"}</definedName>
    <definedName name="wrn.Aging._.and._.Trend._.Analysis." hidden="1">{#N/A,#N/A,FALSE,"Aging Summary";#N/A,#N/A,FALSE,"Ratio Analysis";#N/A,#N/A,FALSE,"Test 120 Day Accts";#N/A,#N/A,FALSE,"Tickmarks"}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ook." hidden="1">{"EVA",#N/A,FALSE,"SMT2";#N/A,#N/A,FALSE,"Summary";#N/A,#N/A,FALSE,"Graphs";#N/A,#N/A,FALSE,"4 Panel"}</definedName>
    <definedName name="wrn.comentario." hidden="1">{#N/A,#N/A,FALSE,"PCOL"}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def9806." hidden="1">{#N/A,#N/A,FALSE,"DEF1";#N/A,#N/A,FALSE,"DEF2";#N/A,#N/A,FALSE,"DEF3"}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gere" hidden="1">{#N/A,#N/A,FALSE,"GQGEMPRE"}</definedName>
    <definedName name="wrn.gere." hidden="1">{#N/A,#N/A,FALSE,"GQGEMPRE"}</definedName>
    <definedName name="wrn.geren" hidden="1">{#N/A,#N/A,FALSE,"EXPORTAC";#N/A,#N/A,FALSE,"SUPEL94"}</definedName>
    <definedName name="wrn.geren." hidden="1">{#N/A,#N/A,FALSE,"EXPORTAC";#N/A,#N/A,FALSE,"SUPEL94"}</definedName>
    <definedName name="wrn.imp." hidden="1">{"vue1",#N/A,FALSE,"synthese";"vue2",#N/A,FALSE,"synthese"}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SITUAÇÃO._.DIÁRIA." hidden="1">{#N/A,#N/A,FALSE,"SITUAÇÃO DIÁRIA ";#N/A,#N/A,FALSE,"7 à 7"}</definedName>
    <definedName name="wrn.teste." hidden="1">{#N/A,#N/A,TRUE,"indice";#N/A,#N/A,TRUE,"indicadores";#N/A,#N/A,TRUE,"comentarios"}</definedName>
    <definedName name="wsewew" hidden="1">{#N/A,#N/A,FALSE,"PCOL"}</definedName>
    <definedName name="wt5ye65y" hidden="1">{0}</definedName>
    <definedName name="wwddwd" hidden="1">#REF!</definedName>
    <definedName name="WX" hidden="1">{#N/A,#N/A,FALSE,"GQGEMPRE"}</definedName>
    <definedName name="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" hidden="1">{"'CptDifn'!$AA$32:$AG$32"}</definedName>
    <definedName name="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x" hidden="1">{"'Quadro'!$A$4:$BG$78"}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yyy" hidden="1">{"'Quadro'!$A$4:$BG$78"}</definedName>
    <definedName name="y" hidden="1">{#N/A,#N/A,FALSE,"PCOL"}</definedName>
    <definedName name="yukyuk8" hidden="1">{0}</definedName>
    <definedName name="z">#N/A</definedName>
    <definedName name="Z_146D92FF_DFCA_47DC_9CF6_0D07F916365B_.wvu.Cols" hidden="1">#REF!,#REF!,#REF!,#REF!</definedName>
    <definedName name="Z_146D92FF_DFCA_47DC_9CF6_0D07F916365B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7AE3F8A6_7282_4640_BAE6_7D5F8B45608B_.wvu.Cols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a">#REF!</definedName>
    <definedName name="zfdgtrtrtytw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z">#N/A</definedName>
    <definedName name="zzz">#N/A</definedName>
    <definedName name="zzzz">#N/A</definedName>
    <definedName name="zzzzz">#N/A</definedName>
  </definedNames>
  <calcPr calcId="191029"/>
  <customWorkbookViews>
    <customWorkbookView name="Agno Santos - Modo de exibição pessoal" guid="{BA8EEAB2-EE73-4147-AF90-4E46DD1C1569}" mergeInterval="0" personalView="1" maximized="1" xWindow="-8" yWindow="-8" windowWidth="1936" windowHeight="1056" tabRatio="700" activeSheetId="2"/>
    <customWorkbookView name="Ivanilde Santos - Modo de exibição pessoal" guid="{C53F83F6-2C58-4E0A-A022-91FDDBEDA3D1}" mergeInterval="0" personalView="1" maximized="1" xWindow="-8" yWindow="-8" windowWidth="1936" windowHeight="1176" tabRatio="700" activeSheetId="2"/>
    <customWorkbookView name="Marines Duarte - Modo de exibição pessoal" guid="{6F3DAF15-3FCA-4872-BCE5-751145273DF1}" mergeInterval="0" personalView="1" maximized="1" xWindow="-8" yWindow="-8" windowWidth="1936" windowHeight="1056" tabRatio="700" activeSheetId="2"/>
    <customWorkbookView name="Samara Nascimento - Modo de exibição pessoal" guid="{7D17D585-56FD-4034-974D-C39742C5D64A}" mergeInterval="0" personalView="1" maximized="1" xWindow="-8" yWindow="-8" windowWidth="1936" windowHeight="1056" tabRatio="700" activeSheetId="2"/>
    <customWorkbookView name="Bruna Tassiane Costa - Modo de exibição pessoal" guid="{FC25F05A-6C12-4EA4-8FEC-EE3F9E6FDD00}" mergeInterval="0" personalView="1" maximized="1" xWindow="-8" yWindow="-8" windowWidth="1616" windowHeight="1176" tabRatio="390" activeSheetId="2"/>
    <customWorkbookView name="Ediane Lisboa - Modo de exibição pessoal" guid="{578AEF29-FAB3-4A43-AB55-19D15FA0E50D}" mergeInterval="0" personalView="1" maximized="1" xWindow="-8" yWindow="-8" windowWidth="1936" windowHeight="1176" tabRatio="390" activeSheetId="2"/>
    <customWorkbookView name="Lucas Cavalcante - Modo de exibição pessoal" guid="{562E2A07-961B-45FD-84CF-EF8DB2052857}" mergeInterval="0" personalView="1" maximized="1" xWindow="-8" yWindow="-8" windowWidth="1936" windowHeight="1056" tabRatio="701" activeSheetId="2"/>
    <customWorkbookView name="Alberto Mendes Carvalho - Modo de exibição pessoal" guid="{CDF891BF-E053-42AE-9A59-AEA91CC06934}" mergeInterval="0" personalView="1" maximized="1" xWindow="-8" yWindow="-8" windowWidth="1936" windowHeight="1056" tabRatio="390" activeSheetId="2"/>
    <customWorkbookView name="Maria Diniz - Modo de exibição pessoal" guid="{BCDA80BF-98E5-4FFC-AF15-33189FCEF2C7}" mergeInterval="0" personalView="1" maximized="1" xWindow="-8" yWindow="-8" windowWidth="1936" windowHeight="1056" tabRatio="390" activeSheetId="1"/>
    <customWorkbookView name="Kleber Caitano - Modo de exibição pessoal" guid="{1896A01C-54E3-4796-9AED-FB94797361D8}" mergeInterval="0" personalView="1" maximized="1" xWindow="-8" yWindow="-8" windowWidth="1382" windowHeight="744" tabRatio="390" activeSheetId="2"/>
    <customWorkbookView name="Clovis Oliveira (CLOVIS) - Modo de exibição pessoal" guid="{0D840011-5ABA-4236-BFA1-1F31EF970BDF}" mergeInterval="0" personalView="1" maximized="1" xWindow="-8" yWindow="-8" windowWidth="1936" windowHeight="1176" tabRatio="327" activeSheetId="2"/>
    <customWorkbookView name="Derildo Souza - Modo de exibição pessoal" guid="{ACC2EA4B-FC30-4F30-B8EC-55D814EA1BB0}" mergeInterval="0" personalView="1" maximized="1" xWindow="-9" yWindow="-9" windowWidth="1938" windowHeight="1048" tabRatio="583" activeSheetId="2"/>
    <customWorkbookView name="Lourival Moura - Modo de exibição pessoal" guid="{9A3FC6BA-E891-4ABF-B651-64B4CEDD209C}" mergeInterval="0" personalView="1" maximized="1" xWindow="-8" yWindow="-8" windowWidth="1936" windowHeight="1056" tabRatio="390" activeSheetId="2"/>
    <customWorkbookView name="Bruno Batista Silva - Modo de exibição pessoal" guid="{B88FDC0A-254F-4B46-B3DA-04AF19AED023}" mergeInterval="0" personalView="1" xWindow="8" windowWidth="1358" windowHeight="728" tabRatio="616" activeSheetId="3"/>
    <customWorkbookView name="Thiago Costa - Modo de exibição pessoal" guid="{B68DC056-5738-4597-87EF-EC6C8560D40E}" mergeInterval="0" personalView="1" maximized="1" xWindow="-8" yWindow="-8" windowWidth="1936" windowHeight="1056" tabRatio="390" activeSheetId="2"/>
    <customWorkbookView name="Gabrielly Carvalho - Modo de exibição pessoal" guid="{43DBCB18-7A16-404D-9B86-1B6598F0E9F0}" mergeInterval="0" personalView="1" maximized="1" xWindow="-9" yWindow="-9" windowWidth="1938" windowHeight="1048" tabRatio="390" activeSheetId="2"/>
    <customWorkbookView name="Arteniza Moura - Modo de exibição pessoal" guid="{A252F3ED-5D87-4E1D-B8FA-68C4D27E7901}" mergeInterval="0" personalView="1" maximized="1" xWindow="-8" yWindow="-8" windowWidth="1936" windowHeight="1176" tabRatio="390" activeSheetId="2"/>
    <customWorkbookView name="Milksa Lopes - Modo de exibição pessoal" guid="{6CDC6AB3-6007-49F2-BC70-54DDD14853A1}" mergeInterval="0" personalView="1" maximized="1" xWindow="-8" yWindow="-8" windowWidth="1936" windowHeight="1176" tabRatio="390" activeSheetId="8"/>
    <customWorkbookView name="Cleusson Coelho - Modo de exibição pessoal" guid="{5C8CEC47-F13C-4B38-9EF5-E2401CB5854A}" mergeInterval="0" personalView="1" maximized="1" xWindow="-8" yWindow="-8" windowWidth="1936" windowHeight="1056" tabRatio="390" activeSheetId="2"/>
    <customWorkbookView name="Monica Barbosa - Modo de exibição pessoal" guid="{01868B9D-7BE3-4FF2-B3AE-B9E6482D436F}" mergeInterval="0" personalView="1" maximized="1" xWindow="-8" yWindow="-8" windowWidth="1936" windowHeight="1056" tabRatio="390" activeSheetId="2"/>
    <customWorkbookView name="Jerimias Lima - Modo de exibição pessoal" guid="{D3DDADB2-6E6D-42E2-8A04-3838F445C506}" mergeInterval="0" personalView="1" maximized="1" xWindow="-8" yWindow="-8" windowWidth="1936" windowHeight="1186" tabRatio="758" activeSheetId="2"/>
    <customWorkbookView name="Marcos Amorim - Modo de exibição pessoal" guid="{61536308-F8A3-4B86-B156-E680EEC9F0F8}" mergeInterval="0" personalView="1" maximized="1" xWindow="66" yWindow="-8" windowWidth="1862" windowHeight="1096" tabRatio="390" activeSheetId="1"/>
    <customWorkbookView name="Edycarlos Teixeira - Modo de exibição pessoal" guid="{9E223BFA-434C-482B-B47C-32A4BCB22A2C}" mergeInterval="0" personalView="1" maximized="1" xWindow="-9" yWindow="-9" windowWidth="1938" windowHeight="1048" tabRatio="701" activeSheetId="6"/>
    <customWorkbookView name="Tania Rodrigues - Modo de exibição pessoal" guid="{58FB0D99-FF57-41CD-9522-51E375F739F1}" mergeInterval="0" personalView="1" maximized="1" xWindow="-8" yWindow="-8" windowWidth="1936" windowHeight="1056" tabRatio="728" activeSheetId="2"/>
    <customWorkbookView name="Denis Lopes - Modo de exibição pessoal" guid="{573B6AFF-5F22-42F0-8597-F5BCD956689A}" mergeInterval="0" personalView="1" maximized="1" xWindow="-8" yWindow="-8" windowWidth="1936" windowHeight="1176" tabRatio="390" activeSheetId="2"/>
    <customWorkbookView name="Ademias Sousa - Modo de exibição pessoal" guid="{0E8D9C24-D923-4256-B8EB-13B0A1E90633}" mergeInterval="0" personalView="1" maximized="1" xWindow="-8" yWindow="-8" windowWidth="1936" windowHeight="1056" tabRatio="548" activeSheetId="2"/>
    <customWorkbookView name="Sousa Reinaldo - Modo de exibição pessoal" guid="{BF9B617F-7CF8-4C0A-83F3-D785FF4401E5}" mergeInterval="0" personalView="1" maximized="1" xWindow="-8" yWindow="-8" windowWidth="1936" windowHeight="1176" tabRatio="390" activeSheetId="2"/>
    <customWorkbookView name="Ademir Conceicao - Modo de exibição pessoal" guid="{38722C18-E114-4A4E-A208-550411B6BA92}" mergeInterval="0" personalView="1" maximized="1" xWindow="-8" yWindow="-8" windowWidth="1936" windowHeight="1176" tabRatio="700" activeSheetId="2"/>
    <customWorkbookView name="Janierison Guedes - Modo de exibição pessoal" guid="{2AD0B215-2667-47BB-9207-E2254B6930C9}" mergeInterval="0" personalView="1" maximized="1" xWindow="-8" yWindow="-8" windowWidth="1936" windowHeight="1056" tabRatio="951" activeSheetId="2"/>
    <customWorkbookView name="Ediberto Lavra Da Costa - Modo de exibição pessoal" guid="{30184DF1-D5AA-49F5-BD70-538AD50C280C}" mergeInterval="0" personalView="1" maximized="1" xWindow="-8" yWindow="-8" windowWidth="1616" windowHeight="876" tabRatio="566" activeSheetId="2"/>
    <customWorkbookView name="Paulo Cosmo - Modo de exibição pessoal" guid="{DB2AA012-7529-4A17-B556-1682F874FDC3}" mergeInterval="0" personalView="1" maximized="1" xWindow="-8" yWindow="-8" windowWidth="1936" windowHeight="1056" tabRatio="566" activeSheetId="2"/>
    <customWorkbookView name="Francidalva Wanzeler - Modo de exibição pessoal" guid="{A48B32F7-E2A2-4C99-BCD4-798D3792245C}" mergeInterval="0" personalView="1" maximized="1" xWindow="-8" yWindow="-8" windowWidth="1382" windowHeight="744" tabRatio="390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10" i="17" l="1"/>
  <c r="CF10" i="17"/>
  <c r="CG9" i="17"/>
  <c r="CG4" i="17"/>
  <c r="CG5" i="17"/>
  <c r="CG2" i="17"/>
  <c r="CG6" i="17"/>
  <c r="CG7" i="17"/>
  <c r="CG8" i="17"/>
  <c r="CG3" i="17"/>
  <c r="AJ40" i="18"/>
  <c r="P34" i="18"/>
  <c r="P35" i="18"/>
  <c r="P36" i="18"/>
  <c r="P37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36" i="18"/>
  <c r="F37" i="18"/>
  <c r="F38" i="18"/>
  <c r="F39" i="18"/>
  <c r="F40" i="18"/>
  <c r="F34" i="18"/>
  <c r="Z34" i="18" l="1"/>
  <c r="W2" i="19" l="1"/>
  <c r="AJ47" i="18" l="1"/>
  <c r="AJ48" i="18" l="1"/>
  <c r="Z56" i="18"/>
  <c r="P42" i="18"/>
  <c r="AJ57" i="18"/>
  <c r="P46" i="18" l="1"/>
  <c r="AQ4" i="17"/>
  <c r="AQ5" i="17"/>
  <c r="AQ6" i="17"/>
  <c r="AQ7" i="17"/>
  <c r="AQ8" i="17"/>
  <c r="AQ9" i="17"/>
  <c r="AQ10" i="17"/>
  <c r="AQ11" i="17"/>
  <c r="AQ12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3" i="17"/>
  <c r="AH4" i="17"/>
  <c r="AH5" i="17"/>
  <c r="AH6" i="17"/>
  <c r="AH7" i="17"/>
  <c r="AH8" i="17"/>
  <c r="AH9" i="17"/>
  <c r="AH10" i="17"/>
  <c r="AH11" i="17"/>
  <c r="AH12" i="17"/>
  <c r="AH13" i="17"/>
  <c r="AH14" i="17"/>
  <c r="AH15" i="17"/>
  <c r="AH16" i="17"/>
  <c r="AH17" i="17"/>
  <c r="AH18" i="17"/>
  <c r="AH19" i="17"/>
  <c r="AH20" i="17"/>
  <c r="AH21" i="17"/>
  <c r="AH22" i="17"/>
  <c r="AH23" i="17"/>
  <c r="AH24" i="17"/>
  <c r="AH25" i="17"/>
  <c r="AH26" i="17"/>
  <c r="AH3" i="17"/>
  <c r="Z4" i="17"/>
  <c r="Z5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3" i="17"/>
  <c r="R4" i="17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3" i="17"/>
  <c r="B3" i="17" l="1"/>
  <c r="B4" i="17"/>
  <c r="F35" i="18" l="1"/>
  <c r="Z57" i="18" l="1"/>
  <c r="Z52" i="18"/>
  <c r="Z53" i="18"/>
  <c r="Z54" i="18"/>
  <c r="Z55" i="18"/>
  <c r="Z45" i="18"/>
  <c r="Z47" i="18"/>
  <c r="Z48" i="18"/>
  <c r="Z49" i="18"/>
  <c r="Z50" i="18"/>
  <c r="Z51" i="18"/>
  <c r="Z40" i="18"/>
  <c r="Z41" i="18"/>
  <c r="Z42" i="18"/>
  <c r="Z43" i="18"/>
  <c r="Z44" i="18"/>
  <c r="Z35" i="18"/>
  <c r="Z36" i="18"/>
  <c r="Z38" i="18"/>
  <c r="Z39" i="18"/>
  <c r="AK3" i="22" l="1"/>
  <c r="E7" i="29" l="1"/>
  <c r="E8" i="29"/>
  <c r="E9" i="29"/>
  <c r="E10" i="29"/>
  <c r="E11" i="29"/>
  <c r="F20" i="29"/>
  <c r="Q27" i="27" l="1" a="1"/>
  <c r="Q27" i="27" s="1"/>
  <c r="Q26" i="27" l="1" a="1"/>
  <c r="Q26" i="27" s="1"/>
  <c r="Q25" i="27" l="1" a="1"/>
  <c r="Q25" i="27" s="1"/>
  <c r="B3" i="27" l="1"/>
  <c r="A3" i="27" l="1"/>
  <c r="CG10" i="17" l="1"/>
  <c r="Q24" i="27" l="1" a="1"/>
  <c r="Q24" i="27" s="1"/>
  <c r="R24" i="27" a="1"/>
  <c r="R24" i="27" s="1"/>
  <c r="R25" i="27" a="1"/>
  <c r="R25" i="27" s="1"/>
  <c r="R26" i="27" a="1"/>
  <c r="R26" i="27" s="1"/>
  <c r="R27" i="27" a="1"/>
  <c r="R27" i="27" s="1"/>
  <c r="Q28" i="27" a="1"/>
  <c r="Q28" i="27" s="1"/>
  <c r="R28" i="27" a="1"/>
  <c r="R28" i="27" s="1"/>
  <c r="Q29" i="27" a="1"/>
  <c r="Q29" i="27" s="1"/>
  <c r="R29" i="27" a="1"/>
  <c r="R29" i="27" s="1"/>
  <c r="Q30" i="27" a="1"/>
  <c r="Q30" i="27" s="1"/>
  <c r="R30" i="27" a="1"/>
  <c r="R30" i="27" s="1"/>
  <c r="R23" i="27" a="1"/>
  <c r="R23" i="27" s="1"/>
  <c r="Q23" i="27" a="1"/>
  <c r="Q23" i="27" s="1"/>
  <c r="Q33" i="27" l="1"/>
  <c r="R9" i="27" s="1"/>
  <c r="T25" i="27"/>
  <c r="T30" i="27"/>
  <c r="T24" i="27"/>
  <c r="T26" i="27"/>
  <c r="T28" i="27"/>
  <c r="T29" i="27"/>
  <c r="T27" i="27"/>
  <c r="T23" i="27"/>
  <c r="X33" i="27"/>
  <c r="W33" i="27"/>
  <c r="Y30" i="27"/>
  <c r="Y29" i="27"/>
  <c r="Y28" i="27"/>
  <c r="Y27" i="27"/>
  <c r="Y26" i="27"/>
  <c r="Y25" i="27"/>
  <c r="Y24" i="27"/>
  <c r="Y23" i="27"/>
  <c r="U33" i="27"/>
  <c r="R33" i="27"/>
  <c r="S30" i="27"/>
  <c r="B18" i="27" s="1"/>
  <c r="S29" i="27"/>
  <c r="B26" i="27" s="1"/>
  <c r="S28" i="27"/>
  <c r="B25" i="27" s="1"/>
  <c r="S27" i="27"/>
  <c r="B21" i="27" s="1"/>
  <c r="S26" i="27"/>
  <c r="B23" i="27" s="1"/>
  <c r="S25" i="27"/>
  <c r="B19" i="27" s="1"/>
  <c r="S24" i="27"/>
  <c r="B17" i="27" s="1"/>
  <c r="S23" i="27"/>
  <c r="B20" i="27" s="1"/>
  <c r="L9" i="26"/>
  <c r="L7" i="26"/>
  <c r="P36" i="27" l="1"/>
  <c r="S36" i="27" s="1"/>
  <c r="S10" i="27" s="1"/>
  <c r="P39" i="27"/>
  <c r="S39" i="27" s="1"/>
  <c r="S13" i="27" s="1"/>
  <c r="P40" i="27"/>
  <c r="S40" i="27" s="1"/>
  <c r="S14" i="27" s="1"/>
  <c r="P41" i="27"/>
  <c r="S41" i="27" s="1"/>
  <c r="S15" i="27" s="1"/>
  <c r="P42" i="27"/>
  <c r="S42" i="27" s="1"/>
  <c r="S16" i="27" s="1"/>
  <c r="P43" i="27"/>
  <c r="S43" i="27" s="1"/>
  <c r="S17" i="27" s="1"/>
  <c r="P37" i="27"/>
  <c r="S37" i="27" s="1"/>
  <c r="S11" i="27" s="1"/>
  <c r="P38" i="27"/>
  <c r="S38" i="27" s="1"/>
  <c r="S12" i="27" s="1"/>
  <c r="Y33" i="27"/>
  <c r="Q36" i="27"/>
  <c r="T36" i="27" s="1"/>
  <c r="T10" i="27" s="1"/>
  <c r="Q43" i="27"/>
  <c r="T43" i="27" s="1"/>
  <c r="T17" i="27" s="1"/>
  <c r="Q37" i="27"/>
  <c r="T37" i="27" s="1"/>
  <c r="T11" i="27" s="1"/>
  <c r="Q39" i="27"/>
  <c r="T39" i="27" s="1"/>
  <c r="T13" i="27" s="1"/>
  <c r="S33" i="27"/>
  <c r="Q18" i="27" s="1"/>
  <c r="Q41" i="27"/>
  <c r="T41" i="27" s="1"/>
  <c r="T15" i="27" s="1"/>
  <c r="Q42" i="27"/>
  <c r="T42" i="27" s="1"/>
  <c r="T16" i="27" s="1"/>
  <c r="Q40" i="27"/>
  <c r="T40" i="27" s="1"/>
  <c r="T14" i="27" s="1"/>
  <c r="Q38" i="27"/>
  <c r="T38" i="27" s="1"/>
  <c r="T12" i="27" s="1"/>
  <c r="V33" i="27"/>
  <c r="M7" i="26"/>
  <c r="M9" i="26"/>
  <c r="T18" i="27" l="1"/>
  <c r="S18" i="27"/>
  <c r="U36" i="27"/>
  <c r="V36" i="27" s="1"/>
  <c r="U37" i="27"/>
  <c r="V37" i="27" s="1"/>
  <c r="Q10" i="27"/>
  <c r="U39" i="27"/>
  <c r="V39" i="27" s="1"/>
  <c r="U42" i="27"/>
  <c r="V42" i="27" s="1"/>
  <c r="V23" i="27"/>
  <c r="U41" i="27"/>
  <c r="V41" i="27" s="1"/>
  <c r="U43" i="27"/>
  <c r="V43" i="27" s="1"/>
  <c r="U38" i="27"/>
  <c r="V38" i="27" s="1"/>
  <c r="U40" i="27"/>
  <c r="V40" i="27" s="1"/>
  <c r="P14" i="27" s="1"/>
  <c r="Q11" i="27" l="1"/>
  <c r="Q12" i="27" s="1"/>
  <c r="P13" i="27"/>
  <c r="P11" i="27"/>
  <c r="P10" i="27"/>
  <c r="P16" i="27"/>
  <c r="P17" i="27"/>
  <c r="P12" i="27"/>
  <c r="P15" i="27"/>
  <c r="AJ37" i="18"/>
  <c r="AJ38" i="18"/>
  <c r="AJ39" i="18"/>
  <c r="AJ41" i="18"/>
  <c r="AJ42" i="18"/>
  <c r="AJ43" i="18"/>
  <c r="AJ44" i="18"/>
  <c r="AJ45" i="18"/>
  <c r="AJ46" i="18"/>
  <c r="AJ49" i="18"/>
  <c r="AJ50" i="18"/>
  <c r="AJ51" i="18"/>
  <c r="AJ52" i="18"/>
  <c r="AJ53" i="18"/>
  <c r="AJ54" i="18"/>
  <c r="AJ55" i="18"/>
  <c r="AJ56" i="18"/>
  <c r="P51" i="18"/>
  <c r="P52" i="18"/>
  <c r="P53" i="18"/>
  <c r="P54" i="18"/>
  <c r="P55" i="18"/>
  <c r="P56" i="18"/>
  <c r="P57" i="18"/>
  <c r="P43" i="18"/>
  <c r="P44" i="18"/>
  <c r="P45" i="18"/>
  <c r="P47" i="18"/>
  <c r="P48" i="18"/>
  <c r="P49" i="18"/>
  <c r="P50" i="18"/>
  <c r="P38" i="18"/>
  <c r="P39" i="18"/>
  <c r="P40" i="18"/>
  <c r="P41" i="18"/>
  <c r="E12" i="26"/>
  <c r="E10" i="26"/>
  <c r="E9" i="26"/>
  <c r="E8" i="26"/>
  <c r="E7" i="26"/>
  <c r="E6" i="26"/>
  <c r="I12" i="26"/>
  <c r="I10" i="26"/>
  <c r="I9" i="26"/>
  <c r="O9" i="26" s="1"/>
  <c r="I8" i="26"/>
  <c r="I7" i="26"/>
  <c r="O7" i="26" s="1"/>
  <c r="I6" i="26"/>
  <c r="Y12" i="27" l="1"/>
  <c r="Y13" i="27" s="1"/>
  <c r="Q13" i="27"/>
  <c r="Q14" i="27" s="1"/>
  <c r="Q15" i="27" s="1"/>
  <c r="Q16" i="27" s="1"/>
  <c r="Q17" i="27" s="1"/>
  <c r="O6" i="26"/>
  <c r="O10" i="26"/>
  <c r="O12" i="26"/>
  <c r="O8" i="26"/>
  <c r="Z35" i="23" l="1"/>
  <c r="Z36" i="23"/>
  <c r="Z37" i="23"/>
  <c r="Z38" i="23"/>
  <c r="Z39" i="23"/>
  <c r="Z40" i="23"/>
  <c r="Z41" i="23"/>
  <c r="Z42" i="23"/>
  <c r="Z43" i="23"/>
  <c r="Z44" i="23"/>
  <c r="Z45" i="23"/>
  <c r="Z47" i="23"/>
  <c r="Z48" i="23"/>
  <c r="Z49" i="23"/>
  <c r="Z50" i="23"/>
  <c r="Z51" i="23"/>
  <c r="Z52" i="23"/>
  <c r="Z53" i="23"/>
  <c r="Z54" i="23"/>
  <c r="Z55" i="23"/>
  <c r="Z56" i="23"/>
  <c r="Z57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34" i="23"/>
  <c r="P48" i="23"/>
  <c r="P36" i="23"/>
  <c r="P37" i="23"/>
  <c r="P38" i="23"/>
  <c r="P39" i="23"/>
  <c r="P40" i="23"/>
  <c r="P41" i="23"/>
  <c r="F42" i="23"/>
  <c r="F43" i="23"/>
  <c r="F44" i="23"/>
  <c r="F45" i="23"/>
  <c r="F46" i="23"/>
  <c r="F34" i="23"/>
  <c r="F39" i="23"/>
  <c r="F40" i="23"/>
  <c r="AJ34" i="18"/>
  <c r="AJ35" i="18"/>
  <c r="AJ36" i="18"/>
  <c r="O29" i="17" l="1"/>
  <c r="AA149" i="23" l="1"/>
  <c r="AA131" i="23"/>
  <c r="AA113" i="23"/>
  <c r="AA95" i="23"/>
  <c r="P57" i="23"/>
  <c r="F57" i="23"/>
  <c r="P56" i="23"/>
  <c r="F56" i="23"/>
  <c r="P55" i="23"/>
  <c r="F55" i="23"/>
  <c r="P54" i="23"/>
  <c r="F54" i="23"/>
  <c r="P53" i="23"/>
  <c r="F53" i="23"/>
  <c r="P52" i="23"/>
  <c r="F52" i="23"/>
  <c r="P51" i="23"/>
  <c r="F51" i="23"/>
  <c r="P50" i="23"/>
  <c r="F50" i="23"/>
  <c r="P49" i="23"/>
  <c r="F49" i="23"/>
  <c r="F48" i="23"/>
  <c r="P47" i="23"/>
  <c r="F47" i="23"/>
  <c r="P46" i="23"/>
  <c r="P45" i="23"/>
  <c r="P44" i="23"/>
  <c r="P43" i="23"/>
  <c r="P42" i="23"/>
  <c r="F41" i="23"/>
  <c r="F38" i="23"/>
  <c r="F37" i="23"/>
  <c r="F36" i="23"/>
  <c r="P35" i="23"/>
  <c r="F35" i="23"/>
  <c r="Z34" i="23"/>
  <c r="P34" i="23"/>
  <c r="S4" i="23"/>
  <c r="EM3" i="23"/>
  <c r="EJ3" i="23"/>
  <c r="AK3" i="23"/>
  <c r="BK2" i="23"/>
  <c r="AL2" i="23"/>
  <c r="BL3" i="23" s="1"/>
  <c r="V43" i="17"/>
  <c r="AG33" i="17"/>
  <c r="Y33" i="17"/>
  <c r="Q33" i="17"/>
  <c r="I33" i="17"/>
  <c r="AU29" i="17"/>
  <c r="AL29" i="17"/>
  <c r="AD29" i="17"/>
  <c r="V29" i="17"/>
  <c r="N29" i="17"/>
  <c r="BR3" i="17"/>
  <c r="BQ3" i="17"/>
  <c r="BP3" i="17"/>
  <c r="BO3" i="17"/>
  <c r="BN3" i="17"/>
  <c r="BR2" i="17"/>
  <c r="BQ2" i="17"/>
  <c r="BP2" i="17"/>
  <c r="BO2" i="17"/>
  <c r="BN2" i="17"/>
  <c r="AA96" i="22"/>
  <c r="AA79" i="22"/>
  <c r="AA61" i="22"/>
  <c r="AA43" i="22"/>
  <c r="EM3" i="22"/>
  <c r="EJ3" i="22"/>
  <c r="AA149" i="18"/>
  <c r="AA131" i="18"/>
  <c r="AA113" i="18"/>
  <c r="AA95" i="18"/>
  <c r="S4" i="18"/>
  <c r="EM3" i="18"/>
  <c r="EJ3" i="18"/>
  <c r="AN3" i="18"/>
  <c r="F12" i="26"/>
  <c r="J11" i="26"/>
  <c r="F11" i="26"/>
  <c r="F10" i="26"/>
  <c r="J9" i="26"/>
  <c r="N9" i="26" s="1"/>
  <c r="F9" i="26"/>
  <c r="F8" i="26"/>
  <c r="J7" i="26"/>
  <c r="N7" i="26" s="1"/>
  <c r="F7" i="26"/>
  <c r="F6" i="26"/>
  <c r="S26" i="19"/>
  <c r="A26" i="19"/>
  <c r="S25" i="19"/>
  <c r="A25" i="19"/>
  <c r="S24" i="19"/>
  <c r="A24" i="19"/>
  <c r="S23" i="19"/>
  <c r="A23" i="19"/>
  <c r="S22" i="19"/>
  <c r="A22" i="19"/>
  <c r="S21" i="19"/>
  <c r="A21" i="19"/>
  <c r="S20" i="19"/>
  <c r="A20" i="19"/>
  <c r="S19" i="19"/>
  <c r="A19" i="19"/>
  <c r="S18" i="19"/>
  <c r="A18" i="19"/>
  <c r="S17" i="19"/>
  <c r="A17" i="19"/>
  <c r="S16" i="19"/>
  <c r="A16" i="19"/>
  <c r="S15" i="19"/>
  <c r="A15" i="19"/>
  <c r="S14" i="19"/>
  <c r="A14" i="19"/>
  <c r="S13" i="19"/>
  <c r="A13" i="19"/>
  <c r="S12" i="19"/>
  <c r="A12" i="19"/>
  <c r="S11" i="19"/>
  <c r="A11" i="19"/>
  <c r="S10" i="19"/>
  <c r="A10" i="19"/>
  <c r="S9" i="19"/>
  <c r="A9" i="19"/>
  <c r="S8" i="19"/>
  <c r="A8" i="19"/>
  <c r="S7" i="19"/>
  <c r="A7" i="19"/>
  <c r="S6" i="19"/>
  <c r="A6" i="19"/>
  <c r="S5" i="19"/>
  <c r="A5" i="19"/>
  <c r="S4" i="19"/>
  <c r="A4" i="19"/>
  <c r="S3" i="19"/>
  <c r="A3" i="19"/>
  <c r="AN3" i="23" l="1"/>
  <c r="A1" i="17"/>
  <c r="B9" i="17"/>
  <c r="J12" i="26"/>
  <c r="N12" i="26" s="1"/>
  <c r="F29" i="17"/>
  <c r="B7" i="17"/>
  <c r="B14" i="17"/>
  <c r="AH39" i="17"/>
  <c r="B18" i="17"/>
  <c r="B34" i="17"/>
  <c r="B21" i="17"/>
  <c r="B10" i="17"/>
  <c r="B17" i="17"/>
  <c r="AH46" i="17"/>
  <c r="B6" i="17"/>
  <c r="B13" i="17"/>
  <c r="B11" i="17"/>
  <c r="B26" i="17"/>
  <c r="J36" i="17"/>
  <c r="B20" i="17"/>
  <c r="B22" i="17"/>
  <c r="B25" i="17"/>
  <c r="B5" i="17"/>
  <c r="B23" i="17"/>
  <c r="AM29" i="17"/>
  <c r="BK4" i="23"/>
  <c r="BK5" i="23"/>
  <c r="AN3" i="22"/>
  <c r="R41" i="17"/>
  <c r="R35" i="17"/>
  <c r="R54" i="17"/>
  <c r="R48" i="17"/>
  <c r="R42" i="17"/>
  <c r="R36" i="17"/>
  <c r="R55" i="17"/>
  <c r="R49" i="17"/>
  <c r="R38" i="17"/>
  <c r="R57" i="17"/>
  <c r="R51" i="17"/>
  <c r="R45" i="17"/>
  <c r="W29" i="17"/>
  <c r="R39" i="17"/>
  <c r="R52" i="17"/>
  <c r="R46" i="17"/>
  <c r="R34" i="17"/>
  <c r="R40" i="17"/>
  <c r="R53" i="17"/>
  <c r="R47" i="17"/>
  <c r="R44" i="17"/>
  <c r="R37" i="17"/>
  <c r="R50" i="17"/>
  <c r="R43" i="17"/>
  <c r="R56" i="17"/>
  <c r="B16" i="17"/>
  <c r="J55" i="17"/>
  <c r="AV29" i="17"/>
  <c r="J6" i="26"/>
  <c r="N6" i="26" s="1"/>
  <c r="J8" i="26"/>
  <c r="N8" i="26" s="1"/>
  <c r="J10" i="26"/>
  <c r="N10" i="26" s="1"/>
  <c r="J42" i="17"/>
  <c r="J49" i="17"/>
  <c r="Z42" i="17"/>
  <c r="Z36" i="17"/>
  <c r="Z55" i="17"/>
  <c r="Z49" i="17"/>
  <c r="Z43" i="17"/>
  <c r="Z37" i="17"/>
  <c r="Z56" i="17"/>
  <c r="Z50" i="17"/>
  <c r="Z44" i="17"/>
  <c r="Z39" i="17"/>
  <c r="Z52" i="17"/>
  <c r="Z46" i="17"/>
  <c r="Z40" i="17"/>
  <c r="Z53" i="17"/>
  <c r="Z47" i="17"/>
  <c r="Z41" i="17"/>
  <c r="Z35" i="17"/>
  <c r="Z54" i="17"/>
  <c r="Z48" i="17"/>
  <c r="B24" i="17"/>
  <c r="B12" i="17"/>
  <c r="Z57" i="17"/>
  <c r="J40" i="17"/>
  <c r="J53" i="17"/>
  <c r="J47" i="17"/>
  <c r="J41" i="17"/>
  <c r="J35" i="17"/>
  <c r="J54" i="17"/>
  <c r="J48" i="17"/>
  <c r="J43" i="17"/>
  <c r="J37" i="17"/>
  <c r="J56" i="17"/>
  <c r="J50" i="17"/>
  <c r="J44" i="17"/>
  <c r="J38" i="17"/>
  <c r="J57" i="17"/>
  <c r="J51" i="17"/>
  <c r="J45" i="17"/>
  <c r="J39" i="17"/>
  <c r="J52" i="17"/>
  <c r="J46" i="17"/>
  <c r="J34" i="17"/>
  <c r="B15" i="17"/>
  <c r="AE29" i="17"/>
  <c r="BM2" i="17"/>
  <c r="B8" i="17"/>
  <c r="Z51" i="17"/>
  <c r="B19" i="17"/>
  <c r="AH37" i="17"/>
  <c r="AH56" i="17"/>
  <c r="AH50" i="17"/>
  <c r="AH44" i="17"/>
  <c r="AH38" i="17"/>
  <c r="AH57" i="17"/>
  <c r="AH51" i="17"/>
  <c r="AH45" i="17"/>
  <c r="AH40" i="17"/>
  <c r="AH34" i="17"/>
  <c r="AH53" i="17"/>
  <c r="AH47" i="17"/>
  <c r="AH41" i="17"/>
  <c r="AH35" i="17"/>
  <c r="AH54" i="17"/>
  <c r="AH48" i="17"/>
  <c r="AH42" i="17"/>
  <c r="AH36" i="17"/>
  <c r="AH55" i="17"/>
  <c r="AH49" i="17"/>
  <c r="AH43" i="17"/>
  <c r="Z38" i="17"/>
  <c r="Z45" i="17"/>
  <c r="AH52" i="17"/>
  <c r="AR3" i="17" l="1"/>
  <c r="AR4" i="17"/>
  <c r="AR16" i="17"/>
  <c r="AR5" i="17"/>
  <c r="AR17" i="17"/>
  <c r="AR6" i="17"/>
  <c r="AR18" i="17"/>
  <c r="AR7" i="17"/>
  <c r="AR19" i="17"/>
  <c r="AR8" i="17"/>
  <c r="AR9" i="17"/>
  <c r="AR21" i="17"/>
  <c r="AR10" i="17"/>
  <c r="AR22" i="17"/>
  <c r="AR11" i="17"/>
  <c r="AR23" i="17"/>
  <c r="AR12" i="17"/>
  <c r="AR25" i="17"/>
  <c r="AR14" i="17"/>
  <c r="AR26" i="17"/>
  <c r="AR13" i="17"/>
  <c r="AR20" i="17"/>
  <c r="AR15" i="17"/>
  <c r="AR24" i="17"/>
  <c r="AI3" i="17"/>
  <c r="O3" i="19" s="1"/>
  <c r="AI4" i="17"/>
  <c r="AI16" i="17"/>
  <c r="AI18" i="17"/>
  <c r="AI7" i="17"/>
  <c r="AI8" i="17"/>
  <c r="AI9" i="17"/>
  <c r="AI22" i="17"/>
  <c r="AI23" i="17"/>
  <c r="AI12" i="17"/>
  <c r="AI13" i="17"/>
  <c r="AI26" i="17"/>
  <c r="AI5" i="17"/>
  <c r="AI17" i="17"/>
  <c r="AI6" i="17"/>
  <c r="AI19" i="17"/>
  <c r="AI20" i="17"/>
  <c r="AI21" i="17"/>
  <c r="AI11" i="17"/>
  <c r="AI24" i="17"/>
  <c r="AI25" i="17"/>
  <c r="AI14" i="17"/>
  <c r="AI15" i="17"/>
  <c r="AI10" i="17"/>
  <c r="AA3" i="17"/>
  <c r="AA4" i="17"/>
  <c r="K4" i="19" s="1"/>
  <c r="AA16" i="17"/>
  <c r="AA10" i="17"/>
  <c r="AA24" i="17"/>
  <c r="AA5" i="17"/>
  <c r="AA17" i="17"/>
  <c r="AA20" i="17"/>
  <c r="AA23" i="17"/>
  <c r="AA25" i="17"/>
  <c r="AA6" i="17"/>
  <c r="AA18" i="17"/>
  <c r="AA19" i="17"/>
  <c r="AA21" i="17"/>
  <c r="AA22" i="17"/>
  <c r="AA11" i="17"/>
  <c r="AA26" i="17"/>
  <c r="AA7" i="17"/>
  <c r="AA8" i="17"/>
  <c r="AA9" i="17"/>
  <c r="AA13" i="17"/>
  <c r="AA15" i="17"/>
  <c r="AA12" i="17"/>
  <c r="AA14" i="17"/>
  <c r="S3" i="17"/>
  <c r="G3" i="19" s="1"/>
  <c r="S4" i="17"/>
  <c r="G4" i="19" s="1"/>
  <c r="S16" i="17"/>
  <c r="G16" i="19" s="1"/>
  <c r="S8" i="17"/>
  <c r="G8" i="19" s="1"/>
  <c r="S22" i="17"/>
  <c r="T22" i="17" s="1"/>
  <c r="S25" i="17"/>
  <c r="G25" i="19" s="1"/>
  <c r="S26" i="17"/>
  <c r="G26" i="19" s="1"/>
  <c r="S5" i="17"/>
  <c r="G5" i="19" s="1"/>
  <c r="S17" i="17"/>
  <c r="G17" i="19" s="1"/>
  <c r="S9" i="17"/>
  <c r="G9" i="19" s="1"/>
  <c r="S23" i="17"/>
  <c r="G23" i="19" s="1"/>
  <c r="S13" i="17"/>
  <c r="G13" i="19" s="1"/>
  <c r="S6" i="17"/>
  <c r="G6" i="19" s="1"/>
  <c r="S18" i="17"/>
  <c r="G18" i="19" s="1"/>
  <c r="S19" i="17"/>
  <c r="G19" i="19" s="1"/>
  <c r="S20" i="17"/>
  <c r="G20" i="19" s="1"/>
  <c r="S21" i="17"/>
  <c r="G21" i="19" s="1"/>
  <c r="S10" i="17"/>
  <c r="G10" i="19" s="1"/>
  <c r="S11" i="17"/>
  <c r="G11" i="19" s="1"/>
  <c r="S12" i="17"/>
  <c r="G12" i="19" s="1"/>
  <c r="S14" i="17"/>
  <c r="G14" i="19" s="1"/>
  <c r="S7" i="17"/>
  <c r="G7" i="19" s="1"/>
  <c r="S15" i="17"/>
  <c r="G15" i="19" s="1"/>
  <c r="S24" i="17"/>
  <c r="G24" i="19" s="1"/>
  <c r="K3" i="17"/>
  <c r="K4" i="17"/>
  <c r="K16" i="17"/>
  <c r="K18" i="17"/>
  <c r="K7" i="17"/>
  <c r="C7" i="19" s="1"/>
  <c r="K20" i="17"/>
  <c r="K9" i="17"/>
  <c r="K22" i="17"/>
  <c r="K11" i="17"/>
  <c r="K24" i="17"/>
  <c r="K13" i="17"/>
  <c r="K26" i="17"/>
  <c r="K5" i="17"/>
  <c r="K17" i="17"/>
  <c r="K6" i="17"/>
  <c r="K19" i="17"/>
  <c r="K8" i="17"/>
  <c r="K21" i="17"/>
  <c r="K10" i="17"/>
  <c r="K23" i="17"/>
  <c r="K12" i="17"/>
  <c r="K14" i="17"/>
  <c r="K15" i="17"/>
  <c r="K25" i="17"/>
  <c r="B35" i="17"/>
  <c r="B40" i="17"/>
  <c r="B38" i="17"/>
  <c r="B37" i="17"/>
  <c r="B45" i="17"/>
  <c r="B36" i="17"/>
  <c r="B39" i="17"/>
  <c r="B41" i="17"/>
  <c r="B54" i="17"/>
  <c r="F33" i="17"/>
  <c r="B51" i="17"/>
  <c r="B53" i="17"/>
  <c r="B42" i="17"/>
  <c r="B57" i="17"/>
  <c r="B44" i="17"/>
  <c r="B46" i="17"/>
  <c r="B52" i="17"/>
  <c r="B47" i="17"/>
  <c r="B50" i="17"/>
  <c r="B56" i="17"/>
  <c r="B43" i="17"/>
  <c r="B49" i="17"/>
  <c r="B48" i="17"/>
  <c r="B55" i="17"/>
  <c r="G29" i="17"/>
  <c r="G22" i="19" l="1"/>
  <c r="C13" i="17"/>
  <c r="D13" i="17" s="1"/>
  <c r="AA40" i="17"/>
  <c r="AF9" i="17"/>
  <c r="AC9" i="17"/>
  <c r="AB9" i="17"/>
  <c r="K9" i="19"/>
  <c r="AA47" i="17"/>
  <c r="AF16" i="17"/>
  <c r="AC16" i="17"/>
  <c r="K16" i="19"/>
  <c r="AB16" i="17"/>
  <c r="AT14" i="17"/>
  <c r="AS14" i="17"/>
  <c r="K48" i="17"/>
  <c r="F17" i="24"/>
  <c r="P17" i="17"/>
  <c r="M17" i="17"/>
  <c r="L17" i="17"/>
  <c r="C17" i="17"/>
  <c r="C17" i="19"/>
  <c r="AT18" i="17"/>
  <c r="AS18" i="17"/>
  <c r="AI50" i="17"/>
  <c r="AN19" i="17"/>
  <c r="AK19" i="17"/>
  <c r="AJ19" i="17"/>
  <c r="O19" i="19"/>
  <c r="S57" i="17"/>
  <c r="X26" i="17"/>
  <c r="U26" i="17"/>
  <c r="T26" i="17"/>
  <c r="L18" i="17"/>
  <c r="C18" i="17"/>
  <c r="P18" i="17"/>
  <c r="M18" i="17"/>
  <c r="C18" i="19"/>
  <c r="K49" i="17"/>
  <c r="F18" i="24"/>
  <c r="F15" i="24"/>
  <c r="P15" i="17"/>
  <c r="M15" i="17"/>
  <c r="C15" i="17"/>
  <c r="K46" i="17"/>
  <c r="L15" i="17"/>
  <c r="C15" i="19"/>
  <c r="AN15" i="17"/>
  <c r="AK15" i="17"/>
  <c r="AJ15" i="17"/>
  <c r="O15" i="19"/>
  <c r="AI46" i="17"/>
  <c r="AT25" i="17"/>
  <c r="AS25" i="17"/>
  <c r="AA36" i="17"/>
  <c r="AB5" i="17"/>
  <c r="AC5" i="17"/>
  <c r="K5" i="19"/>
  <c r="AF5" i="17"/>
  <c r="AT26" i="17"/>
  <c r="AS26" i="17"/>
  <c r="AI56" i="17"/>
  <c r="AJ25" i="17"/>
  <c r="AN25" i="17"/>
  <c r="AK25" i="17"/>
  <c r="O25" i="19"/>
  <c r="S38" i="17"/>
  <c r="X7" i="17"/>
  <c r="T7" i="17"/>
  <c r="U7" i="17"/>
  <c r="AT10" i="17"/>
  <c r="AS10" i="17"/>
  <c r="S48" i="17"/>
  <c r="T17" i="17"/>
  <c r="X17" i="17"/>
  <c r="U17" i="17"/>
  <c r="AB26" i="17"/>
  <c r="AF26" i="17"/>
  <c r="AC26" i="17"/>
  <c r="K26" i="19"/>
  <c r="AA57" i="17"/>
  <c r="S49" i="17"/>
  <c r="U18" i="17"/>
  <c r="T18" i="17"/>
  <c r="X18" i="17"/>
  <c r="AA49" i="17"/>
  <c r="AF18" i="17"/>
  <c r="AC18" i="17"/>
  <c r="AB18" i="17"/>
  <c r="K18" i="19"/>
  <c r="X21" i="17"/>
  <c r="S52" i="17"/>
  <c r="U21" i="17"/>
  <c r="T21" i="17"/>
  <c r="AJ11" i="17"/>
  <c r="AI42" i="17"/>
  <c r="AN11" i="17"/>
  <c r="AK11" i="17"/>
  <c r="O11" i="19"/>
  <c r="AA43" i="17"/>
  <c r="AB12" i="17"/>
  <c r="AC12" i="17"/>
  <c r="K12" i="19"/>
  <c r="AF12" i="17"/>
  <c r="F11" i="24"/>
  <c r="K42" i="17"/>
  <c r="P11" i="17"/>
  <c r="M11" i="17"/>
  <c r="L11" i="17"/>
  <c r="C11" i="17"/>
  <c r="C11" i="19"/>
  <c r="AI41" i="17"/>
  <c r="AN10" i="17"/>
  <c r="O10" i="19"/>
  <c r="AK10" i="17"/>
  <c r="AJ10" i="17"/>
  <c r="AI38" i="17"/>
  <c r="AJ7" i="17"/>
  <c r="O7" i="19"/>
  <c r="AN7" i="17"/>
  <c r="AK7" i="17"/>
  <c r="K39" i="17"/>
  <c r="F8" i="24"/>
  <c r="L8" i="17"/>
  <c r="C8" i="19"/>
  <c r="C8" i="17"/>
  <c r="P8" i="17"/>
  <c r="M8" i="17"/>
  <c r="AB22" i="17"/>
  <c r="AA53" i="17"/>
  <c r="K22" i="19"/>
  <c r="AF22" i="17"/>
  <c r="AC22" i="17"/>
  <c r="X9" i="17"/>
  <c r="S40" i="17"/>
  <c r="U9" i="17"/>
  <c r="T9" i="17"/>
  <c r="K41" i="17"/>
  <c r="P10" i="17"/>
  <c r="C10" i="17"/>
  <c r="M10" i="17"/>
  <c r="L10" i="17"/>
  <c r="C10" i="19"/>
  <c r="F10" i="24"/>
  <c r="S42" i="17"/>
  <c r="T11" i="17"/>
  <c r="U11" i="17"/>
  <c r="X11" i="17"/>
  <c r="F9" i="24"/>
  <c r="L9" i="17"/>
  <c r="K40" i="17"/>
  <c r="M9" i="17"/>
  <c r="C9" i="17"/>
  <c r="C9" i="19"/>
  <c r="P9" i="17"/>
  <c r="AN23" i="17"/>
  <c r="AK23" i="17"/>
  <c r="AI54" i="17"/>
  <c r="AJ23" i="17"/>
  <c r="O23" i="19"/>
  <c r="S54" i="17"/>
  <c r="T23" i="17"/>
  <c r="U23" i="17"/>
  <c r="X23" i="17"/>
  <c r="L13" i="17"/>
  <c r="K44" i="17"/>
  <c r="F13" i="24"/>
  <c r="M13" i="17"/>
  <c r="P13" i="17"/>
  <c r="C13" i="19"/>
  <c r="AT19" i="17"/>
  <c r="AS19" i="17"/>
  <c r="AT7" i="17"/>
  <c r="AS7" i="17"/>
  <c r="AA56" i="17"/>
  <c r="AF25" i="17"/>
  <c r="AC25" i="17"/>
  <c r="AB25" i="17"/>
  <c r="K25" i="19"/>
  <c r="AI36" i="17"/>
  <c r="AN5" i="17"/>
  <c r="AK5" i="17"/>
  <c r="AJ5" i="17"/>
  <c r="O5" i="19"/>
  <c r="AT4" i="17"/>
  <c r="AS4" i="17"/>
  <c r="AS9" i="17"/>
  <c r="AT9" i="17"/>
  <c r="S37" i="17"/>
  <c r="T6" i="17"/>
  <c r="U6" i="17"/>
  <c r="X6" i="17"/>
  <c r="S34" i="17"/>
  <c r="V28" i="17"/>
  <c r="X3" i="17"/>
  <c r="U3" i="17"/>
  <c r="T3" i="17"/>
  <c r="C14" i="17"/>
  <c r="K45" i="17"/>
  <c r="L14" i="17"/>
  <c r="C14" i="19"/>
  <c r="P14" i="17"/>
  <c r="M14" i="17"/>
  <c r="F14" i="24"/>
  <c r="AT8" i="17"/>
  <c r="AS8" i="17"/>
  <c r="K36" i="17"/>
  <c r="F5" i="24"/>
  <c r="C5" i="17"/>
  <c r="M5" i="17"/>
  <c r="P5" i="17"/>
  <c r="L5" i="17"/>
  <c r="C5" i="19"/>
  <c r="AT17" i="17"/>
  <c r="AS17" i="17"/>
  <c r="AT21" i="17"/>
  <c r="AS21" i="17"/>
  <c r="AI51" i="17"/>
  <c r="AN20" i="17"/>
  <c r="AK20" i="17"/>
  <c r="AJ20" i="17"/>
  <c r="O20" i="19"/>
  <c r="AT6" i="17"/>
  <c r="AS6" i="17"/>
  <c r="F21" i="24"/>
  <c r="P21" i="17"/>
  <c r="M21" i="17"/>
  <c r="L21" i="17"/>
  <c r="K52" i="17"/>
  <c r="C21" i="17"/>
  <c r="C21" i="19"/>
  <c r="AT24" i="17"/>
  <c r="AS24" i="17"/>
  <c r="AI35" i="17"/>
  <c r="AJ4" i="17"/>
  <c r="O4" i="19"/>
  <c r="AK4" i="17"/>
  <c r="AN4" i="17"/>
  <c r="K57" i="17"/>
  <c r="P26" i="17"/>
  <c r="M26" i="17"/>
  <c r="L26" i="17"/>
  <c r="F26" i="24"/>
  <c r="C26" i="19"/>
  <c r="C26" i="17"/>
  <c r="AI37" i="17"/>
  <c r="AN6" i="17"/>
  <c r="O6" i="19"/>
  <c r="AK6" i="17"/>
  <c r="AJ6" i="17"/>
  <c r="AU28" i="17"/>
  <c r="AT3" i="17"/>
  <c r="AS3" i="17"/>
  <c r="AA42" i="17"/>
  <c r="AF11" i="17"/>
  <c r="AC11" i="17"/>
  <c r="K11" i="19"/>
  <c r="AB11" i="17"/>
  <c r="F7" i="24"/>
  <c r="K38" i="17"/>
  <c r="P7" i="17"/>
  <c r="M7" i="17"/>
  <c r="L7" i="17"/>
  <c r="C7" i="17"/>
  <c r="T12" i="17"/>
  <c r="S43" i="17"/>
  <c r="X12" i="17"/>
  <c r="U12" i="17"/>
  <c r="S36" i="17"/>
  <c r="X5" i="17"/>
  <c r="U5" i="17"/>
  <c r="T5" i="17"/>
  <c r="F6" i="24"/>
  <c r="K37" i="17"/>
  <c r="P6" i="17"/>
  <c r="C6" i="19"/>
  <c r="M6" i="17"/>
  <c r="L6" i="17"/>
  <c r="C6" i="17"/>
  <c r="X14" i="17"/>
  <c r="U14" i="17"/>
  <c r="S45" i="17"/>
  <c r="T14" i="17"/>
  <c r="AN18" i="17"/>
  <c r="AK18" i="17"/>
  <c r="AJ18" i="17"/>
  <c r="AI49" i="17"/>
  <c r="O18" i="19"/>
  <c r="AT15" i="17"/>
  <c r="AS15" i="17"/>
  <c r="AI45" i="17"/>
  <c r="O14" i="19"/>
  <c r="AK14" i="17"/>
  <c r="AN14" i="17"/>
  <c r="AJ14" i="17"/>
  <c r="AK22" i="17"/>
  <c r="AJ22" i="17"/>
  <c r="AI53" i="17"/>
  <c r="AN22" i="17"/>
  <c r="O22" i="19"/>
  <c r="AA52" i="17"/>
  <c r="AF21" i="17"/>
  <c r="AC21" i="17"/>
  <c r="AB21" i="17"/>
  <c r="K21" i="19"/>
  <c r="AN17" i="17"/>
  <c r="AK17" i="17"/>
  <c r="AJ17" i="17"/>
  <c r="AI48" i="17"/>
  <c r="O17" i="19"/>
  <c r="F12" i="24"/>
  <c r="C12" i="19"/>
  <c r="K43" i="17"/>
  <c r="P12" i="17"/>
  <c r="M12" i="17"/>
  <c r="L12" i="17"/>
  <c r="C12" i="17"/>
  <c r="K53" i="17"/>
  <c r="P22" i="17"/>
  <c r="C22" i="17"/>
  <c r="M22" i="17"/>
  <c r="L22" i="17"/>
  <c r="C22" i="19"/>
  <c r="F22" i="24"/>
  <c r="AD28" i="17"/>
  <c r="AA34" i="17"/>
  <c r="AF3" i="17"/>
  <c r="AC3" i="17"/>
  <c r="AB3" i="17"/>
  <c r="K3" i="19"/>
  <c r="AT23" i="17"/>
  <c r="AS23" i="17"/>
  <c r="AI57" i="17"/>
  <c r="AK26" i="17"/>
  <c r="AJ26" i="17"/>
  <c r="AN26" i="17"/>
  <c r="O26" i="19"/>
  <c r="P25" i="17"/>
  <c r="M25" i="17"/>
  <c r="K56" i="17"/>
  <c r="F25" i="24"/>
  <c r="C25" i="17"/>
  <c r="L25" i="17"/>
  <c r="C25" i="19"/>
  <c r="AS20" i="17"/>
  <c r="AT20" i="17"/>
  <c r="AT5" i="17"/>
  <c r="AS5" i="17"/>
  <c r="AA38" i="17"/>
  <c r="AF7" i="17"/>
  <c r="AC7" i="17"/>
  <c r="AB7" i="17"/>
  <c r="K7" i="19"/>
  <c r="AA35" i="17"/>
  <c r="AF4" i="17"/>
  <c r="AC4" i="17"/>
  <c r="AB4" i="17"/>
  <c r="AT22" i="17"/>
  <c r="AS22" i="17"/>
  <c r="AN12" i="17"/>
  <c r="AK12" i="17"/>
  <c r="AI43" i="17"/>
  <c r="O12" i="19"/>
  <c r="AJ12" i="17"/>
  <c r="AT11" i="17"/>
  <c r="AS11" i="17"/>
  <c r="C24" i="17"/>
  <c r="L24" i="17"/>
  <c r="F24" i="24"/>
  <c r="P24" i="17"/>
  <c r="C24" i="19"/>
  <c r="M24" i="17"/>
  <c r="K55" i="17"/>
  <c r="AT12" i="17"/>
  <c r="AS12" i="17"/>
  <c r="AF13" i="17"/>
  <c r="AA44" i="17"/>
  <c r="AC13" i="17"/>
  <c r="AB13" i="17"/>
  <c r="K13" i="19"/>
  <c r="F3" i="24"/>
  <c r="K34" i="17"/>
  <c r="N28" i="17"/>
  <c r="M3" i="17"/>
  <c r="L3" i="17"/>
  <c r="C3" i="17"/>
  <c r="C3" i="19"/>
  <c r="P3" i="17"/>
  <c r="AI39" i="17"/>
  <c r="AN8" i="17"/>
  <c r="AK8" i="17"/>
  <c r="O8" i="19"/>
  <c r="AJ8" i="17"/>
  <c r="AA50" i="17"/>
  <c r="AF19" i="17"/>
  <c r="AC19" i="17"/>
  <c r="AB19" i="17"/>
  <c r="K19" i="19"/>
  <c r="AI47" i="17"/>
  <c r="AK16" i="17"/>
  <c r="AJ16" i="17"/>
  <c r="O16" i="19"/>
  <c r="AN16" i="17"/>
  <c r="AA46" i="17"/>
  <c r="AF15" i="17"/>
  <c r="AB15" i="17"/>
  <c r="K15" i="19"/>
  <c r="AC15" i="17"/>
  <c r="AC23" i="17"/>
  <c r="AB23" i="17"/>
  <c r="AA54" i="17"/>
  <c r="AF23" i="17"/>
  <c r="K23" i="19"/>
  <c r="X22" i="17"/>
  <c r="S53" i="17"/>
  <c r="U22" i="17"/>
  <c r="P20" i="17"/>
  <c r="M20" i="17"/>
  <c r="L20" i="17"/>
  <c r="K51" i="17"/>
  <c r="C20" i="17"/>
  <c r="F20" i="24"/>
  <c r="C20" i="19"/>
  <c r="F19" i="24"/>
  <c r="C19" i="17"/>
  <c r="K50" i="17"/>
  <c r="M19" i="17"/>
  <c r="L19" i="17"/>
  <c r="P19" i="17"/>
  <c r="C19" i="19"/>
  <c r="X25" i="17"/>
  <c r="U25" i="17"/>
  <c r="T25" i="17"/>
  <c r="S56" i="17"/>
  <c r="AN24" i="17"/>
  <c r="AK24" i="17"/>
  <c r="AI55" i="17"/>
  <c r="O24" i="19"/>
  <c r="AJ24" i="17"/>
  <c r="K35" i="17"/>
  <c r="F4" i="24"/>
  <c r="P4" i="17"/>
  <c r="M4" i="17"/>
  <c r="L4" i="17"/>
  <c r="C4" i="19"/>
  <c r="C4" i="17"/>
  <c r="AA37" i="17"/>
  <c r="K6" i="19"/>
  <c r="AF6" i="17"/>
  <c r="AC6" i="17"/>
  <c r="AB6" i="17"/>
  <c r="T13" i="17"/>
  <c r="S44" i="17"/>
  <c r="U13" i="17"/>
  <c r="X13" i="17"/>
  <c r="S46" i="17"/>
  <c r="X15" i="17"/>
  <c r="U15" i="17"/>
  <c r="T15" i="17"/>
  <c r="AJ21" i="17"/>
  <c r="AN21" i="17"/>
  <c r="AK21" i="17"/>
  <c r="O21" i="19"/>
  <c r="AI52" i="17"/>
  <c r="AA41" i="17"/>
  <c r="K10" i="19"/>
  <c r="AF10" i="17"/>
  <c r="AC10" i="17"/>
  <c r="AB10" i="17"/>
  <c r="S39" i="17"/>
  <c r="T8" i="17"/>
  <c r="X8" i="17"/>
  <c r="U8" i="17"/>
  <c r="X10" i="17"/>
  <c r="U10" i="17"/>
  <c r="S41" i="17"/>
  <c r="T10" i="17"/>
  <c r="AI44" i="17"/>
  <c r="AN13" i="17"/>
  <c r="AK13" i="17"/>
  <c r="AJ13" i="17"/>
  <c r="O13" i="19"/>
  <c r="AA55" i="17"/>
  <c r="AF24" i="17"/>
  <c r="AC24" i="17"/>
  <c r="AB24" i="17"/>
  <c r="K24" i="19"/>
  <c r="X19" i="17"/>
  <c r="U19" i="17"/>
  <c r="T19" i="17"/>
  <c r="S50" i="17"/>
  <c r="K47" i="17"/>
  <c r="P16" i="17"/>
  <c r="M16" i="17"/>
  <c r="F16" i="24"/>
  <c r="L16" i="17"/>
  <c r="C16" i="17"/>
  <c r="C16" i="19"/>
  <c r="AS13" i="17"/>
  <c r="AT13" i="17"/>
  <c r="AI34" i="17"/>
  <c r="AL28" i="17"/>
  <c r="AK3" i="17"/>
  <c r="AN3" i="17"/>
  <c r="AJ3" i="17"/>
  <c r="AT16" i="17"/>
  <c r="AS16" i="17"/>
  <c r="S35" i="17"/>
  <c r="U4" i="17"/>
  <c r="T4" i="17"/>
  <c r="X4" i="17"/>
  <c r="AF20" i="17"/>
  <c r="AA51" i="17"/>
  <c r="K20" i="19"/>
  <c r="AC20" i="17"/>
  <c r="AB20" i="17"/>
  <c r="AF8" i="17"/>
  <c r="K8" i="19"/>
  <c r="AC8" i="17"/>
  <c r="AB8" i="17"/>
  <c r="AA39" i="17"/>
  <c r="AK9" i="17"/>
  <c r="AJ9" i="17"/>
  <c r="O9" i="19"/>
  <c r="AI40" i="17"/>
  <c r="AN9" i="17"/>
  <c r="AF14" i="17"/>
  <c r="AC14" i="17"/>
  <c r="AB14" i="17"/>
  <c r="K14" i="19"/>
  <c r="AA45" i="17"/>
  <c r="S51" i="17"/>
  <c r="X20" i="17"/>
  <c r="U20" i="17"/>
  <c r="T20" i="17"/>
  <c r="AC17" i="17"/>
  <c r="AA48" i="17"/>
  <c r="AF17" i="17"/>
  <c r="AB17" i="17"/>
  <c r="K17" i="19"/>
  <c r="S47" i="17"/>
  <c r="X16" i="17"/>
  <c r="U16" i="17"/>
  <c r="T16" i="17"/>
  <c r="U24" i="17"/>
  <c r="T24" i="17"/>
  <c r="S55" i="17"/>
  <c r="X24" i="17"/>
  <c r="F23" i="24"/>
  <c r="K54" i="17"/>
  <c r="P23" i="17"/>
  <c r="M23" i="17"/>
  <c r="L23" i="17"/>
  <c r="C23" i="17"/>
  <c r="C23" i="19"/>
  <c r="X48" i="23" l="1"/>
  <c r="X48" i="18"/>
  <c r="AH49" i="23"/>
  <c r="AH49" i="18"/>
  <c r="N34" i="23"/>
  <c r="G33" i="19"/>
  <c r="F33" i="19" s="1"/>
  <c r="N34" i="18"/>
  <c r="G34" i="19"/>
  <c r="F34" i="19" s="1"/>
  <c r="G35" i="19"/>
  <c r="F35" i="19" s="1"/>
  <c r="G32" i="19"/>
  <c r="F32" i="19" s="1"/>
  <c r="G31" i="19"/>
  <c r="F31" i="19" s="1"/>
  <c r="N55" i="23"/>
  <c r="N55" i="18"/>
  <c r="AH44" i="23"/>
  <c r="AH44" i="18"/>
  <c r="N39" i="23"/>
  <c r="N39" i="18"/>
  <c r="AH55" i="23"/>
  <c r="AH55" i="18"/>
  <c r="G3" i="24"/>
  <c r="H3" i="24"/>
  <c r="H24" i="24"/>
  <c r="G24" i="24"/>
  <c r="X35" i="23"/>
  <c r="X35" i="18"/>
  <c r="AH48" i="18"/>
  <c r="AH48" i="23"/>
  <c r="C52" i="17"/>
  <c r="H21" i="17"/>
  <c r="E21" i="17"/>
  <c r="D21" i="17"/>
  <c r="AH36" i="18"/>
  <c r="AH36" i="23"/>
  <c r="D55" i="23"/>
  <c r="D55" i="18"/>
  <c r="G23" i="24"/>
  <c r="H23" i="24"/>
  <c r="D38" i="23"/>
  <c r="D38" i="18"/>
  <c r="AV28" i="17"/>
  <c r="AS30" i="17" s="1"/>
  <c r="G9" i="24"/>
  <c r="H9" i="24"/>
  <c r="X43" i="23"/>
  <c r="X43" i="18"/>
  <c r="N38" i="18"/>
  <c r="N38" i="23"/>
  <c r="D46" i="23"/>
  <c r="D46" i="18"/>
  <c r="C49" i="17"/>
  <c r="H18" i="17"/>
  <c r="E18" i="17"/>
  <c r="D18" i="17"/>
  <c r="X47" i="23"/>
  <c r="X47" i="18"/>
  <c r="AH39" i="23"/>
  <c r="AH39" i="18"/>
  <c r="X37" i="23"/>
  <c r="X37" i="18"/>
  <c r="D19" i="17"/>
  <c r="C50" i="17"/>
  <c r="H19" i="17"/>
  <c r="E19" i="17"/>
  <c r="C55" i="17"/>
  <c r="H24" i="17"/>
  <c r="E24" i="17"/>
  <c r="D24" i="17"/>
  <c r="D56" i="23"/>
  <c r="D56" i="18"/>
  <c r="C53" i="17"/>
  <c r="H22" i="17"/>
  <c r="E22" i="17"/>
  <c r="D22" i="17"/>
  <c r="H6" i="24"/>
  <c r="G6" i="24"/>
  <c r="C38" i="17"/>
  <c r="H7" i="17"/>
  <c r="E7" i="17"/>
  <c r="D7" i="17"/>
  <c r="H14" i="24"/>
  <c r="G14" i="24"/>
  <c r="D44" i="23"/>
  <c r="D44" i="18"/>
  <c r="AH54" i="18"/>
  <c r="AH54" i="23"/>
  <c r="C39" i="17"/>
  <c r="H8" i="17"/>
  <c r="E8" i="17"/>
  <c r="D8" i="17"/>
  <c r="AH41" i="23"/>
  <c r="AH41" i="18"/>
  <c r="X57" i="23"/>
  <c r="X57" i="18"/>
  <c r="X36" i="23"/>
  <c r="X36" i="18"/>
  <c r="D43" i="23"/>
  <c r="D43" i="18"/>
  <c r="N49" i="23"/>
  <c r="N49" i="18"/>
  <c r="N53" i="23"/>
  <c r="N53" i="18"/>
  <c r="N51" i="23"/>
  <c r="N51" i="18"/>
  <c r="AH40" i="23"/>
  <c r="AH40" i="18"/>
  <c r="AH34" i="23"/>
  <c r="O35" i="19"/>
  <c r="N35" i="19" s="1"/>
  <c r="S31" i="19"/>
  <c r="R31" i="19" s="1"/>
  <c r="S32" i="19"/>
  <c r="R32" i="19" s="1"/>
  <c r="O31" i="19"/>
  <c r="N31" i="19" s="1"/>
  <c r="S33" i="19"/>
  <c r="R33" i="19" s="1"/>
  <c r="O32" i="19"/>
  <c r="N32" i="19" s="1"/>
  <c r="AH34" i="18"/>
  <c r="S35" i="19"/>
  <c r="R35" i="19" s="1"/>
  <c r="S34" i="19"/>
  <c r="R34" i="19" s="1"/>
  <c r="O34" i="19"/>
  <c r="N34" i="19" s="1"/>
  <c r="O33" i="19"/>
  <c r="N33" i="19" s="1"/>
  <c r="G19" i="24"/>
  <c r="H19" i="24"/>
  <c r="AH47" i="23"/>
  <c r="AH47" i="18"/>
  <c r="N45" i="23"/>
  <c r="N45" i="18"/>
  <c r="N36" i="23"/>
  <c r="N36" i="18"/>
  <c r="N40" i="23"/>
  <c r="N40" i="18"/>
  <c r="D39" i="23"/>
  <c r="D39" i="18"/>
  <c r="X49" i="23"/>
  <c r="X49" i="18"/>
  <c r="D48" i="23"/>
  <c r="D48" i="18"/>
  <c r="D37" i="23"/>
  <c r="D37" i="18"/>
  <c r="X44" i="23"/>
  <c r="X44" i="18"/>
  <c r="X34" i="23"/>
  <c r="K34" i="19"/>
  <c r="J34" i="19" s="1"/>
  <c r="K35" i="19"/>
  <c r="J35" i="19" s="1"/>
  <c r="K31" i="19"/>
  <c r="J31" i="19" s="1"/>
  <c r="K32" i="19"/>
  <c r="J32" i="19" s="1"/>
  <c r="X34" i="18"/>
  <c r="K33" i="19"/>
  <c r="J33" i="19" s="1"/>
  <c r="C44" i="17"/>
  <c r="H13" i="17"/>
  <c r="E13" i="17"/>
  <c r="N42" i="23"/>
  <c r="N42" i="18"/>
  <c r="C46" i="17"/>
  <c r="H15" i="17"/>
  <c r="D15" i="17"/>
  <c r="E15" i="17"/>
  <c r="H17" i="17"/>
  <c r="E17" i="17"/>
  <c r="D17" i="17"/>
  <c r="C48" i="17"/>
  <c r="X51" i="23"/>
  <c r="X51" i="18"/>
  <c r="N46" i="23"/>
  <c r="N46" i="18"/>
  <c r="N50" i="23"/>
  <c r="N50" i="18"/>
  <c r="D54" i="23"/>
  <c r="D54" i="18"/>
  <c r="D35" i="23"/>
  <c r="D35" i="18"/>
  <c r="H20" i="24"/>
  <c r="G20" i="24"/>
  <c r="X38" i="23"/>
  <c r="X38" i="18"/>
  <c r="G25" i="24"/>
  <c r="H25" i="24"/>
  <c r="AE28" i="17"/>
  <c r="AB30" i="17" s="1"/>
  <c r="C43" i="17"/>
  <c r="H12" i="17"/>
  <c r="E12" i="17"/>
  <c r="D12" i="17"/>
  <c r="X52" i="23"/>
  <c r="X52" i="18"/>
  <c r="G21" i="24"/>
  <c r="H21" i="24"/>
  <c r="D36" i="23"/>
  <c r="D36" i="18"/>
  <c r="D45" i="23"/>
  <c r="D45" i="18"/>
  <c r="N37" i="23"/>
  <c r="N37" i="18"/>
  <c r="X56" i="23"/>
  <c r="X56" i="18"/>
  <c r="H8" i="24"/>
  <c r="G8" i="24"/>
  <c r="D42" i="23"/>
  <c r="D42" i="18"/>
  <c r="AH42" i="23"/>
  <c r="AH42" i="18"/>
  <c r="N57" i="23"/>
  <c r="N57" i="18"/>
  <c r="X40" i="23"/>
  <c r="X40" i="18"/>
  <c r="H16" i="24"/>
  <c r="G16" i="24"/>
  <c r="D49" i="23"/>
  <c r="D49" i="18"/>
  <c r="D53" i="23"/>
  <c r="D53" i="18"/>
  <c r="N56" i="18"/>
  <c r="N56" i="23"/>
  <c r="N41" i="18"/>
  <c r="N41" i="23"/>
  <c r="X41" i="23"/>
  <c r="X41" i="18"/>
  <c r="N44" i="18"/>
  <c r="N44" i="23"/>
  <c r="E20" i="17"/>
  <c r="D20" i="17"/>
  <c r="C51" i="17"/>
  <c r="H20" i="17"/>
  <c r="D34" i="23"/>
  <c r="C32" i="19"/>
  <c r="B32" i="19" s="1"/>
  <c r="C33" i="19"/>
  <c r="B33" i="19" s="1"/>
  <c r="D34" i="18"/>
  <c r="C34" i="19"/>
  <c r="B34" i="19" s="1"/>
  <c r="C35" i="19"/>
  <c r="B35" i="19" s="1"/>
  <c r="C31" i="19"/>
  <c r="B31" i="19" s="1"/>
  <c r="AH43" i="23"/>
  <c r="AH43" i="18"/>
  <c r="AH45" i="23"/>
  <c r="AH45" i="18"/>
  <c r="AH37" i="23"/>
  <c r="AH37" i="18"/>
  <c r="AH35" i="23"/>
  <c r="AH35" i="18"/>
  <c r="G13" i="24"/>
  <c r="H13" i="24"/>
  <c r="H11" i="17"/>
  <c r="E11" i="17"/>
  <c r="C42" i="17"/>
  <c r="D11" i="17"/>
  <c r="N48" i="23"/>
  <c r="N48" i="18"/>
  <c r="AH56" i="23"/>
  <c r="AH56" i="18"/>
  <c r="AM28" i="17"/>
  <c r="AJ30" i="17" s="1"/>
  <c r="C35" i="17"/>
  <c r="H4" i="17"/>
  <c r="E4" i="17"/>
  <c r="D4" i="17"/>
  <c r="X54" i="23"/>
  <c r="X54" i="18"/>
  <c r="H23" i="17"/>
  <c r="E23" i="17"/>
  <c r="D23" i="17"/>
  <c r="C54" i="17"/>
  <c r="N35" i="23"/>
  <c r="N35" i="18"/>
  <c r="X55" i="23"/>
  <c r="X55" i="18"/>
  <c r="X50" i="23"/>
  <c r="X50" i="18"/>
  <c r="C34" i="17"/>
  <c r="F28" i="17"/>
  <c r="H3" i="17"/>
  <c r="E3" i="17"/>
  <c r="D3" i="17"/>
  <c r="G7" i="24"/>
  <c r="H7" i="24"/>
  <c r="H10" i="24"/>
  <c r="G10" i="24"/>
  <c r="G15" i="24"/>
  <c r="H15" i="24"/>
  <c r="AH53" i="23"/>
  <c r="AH53" i="18"/>
  <c r="G5" i="24"/>
  <c r="H5" i="24"/>
  <c r="H12" i="24"/>
  <c r="G12" i="24"/>
  <c r="H26" i="24"/>
  <c r="G26" i="24"/>
  <c r="C41" i="17"/>
  <c r="D10" i="17"/>
  <c r="H10" i="17"/>
  <c r="E10" i="17"/>
  <c r="D51" i="23"/>
  <c r="D51" i="18"/>
  <c r="E25" i="17"/>
  <c r="C56" i="17"/>
  <c r="N47" i="23"/>
  <c r="N47" i="18"/>
  <c r="H16" i="17"/>
  <c r="C47" i="17"/>
  <c r="E16" i="17"/>
  <c r="D16" i="17"/>
  <c r="O28" i="17"/>
  <c r="L30" i="17" s="1"/>
  <c r="C37" i="17"/>
  <c r="E6" i="17"/>
  <c r="H6" i="17"/>
  <c r="D6" i="17"/>
  <c r="N43" i="23"/>
  <c r="N43" i="18"/>
  <c r="AH51" i="18"/>
  <c r="AH51" i="23"/>
  <c r="D14" i="17"/>
  <c r="C45" i="17"/>
  <c r="E14" i="17"/>
  <c r="H14" i="17"/>
  <c r="D40" i="23"/>
  <c r="D40" i="18"/>
  <c r="D41" i="23"/>
  <c r="D41" i="18"/>
  <c r="H18" i="24"/>
  <c r="G18" i="24"/>
  <c r="AH50" i="23"/>
  <c r="AH50" i="18"/>
  <c r="G17" i="24"/>
  <c r="H17" i="24"/>
  <c r="X46" i="23"/>
  <c r="X46" i="18"/>
  <c r="H22" i="24"/>
  <c r="G22" i="24"/>
  <c r="D57" i="23"/>
  <c r="D57" i="18"/>
  <c r="N52" i="23"/>
  <c r="N52" i="18"/>
  <c r="D52" i="23"/>
  <c r="D52" i="18"/>
  <c r="G11" i="24"/>
  <c r="H11" i="24"/>
  <c r="D47" i="23"/>
  <c r="D47" i="18"/>
  <c r="X45" i="23"/>
  <c r="X45" i="18"/>
  <c r="X39" i="23"/>
  <c r="X39" i="18"/>
  <c r="AH52" i="23"/>
  <c r="AH52" i="18"/>
  <c r="H4" i="24"/>
  <c r="G4" i="24"/>
  <c r="D50" i="23"/>
  <c r="D50" i="18"/>
  <c r="AH57" i="23"/>
  <c r="AH57" i="18"/>
  <c r="X42" i="23"/>
  <c r="X42" i="18"/>
  <c r="H26" i="17"/>
  <c r="E26" i="17"/>
  <c r="C57" i="17"/>
  <c r="D26" i="17"/>
  <c r="H5" i="17"/>
  <c r="E5" i="17"/>
  <c r="D5" i="17"/>
  <c r="C36" i="17"/>
  <c r="W28" i="17"/>
  <c r="T30" i="17" s="1"/>
  <c r="N54" i="23"/>
  <c r="N54" i="18"/>
  <c r="C40" i="17"/>
  <c r="H9" i="17"/>
  <c r="E9" i="17"/>
  <c r="D9" i="17"/>
  <c r="X53" i="23"/>
  <c r="X53" i="18"/>
  <c r="AH38" i="23"/>
  <c r="AH38" i="18"/>
  <c r="AH46" i="23"/>
  <c r="AH46" i="18"/>
  <c r="G28" i="17" l="1"/>
  <c r="D30" i="17" s="1"/>
  <c r="Z46" i="23"/>
  <c r="Z4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ELIFAZ DO NASCIMENTO SILVA</author>
  </authors>
  <commentList>
    <comment ref="AG2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AS2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E2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Q2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CA2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ase_HH_Usina_O" description="Conexão com a consulta 'Base_HH_Usina_O' na pasta de trabalho." type="5" refreshedVersion="0" background="1">
    <dbPr connection="Provider=Microsoft.Mashup.OleDb.1;Data Source=$Workbook$;Location=Base_HH_Usina_O;Extended Properties=&quot;&quot;" command="SELECT * FROM [Base_HH_Usina_O]"/>
  </connection>
  <connection id="2" xr16:uid="{C74A3841-FB46-4A03-8897-18D39F29D3C8}" keepAlive="1" name="Consulta - TB_Entradas" description="Conexão com a consulta 'TB_Entradas' na pasta de trabalho." type="5" refreshedVersion="8" background="1" saveData="1">
    <dbPr connection="Provider=Microsoft.Mashup.OleDb.1;Data Source=$Workbook$;Location=TB_Entradas;Extended Properties=&quot;&quot;" command="SELECT * FROM [TB_Entradas]"/>
  </connection>
  <connection id="3" xr16:uid="{00000000-0015-0000-FFFF-FFFF01000000}" keepAlive="1" name="Consulta - TB_HH_Usina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4" xr16:uid="{00000000-0015-0000-FFFF-FFFF02000000}" keepAlive="1" name="Consulta - TB_HH_Usina(1)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5" xr16:uid="{00000000-0015-0000-FFFF-FFFF03000000}" keepAlive="1" name="Consulta - TB_HH_Usinas" description="Conexão com a consulta 'TB_HH_Usinas' na pasta de trabalho." type="5" refreshedVersion="0" background="1">
    <dbPr connection="Provider=Microsoft.Mashup.OleDb.1;Data Source=$Workbook$;Location=TB_HH_Usinas;Extended Properties=&quot;&quot;" command="SELECT * FROM [TB_HH_Usin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<sst xmlns="http://schemas.openxmlformats.org/spreadsheetml/2006/main" count="418" uniqueCount="167">
  <si>
    <t>Usina</t>
  </si>
  <si>
    <t>USINA I</t>
  </si>
  <si>
    <t>USINA II</t>
  </si>
  <si>
    <t>USINA III</t>
  </si>
  <si>
    <t>USINA IV</t>
  </si>
  <si>
    <t>Data</t>
  </si>
  <si>
    <t>Hr</t>
  </si>
  <si>
    <t>R-D+1</t>
  </si>
  <si>
    <t>Eventos</t>
  </si>
  <si>
    <t>USINA 1</t>
  </si>
  <si>
    <t>Projeção</t>
  </si>
  <si>
    <t>USINA 2</t>
  </si>
  <si>
    <t>USINA 3</t>
  </si>
  <si>
    <t>USINA 4</t>
  </si>
  <si>
    <t>USINA RC</t>
  </si>
  <si>
    <t>6h</t>
  </si>
  <si>
    <t xml:space="preserve"> </t>
  </si>
  <si>
    <t>18h</t>
  </si>
  <si>
    <t>,l</t>
  </si>
  <si>
    <t>I:\Usina_Excelencia_Operacional\03-Acompanhamento Produção\Acompanhamento Produção 2022\Informações COI - USINA.xlsm</t>
  </si>
  <si>
    <t>s</t>
  </si>
  <si>
    <t>ACOMPANHAMENTO MOV. E PROD. - USINA</t>
  </si>
  <si>
    <t>ATUALIZADO:</t>
  </si>
  <si>
    <t>USINA</t>
  </si>
  <si>
    <t xml:space="preserve">Atualizado no dia: </t>
  </si>
  <si>
    <t>PARA NÃO PRECISARA ATUALIZAR ABRINDO A FONTE DE DADOS, FAVOR IR PARA ABA ( JUSTIFICATIVA DE USINA ) QUE NELA VOCÊS CONSEGUIRÁ APENAS ATUALIZAR LINK.</t>
  </si>
  <si>
    <t>REALIZADO</t>
  </si>
  <si>
    <t>Hora</t>
  </si>
  <si>
    <t>US1_D+1</t>
  </si>
  <si>
    <t>US1_REAL</t>
  </si>
  <si>
    <t>US2_D+1</t>
  </si>
  <si>
    <t>US2_REAL</t>
  </si>
  <si>
    <t>US3_D+1</t>
  </si>
  <si>
    <t>US3_REAL</t>
  </si>
  <si>
    <t>US4_D+1</t>
  </si>
  <si>
    <t>US4_REAL</t>
  </si>
  <si>
    <t>US2_RC_D+1</t>
  </si>
  <si>
    <t>US2_RC_REAL</t>
  </si>
  <si>
    <t>Proj_US1</t>
  </si>
  <si>
    <t>Proj_US2</t>
  </si>
  <si>
    <t>Proj_US3</t>
  </si>
  <si>
    <t>Proj_US4</t>
  </si>
  <si>
    <t>Proj_US_RC</t>
  </si>
  <si>
    <t>PRODUÇÃO TOTAL</t>
  </si>
  <si>
    <t>D+1</t>
  </si>
  <si>
    <t>REAL</t>
  </si>
  <si>
    <t>D+1 DEV</t>
  </si>
  <si>
    <t>D+1 Defit</t>
  </si>
  <si>
    <t>Acum+Dev</t>
  </si>
  <si>
    <t>Acumulado</t>
  </si>
  <si>
    <t>Msg</t>
  </si>
  <si>
    <t>Acum. Real vs Acum. D+1</t>
  </si>
  <si>
    <t>Acum. REAL</t>
  </si>
  <si>
    <t>Proj. Dia vs D+1</t>
  </si>
  <si>
    <t>Acum. PROJ.</t>
  </si>
  <si>
    <t>Saldo</t>
  </si>
  <si>
    <t>RITMO</t>
  </si>
  <si>
    <t>DIF</t>
  </si>
  <si>
    <t>Desafio</t>
  </si>
  <si>
    <t>CAMINHO PARA SALVA O FECHAMENTO</t>
  </si>
  <si>
    <t>Mês:</t>
  </si>
  <si>
    <t>ans</t>
  </si>
  <si>
    <t>7h</t>
  </si>
  <si>
    <t>Usinas Total</t>
  </si>
  <si>
    <t>Kt</t>
  </si>
  <si>
    <t xml:space="preserve">  / Real: </t>
  </si>
  <si>
    <t xml:space="preserve">Kt </t>
  </si>
  <si>
    <t xml:space="preserve"> Prog: </t>
  </si>
  <si>
    <t>BSM5 -&gt;</t>
  </si>
  <si>
    <t>USINA 02</t>
  </si>
  <si>
    <t xml:space="preserve"> / Real: </t>
  </si>
  <si>
    <t>BSM7 -&gt;</t>
  </si>
  <si>
    <t>BSM6 -&gt;</t>
  </si>
  <si>
    <t>BSM3 -&gt;</t>
  </si>
  <si>
    <t>BSM2 -&gt;</t>
  </si>
  <si>
    <t>BRIT -&gt;</t>
  </si>
  <si>
    <t>USINA 01</t>
  </si>
  <si>
    <t xml:space="preserve">                   </t>
  </si>
  <si>
    <t>Programa</t>
  </si>
  <si>
    <t>Executado</t>
  </si>
  <si>
    <t>Formação Pulm UNP</t>
  </si>
  <si>
    <t>CONTROLE ALIMENTAÇÃO DE PULMÃO</t>
  </si>
  <si>
    <t>3h</t>
  </si>
  <si>
    <t>.+-</t>
  </si>
  <si>
    <t>Manutenção Corretiva (colapso da Grelha fixa);</t>
  </si>
  <si>
    <t xml:space="preserve"> Prog:</t>
  </si>
  <si>
    <t>Manutenção Preventiva</t>
  </si>
  <si>
    <t xml:space="preserve">Baixa oferta mau tempo neblina; </t>
  </si>
  <si>
    <t>Baixa oferta mau tempo neblina, PUL-BSM3 material com excesso de umidade;</t>
  </si>
  <si>
    <t xml:space="preserve">Baixa oferta mau tempo neblina, PUL-BSM5 fim de volume; </t>
  </si>
  <si>
    <t>Tabela Semanal (kt) - Usinas</t>
  </si>
  <si>
    <t>Ganho</t>
  </si>
  <si>
    <t>Perda</t>
  </si>
  <si>
    <t>ITEM</t>
  </si>
  <si>
    <t>Incolor</t>
  </si>
  <si>
    <t>Cinza</t>
  </si>
  <si>
    <t>Verde</t>
  </si>
  <si>
    <t>Vermelho</t>
  </si>
  <si>
    <t>BRIT 01</t>
  </si>
  <si>
    <t>BSM 03</t>
  </si>
  <si>
    <t>BSM 04</t>
  </si>
  <si>
    <t>Hopper 02</t>
  </si>
  <si>
    <t>BSM 05</t>
  </si>
  <si>
    <t>BSM 07</t>
  </si>
  <si>
    <t>REP-06</t>
  </si>
  <si>
    <t>REP-02</t>
  </si>
  <si>
    <t>BSM 02</t>
  </si>
  <si>
    <t>Real</t>
  </si>
  <si>
    <t>Parcela</t>
  </si>
  <si>
    <t>Prog Acum.</t>
  </si>
  <si>
    <t>Real Acum.</t>
  </si>
  <si>
    <t>Procv</t>
  </si>
  <si>
    <t>Δ Realizado</t>
  </si>
  <si>
    <t>SOE</t>
  </si>
  <si>
    <t>Dif</t>
  </si>
  <si>
    <t>N4</t>
  </si>
  <si>
    <t>N5</t>
  </si>
  <si>
    <t>Total</t>
  </si>
  <si>
    <t>-</t>
  </si>
  <si>
    <t>Gráfico</t>
  </si>
  <si>
    <t>EXEC</t>
  </si>
  <si>
    <t>BRIT 1</t>
  </si>
  <si>
    <t>BSM 2</t>
  </si>
  <si>
    <t>BSM 3</t>
  </si>
  <si>
    <t>BSM 5</t>
  </si>
  <si>
    <t>BSM 6</t>
  </si>
  <si>
    <t>BSM 7</t>
  </si>
  <si>
    <t>REP 02</t>
  </si>
  <si>
    <t>REP 06</t>
  </si>
  <si>
    <t>D+1 Acum</t>
  </si>
  <si>
    <t>USINA 03</t>
  </si>
  <si>
    <t>CIRCUITO ENTRADAS</t>
  </si>
  <si>
    <t/>
  </si>
  <si>
    <t>Mau tempo/neblina</t>
  </si>
  <si>
    <t>SE 181-01 Pico de energia</t>
  </si>
  <si>
    <t>Desalinhamento transportador</t>
  </si>
  <si>
    <t>Material úmido e argiloso</t>
  </si>
  <si>
    <t xml:space="preserve">Mau tempo/Chuva </t>
  </si>
  <si>
    <t>AZAMENTO NO CHUTE</t>
  </si>
  <si>
    <t>='JUSTIFICATIVA DE USINA'!$Z$3</t>
  </si>
  <si>
    <r>
      <t xml:space="preserve">Principal impacto: </t>
    </r>
    <r>
      <rPr>
        <sz val="14"/>
        <color theme="1"/>
        <rFont val="Calibri"/>
        <family val="2"/>
        <scheme val="minor"/>
      </rPr>
      <t>- REP03/05: Falta de área de estocagem no pátio M;</t>
    </r>
  </si>
  <si>
    <r>
      <t>Principal impacto: -</t>
    </r>
    <r>
      <rPr>
        <sz val="14"/>
        <color theme="1"/>
        <rFont val="Calibri"/>
        <family val="2"/>
        <scheme val="minor"/>
      </rPr>
      <t xml:space="preserve"> Descontaminação da classificação que está produzindo FASN, No D veio programado SFLS;</t>
    </r>
  </si>
  <si>
    <r>
      <t>Principal impacto: -</t>
    </r>
    <r>
      <rPr>
        <sz val="14"/>
        <color theme="1"/>
        <rFont val="Calibri"/>
        <family val="2"/>
        <scheme val="minor"/>
      </rPr>
      <t xml:space="preserve"> TR 149-02/ F.Disco: falha no sensor de velociadade, TR 151-23/F. Prensa: Rolamento do tambor danificado;</t>
    </r>
  </si>
  <si>
    <r>
      <t>Principal impacto: -</t>
    </r>
    <r>
      <rPr>
        <sz val="14"/>
        <color theme="1"/>
        <rFont val="Calibri"/>
        <family val="2"/>
        <scheme val="minor"/>
      </rPr>
      <t xml:space="preserve"> Descontaminação da classificação que está produzindo FASN, no D veio programado SFLS;</t>
    </r>
  </si>
  <si>
    <r>
      <t>'Principal impacto: -</t>
    </r>
    <r>
      <rPr>
        <sz val="14"/>
        <color theme="1"/>
        <rFont val="Calibri"/>
        <family val="2"/>
        <scheme val="minor"/>
      </rPr>
      <t xml:space="preserve"> REP06: material granulado da ESC 0901 ocasionando limpeza de grelha;</t>
    </r>
  </si>
  <si>
    <r>
      <t>'Principal impacto: -</t>
    </r>
    <r>
      <rPr>
        <sz val="14"/>
        <color theme="1"/>
        <rFont val="Calibri"/>
        <family val="2"/>
        <scheme val="minor"/>
      </rPr>
      <t xml:space="preserve"> REP02,06: material granulado da ESC 0901 ocasionando limpeza de grelha;</t>
    </r>
  </si>
  <si>
    <t>Manutenção preventiva;</t>
  </si>
  <si>
    <t>TR 117-07 Cortando borda (liberada);</t>
  </si>
  <si>
    <t xml:space="preserve"> DF de britadores, impactando na descontaminação da classificação FASN para SFLS;</t>
  </si>
  <si>
    <t xml:space="preserve"> Material granulado da ESC 0901 ocasionando limpezas de grelha;</t>
  </si>
  <si>
    <t>Condição de segurança na LN 02;</t>
  </si>
  <si>
    <r>
      <t>Principal impacto: -</t>
    </r>
    <r>
      <rPr>
        <sz val="14"/>
        <color theme="1"/>
        <rFont val="Calibri"/>
        <family val="2"/>
        <scheme val="minor"/>
      </rPr>
      <t xml:space="preserve"> TR 117-07/BSM07: Sensor de rasgo, rompeu o Nylon do Rip Cord (Identificado borda);</t>
    </r>
  </si>
  <si>
    <r>
      <t>Principal impacto: -</t>
    </r>
    <r>
      <rPr>
        <sz val="14"/>
        <color theme="1"/>
        <rFont val="Calibri"/>
        <family val="2"/>
        <scheme val="minor"/>
      </rPr>
      <t xml:space="preserve"> Restrição na classificação devido, DF de britadores, BR 3030-01: Falha hidráulica, BR 3030-03: Manutenção Preventiva, BR 3030-05: Troca do motor;</t>
    </r>
  </si>
  <si>
    <r>
      <t>'Principal impacto: -</t>
    </r>
    <r>
      <rPr>
        <sz val="14"/>
        <color theme="1"/>
        <rFont val="Calibri"/>
        <family val="2"/>
        <scheme val="minor"/>
      </rPr>
      <t xml:space="preserve"> REP02: material granulado da ESC 0901 ocasionando limpeza de grelha; TR 1230-73/REP06: desalinhamento;</t>
    </r>
  </si>
  <si>
    <r>
      <t xml:space="preserve">Principal impacto: </t>
    </r>
    <r>
      <rPr>
        <sz val="14"/>
        <color theme="1"/>
        <rFont val="Calibri"/>
        <family val="2"/>
        <scheme val="minor"/>
      </rPr>
      <t>PN II, baixa produtividade devido material úmido e argiloso, operando com taxas mínimas (ESC0903);</t>
    </r>
  </si>
  <si>
    <r>
      <t xml:space="preserve">Principal impacto: </t>
    </r>
    <r>
      <rPr>
        <sz val="14"/>
        <color theme="1"/>
        <rFont val="Calibri"/>
        <family val="2"/>
        <scheme val="minor"/>
      </rPr>
      <t>PN II, baixa produtividade devido material úmido e argiloso, perda de blend da BSM07 por limpeza de grelha.</t>
    </r>
  </si>
  <si>
    <r>
      <t>'Principal impacto: -</t>
    </r>
    <r>
      <rPr>
        <sz val="14"/>
        <color theme="1"/>
        <rFont val="Calibri"/>
        <family val="2"/>
        <scheme val="minor"/>
      </rPr>
      <t xml:space="preserve"> REP02 e 06: troca de turno;</t>
    </r>
  </si>
  <si>
    <r>
      <t>'Principal impacto: -</t>
    </r>
    <r>
      <rPr>
        <sz val="14"/>
        <color theme="1"/>
        <rFont val="Calibri"/>
        <family val="2"/>
        <scheme val="minor"/>
      </rPr>
      <t xml:space="preserve"> REP06: limpeza de tela e DF a LN 26 (tela) / Desc de fino: AL 135-02 desalinhamento;</t>
    </r>
  </si>
  <si>
    <r>
      <t xml:space="preserve">'Principal impacto: </t>
    </r>
    <r>
      <rPr>
        <sz val="14"/>
        <color theme="1"/>
        <rFont val="Calibri"/>
        <family val="2"/>
        <scheme val="minor"/>
      </rPr>
      <t>Desc de fino: TR 135-04,  nível alto no chute;</t>
    </r>
  </si>
  <si>
    <r>
      <t xml:space="preserve">Principal impacto: </t>
    </r>
    <r>
      <rPr>
        <sz val="14"/>
        <color theme="1"/>
        <rFont val="Calibri"/>
        <family val="2"/>
        <scheme val="minor"/>
      </rPr>
      <t>BSM05: falta de alimentação devido DF de retro e moega cheia de material;</t>
    </r>
  </si>
  <si>
    <r>
      <t xml:space="preserve">-Abaixo do programa
Impactos:
</t>
    </r>
    <r>
      <rPr>
        <sz val="12"/>
        <color theme="1"/>
        <rFont val="Arial"/>
        <family val="2"/>
      </rPr>
      <t>- REP03/05: parados devido falta de área de estocagem no pátio M;</t>
    </r>
  </si>
  <si>
    <r>
      <t xml:space="preserve">-Aderente ao programa:
Impactos:
</t>
    </r>
    <r>
      <rPr>
        <sz val="12"/>
        <color theme="1"/>
        <rFont val="Arial"/>
        <family val="2"/>
      </rPr>
      <t xml:space="preserve">
</t>
    </r>
    <r>
      <rPr>
        <b/>
        <sz val="12"/>
        <color theme="1"/>
        <rFont val="Arial"/>
        <family val="2"/>
      </rPr>
      <t>Ponto de atenção:*</t>
    </r>
    <r>
      <rPr>
        <sz val="12"/>
        <color theme="1"/>
        <rFont val="Arial"/>
        <family val="2"/>
      </rPr>
      <t xml:space="preserve">
</t>
    </r>
    <r>
      <rPr>
        <b/>
        <sz val="12"/>
        <color theme="1"/>
        <rFont val="Arial"/>
        <family val="2"/>
      </rPr>
      <t xml:space="preserve">
Nota:</t>
    </r>
    <r>
      <rPr>
        <sz val="12"/>
        <color theme="1"/>
        <rFont val="Arial"/>
        <family val="2"/>
      </rPr>
      <t xml:space="preserve">
Programação de massa da BSM3 realizado as 04:00h
</t>
    </r>
  </si>
  <si>
    <r>
      <t xml:space="preserve">Principal impacto: </t>
    </r>
    <r>
      <rPr>
        <sz val="14"/>
        <color theme="1"/>
        <rFont val="Calibri"/>
        <family val="2"/>
        <scheme val="minor"/>
      </rPr>
      <t>TR 3011-19/Bloco B parado devido vazamento no chute</t>
    </r>
  </si>
  <si>
    <r>
      <t xml:space="preserve">Principal impacto: </t>
    </r>
    <r>
      <rPr>
        <sz val="14"/>
        <color theme="1"/>
        <rFont val="Calibri"/>
        <family val="2"/>
        <scheme val="minor"/>
      </rPr>
      <t xml:space="preserve"> Classificação baixa produtividade  DF de britadores, </t>
    </r>
  </si>
  <si>
    <r>
      <t>Principal impacto:</t>
    </r>
    <r>
      <rPr>
        <sz val="14"/>
        <color theme="1"/>
        <rFont val="Calibri"/>
        <family val="2"/>
        <scheme val="minor"/>
      </rPr>
      <t xml:space="preserve">  TR 151-25 desalinhamento da correia </t>
    </r>
  </si>
  <si>
    <r>
      <t xml:space="preserve">- Abaixo do programa:
Impactos:
</t>
    </r>
    <r>
      <rPr>
        <sz val="12"/>
        <color theme="1"/>
        <rFont val="Arial"/>
        <family val="2"/>
      </rPr>
      <t xml:space="preserve">-  Classificação e DF de britadores, estamos produzindo o FASN (alta sílica) de 00:00 ás 15:00
- TR 3011-18 parando por chave de desalinhamento, dificultando o processo de zerar os silos,  de 00:00 ás 03:00
- BSM05: falta de alimentação devido DF de retro e moega cheia de material de 12:00 às 15:00
- TR 3011-19/Bloco B parado devido vazamento no chute, de  18:00 às 21:15 
</t>
    </r>
    <r>
      <rPr>
        <b/>
        <sz val="12"/>
        <color theme="1"/>
        <rFont val="Arial"/>
        <family val="2"/>
      </rPr>
      <t xml:space="preserve">
Pontos de atenção:
</t>
    </r>
    <r>
      <rPr>
        <sz val="12"/>
        <color theme="1"/>
        <rFont val="Arial"/>
        <family val="2"/>
      </rPr>
      <t>- TR 3030-02- Desgaste no trilho (vigente);</t>
    </r>
    <r>
      <rPr>
        <b/>
        <sz val="12"/>
        <color theme="1"/>
        <rFont val="Arial"/>
        <family val="2"/>
      </rPr>
      <t xml:space="preserve">
</t>
    </r>
    <r>
      <rPr>
        <sz val="12"/>
        <color theme="1"/>
        <rFont val="Arial"/>
        <family val="2"/>
      </rPr>
      <t xml:space="preserve"> </t>
    </r>
  </si>
  <si>
    <t xml:space="preserve">-Aderente ao programa:
Impactos: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</si>
</sst>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(&quot;R$&quot;* #,##0.00_);_(&quot;R$&quot;* \(#,##0.00\);_(&quot;R$&quot;* &quot;-&quot;??_);_(@_)"/>
    <numFmt numFmtId="165" formatCode="0.000"/>
    <numFmt numFmtId="166" formatCode="&quot;Cr$&quot;#,##0;[Red]&quot;Cr$&quot;#,##0&quot;-&quot;"/>
    <numFmt numFmtId="167" formatCode="General_)"/>
    <numFmt numFmtId="168" formatCode="0.00%;[Red]\-0.00%"/>
    <numFmt numFmtId="169" formatCode="0.000;[Red]\-0.000"/>
    <numFmt numFmtId="170" formatCode="&quot;R$&quot;\ #,##0.00_);[Red]\(&quot;R$&quot;\ #,##0.00\)"/>
    <numFmt numFmtId="171" formatCode="[$-416]d\-mmm;@"/>
    <numFmt numFmtId="172" formatCode="_(* #,##0_);_(* \(#,##0\);_(* &quot;-&quot;??_);_(@_)"/>
    <numFmt numFmtId="173" formatCode="0&quot;h&quot;"/>
    <numFmt numFmtId="174" formatCode="[$-F400]h:mm:ss\ AM/PM"/>
    <numFmt numFmtId="175" formatCode="d/m/yy\ h:mm;@"/>
    <numFmt numFmtId="176" formatCode="0.0"/>
    <numFmt numFmtId="177" formatCode="#,##0.0_ ;\-#,##0.0\ "/>
    <numFmt numFmtId="178" formatCode="#,##0.0"/>
    <numFmt numFmtId="179" formatCode="#,##0_ ;[Red]\-#,##0\ "/>
    <numFmt numFmtId="180" formatCode="[$-F800]dddd\,\ mmmm\ dd\,\ yyyy"/>
  </numFmts>
  <fonts count="117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color indexed="10"/>
      <name val="Geneva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8.25"/>
      <color indexed="36"/>
      <name val="µ¸¿ò"/>
      <family val="3"/>
      <charset val="129"/>
    </font>
    <font>
      <sz val="10"/>
      <name val="MS Sans Serif"/>
      <family val="2"/>
    </font>
    <font>
      <sz val="12"/>
      <name val="Impact"/>
      <family val="2"/>
    </font>
    <font>
      <b/>
      <sz val="10"/>
      <color indexed="38"/>
      <name val="Arial"/>
      <family val="2"/>
    </font>
    <font>
      <b/>
      <sz val="18"/>
      <color indexed="38"/>
      <name val="Impact"/>
      <family val="2"/>
    </font>
    <font>
      <b/>
      <sz val="14"/>
      <color indexed="38"/>
      <name val="Impact"/>
      <family val="2"/>
    </font>
    <font>
      <sz val="10"/>
      <name val="Arial Rounded MT Bold"/>
      <family val="2"/>
    </font>
    <font>
      <sz val="16"/>
      <color indexed="9"/>
      <name val="Impact"/>
      <family val="2"/>
    </font>
    <font>
      <sz val="10"/>
      <color indexed="17"/>
      <name val="Arial"/>
      <family val="2"/>
    </font>
    <font>
      <b/>
      <sz val="10"/>
      <color indexed="53"/>
      <name val="Arial"/>
      <family val="2"/>
    </font>
    <font>
      <sz val="8"/>
      <color indexed="8"/>
      <name val="Tahoma"/>
      <family val="2"/>
    </font>
    <font>
      <u/>
      <sz val="8.25"/>
      <color indexed="12"/>
      <name val="µ¸¿ò"/>
      <family val="3"/>
      <charset val="129"/>
    </font>
    <font>
      <sz val="12"/>
      <color indexed="24"/>
      <name val="System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sz val="8"/>
      <name val="Times New Roman"/>
      <family val="1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0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24"/>
      <color theme="0"/>
      <name val="Arial"/>
      <family val="2"/>
    </font>
    <font>
      <sz val="11"/>
      <color rgb="FFFF0000"/>
      <name val="Arial"/>
      <family val="2"/>
    </font>
    <font>
      <b/>
      <sz val="36"/>
      <color theme="0"/>
      <name val="Arial"/>
      <family val="2"/>
    </font>
    <font>
      <sz val="11"/>
      <color theme="0"/>
      <name val="Arial"/>
      <family val="2"/>
    </font>
    <font>
      <sz val="8"/>
      <color theme="0"/>
      <name val="Arial"/>
      <family val="2"/>
    </font>
    <font>
      <b/>
      <sz val="11"/>
      <color theme="2" tint="-0.89999084444715716"/>
      <name val="Arial"/>
      <family val="2"/>
    </font>
    <font>
      <sz val="20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2" tint="-0.89999084444715716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14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18"/>
      <color theme="5"/>
      <name val="Arial"/>
      <family val="2"/>
    </font>
    <font>
      <b/>
      <sz val="26"/>
      <color rgb="FFFF0000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20"/>
      <color theme="0"/>
      <name val="Arial"/>
      <family val="2"/>
    </font>
    <font>
      <sz val="14"/>
      <color theme="4" tint="-0.499984740745262"/>
      <name val="Arial"/>
      <family val="2"/>
    </font>
    <font>
      <b/>
      <sz val="12"/>
      <color theme="1"/>
      <name val="Arial"/>
      <family val="2"/>
    </font>
    <font>
      <sz val="11"/>
      <color rgb="FF242424"/>
      <name val="Segoe UI"/>
      <family val="2"/>
    </font>
    <font>
      <sz val="20"/>
      <color rgb="FFFF0000"/>
      <name val="Arial"/>
      <family val="2"/>
    </font>
    <font>
      <sz val="15.8"/>
      <color theme="1"/>
      <name val="Calibri"/>
      <family val="2"/>
      <scheme val="minor"/>
    </font>
    <font>
      <b/>
      <sz val="15.8"/>
      <color rgb="FF555555"/>
      <name val="Vale Sans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Vale Sans"/>
      <family val="2"/>
    </font>
    <font>
      <b/>
      <sz val="12"/>
      <color theme="0"/>
      <name val="Vale Sans"/>
      <family val="2"/>
    </font>
    <font>
      <b/>
      <sz val="12"/>
      <color theme="1"/>
      <name val="Vale Sans"/>
      <family val="2"/>
    </font>
    <font>
      <sz val="12"/>
      <name val="Vale Sans"/>
      <family val="2"/>
    </font>
    <font>
      <sz val="12"/>
      <color rgb="FFFF0000"/>
      <name val="Vale Sans"/>
      <family val="2"/>
    </font>
    <font>
      <sz val="12"/>
      <color rgb="FF000000"/>
      <name val="Vale Sans"/>
      <family val="2"/>
    </font>
    <font>
      <b/>
      <sz val="12"/>
      <color theme="1"/>
      <name val="Calibri"/>
      <family val="2"/>
      <scheme val="minor"/>
    </font>
    <font>
      <b/>
      <sz val="16"/>
      <color rgb="FFFF0000"/>
      <name val="Vale Sans"/>
      <family val="2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72 Monospace"/>
      <family val="3"/>
    </font>
    <font>
      <b/>
      <sz val="11"/>
      <color rgb="FFFF0000"/>
      <name val="72 Monospace"/>
      <family val="3"/>
    </font>
  </fonts>
  <fills count="6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</patternFill>
    </fill>
    <fill>
      <patternFill patternType="solid">
        <fgColor indexed="22"/>
        <bgColor indexed="22"/>
      </patternFill>
    </fill>
    <fill>
      <patternFill patternType="gray0625">
        <bgColor indexed="22"/>
      </patternFill>
    </fill>
    <fill>
      <patternFill patternType="solid">
        <fgColor indexed="38"/>
        <bgColor indexed="64"/>
      </patternFill>
    </fill>
    <fill>
      <patternFill patternType="solid">
        <fgColor indexed="12"/>
        <bgColor indexed="9"/>
      </patternFill>
    </fill>
    <fill>
      <patternFill patternType="solid">
        <fgColor indexed="18"/>
        <bgColor indexed="18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lightTrellis">
        <fgColor indexed="22"/>
        <b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-0.24997711111789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ouble">
        <color indexed="21"/>
      </left>
      <right/>
      <top style="double">
        <color indexed="21"/>
      </top>
      <bottom style="double">
        <color indexed="22"/>
      </bottom>
      <diagonal/>
    </border>
    <border>
      <left style="double">
        <color indexed="22"/>
      </left>
      <right style="medium">
        <color indexed="22"/>
      </right>
      <top style="double">
        <color indexed="22"/>
      </top>
      <bottom style="double">
        <color indexed="21"/>
      </bottom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8" tint="0.59999389629810485"/>
      </left>
      <right/>
      <top style="medium">
        <color theme="8" tint="0.59999389629810485"/>
      </top>
      <bottom/>
      <diagonal/>
    </border>
    <border>
      <left/>
      <right/>
      <top style="medium">
        <color theme="8" tint="0.59999389629810485"/>
      </top>
      <bottom/>
      <diagonal/>
    </border>
    <border>
      <left/>
      <right style="medium">
        <color theme="8" tint="0.59999389629810485"/>
      </right>
      <top style="medium">
        <color theme="8" tint="0.59999389629810485"/>
      </top>
      <bottom/>
      <diagonal/>
    </border>
    <border>
      <left style="medium">
        <color theme="8" tint="0.59999389629810485"/>
      </left>
      <right/>
      <top/>
      <bottom/>
      <diagonal/>
    </border>
    <border>
      <left/>
      <right style="medium">
        <color theme="8" tint="0.59999389629810485"/>
      </right>
      <top/>
      <bottom/>
      <diagonal/>
    </border>
    <border>
      <left style="medium">
        <color theme="8" tint="0.59999389629810485"/>
      </left>
      <right/>
      <top/>
      <bottom style="medium">
        <color theme="8" tint="0.59999389629810485"/>
      </bottom>
      <diagonal/>
    </border>
    <border>
      <left/>
      <right/>
      <top/>
      <bottom style="medium">
        <color theme="8" tint="0.59999389629810485"/>
      </bottom>
      <diagonal/>
    </border>
    <border>
      <left/>
      <right style="medium">
        <color theme="8" tint="0.59999389629810485"/>
      </right>
      <top/>
      <bottom style="medium">
        <color theme="8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double">
        <color theme="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</borders>
  <cellStyleXfs count="1546">
    <xf numFmtId="0" fontId="0" fillId="0" borderId="0"/>
    <xf numFmtId="0" fontId="3" fillId="0" borderId="0" applyFill="0" applyProtection="0"/>
    <xf numFmtId="0" fontId="6" fillId="0" borderId="0" applyFill="0" applyProtection="0"/>
    <xf numFmtId="171" fontId="10" fillId="0" borderId="0"/>
    <xf numFmtId="9" fontId="8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 applyFill="0" applyProtection="0"/>
    <xf numFmtId="0" fontId="6" fillId="0" borderId="0" applyFill="0" applyProtection="0"/>
    <xf numFmtId="43" fontId="6" fillId="0" borderId="0" applyFont="0" applyFill="0" applyBorder="0" applyAlignment="0" applyProtection="0"/>
    <xf numFmtId="171" fontId="12" fillId="0" borderId="0" applyNumberFormat="0" applyFill="0" applyBorder="0" applyAlignment="0" applyProtection="0">
      <alignment vertical="top"/>
      <protection locked="0"/>
    </xf>
    <xf numFmtId="171" fontId="8" fillId="0" borderId="0"/>
    <xf numFmtId="171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171" fontId="6" fillId="0" borderId="0"/>
    <xf numFmtId="171" fontId="8" fillId="0" borderId="0"/>
    <xf numFmtId="171" fontId="6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2" fillId="0" borderId="0"/>
    <xf numFmtId="171" fontId="28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  <xf numFmtId="171" fontId="6" fillId="5" borderId="0" applyNumberFormat="0" applyBorder="0" applyAlignment="0" applyProtection="0"/>
    <xf numFmtId="171" fontId="6" fillId="6" borderId="0" applyNumberFormat="0" applyBorder="0" applyAlignment="0" applyProtection="0"/>
    <xf numFmtId="171" fontId="6" fillId="7" borderId="0" applyNumberFormat="0" applyBorder="0" applyAlignment="0" applyProtection="0"/>
    <xf numFmtId="171" fontId="6" fillId="8" borderId="0" applyNumberFormat="0" applyBorder="0" applyAlignment="0" applyProtection="0"/>
    <xf numFmtId="171" fontId="6" fillId="9" borderId="0" applyNumberFormat="0" applyBorder="0" applyAlignment="0" applyProtection="0"/>
    <xf numFmtId="171" fontId="6" fillId="10" borderId="0" applyNumberFormat="0" applyBorder="0" applyAlignment="0" applyProtection="0"/>
    <xf numFmtId="171" fontId="6" fillId="11" borderId="0" applyNumberFormat="0" applyBorder="0" applyAlignment="0" applyProtection="0"/>
    <xf numFmtId="171" fontId="6" fillId="12" borderId="0" applyNumberFormat="0" applyBorder="0" applyAlignment="0" applyProtection="0"/>
    <xf numFmtId="171" fontId="6" fillId="13" borderId="0" applyNumberFormat="0" applyBorder="0" applyAlignment="0" applyProtection="0"/>
    <xf numFmtId="171" fontId="6" fillId="8" borderId="0" applyNumberFormat="0" applyBorder="0" applyAlignment="0" applyProtection="0"/>
    <xf numFmtId="171" fontId="6" fillId="11" borderId="0" applyNumberFormat="0" applyBorder="0" applyAlignment="0" applyProtection="0"/>
    <xf numFmtId="171" fontId="6" fillId="14" borderId="0" applyNumberFormat="0" applyBorder="0" applyAlignment="0" applyProtection="0"/>
    <xf numFmtId="171" fontId="14" fillId="15" borderId="0" applyNumberFormat="0" applyBorder="0" applyAlignment="0" applyProtection="0"/>
    <xf numFmtId="171" fontId="14" fillId="12" borderId="0" applyNumberFormat="0" applyBorder="0" applyAlignment="0" applyProtection="0"/>
    <xf numFmtId="171" fontId="14" fillId="13" borderId="0" applyNumberFormat="0" applyBorder="0" applyAlignment="0" applyProtection="0"/>
    <xf numFmtId="171" fontId="14" fillId="16" borderId="0" applyNumberFormat="0" applyBorder="0" applyAlignment="0" applyProtection="0"/>
    <xf numFmtId="171" fontId="14" fillId="17" borderId="0" applyNumberFormat="0" applyBorder="0" applyAlignment="0" applyProtection="0"/>
    <xf numFmtId="171" fontId="14" fillId="18" borderId="0" applyNumberFormat="0" applyBorder="0" applyAlignment="0" applyProtection="0"/>
    <xf numFmtId="38" fontId="29" fillId="0" borderId="0" applyFont="0" applyFill="0" applyBorder="0" applyAlignment="0" applyProtection="0"/>
    <xf numFmtId="171" fontId="15" fillId="7" borderId="0" applyNumberFormat="0" applyBorder="0" applyAlignment="0" applyProtection="0"/>
    <xf numFmtId="171" fontId="8" fillId="0" borderId="0"/>
    <xf numFmtId="171" fontId="16" fillId="19" borderId="4" applyNumberFormat="0" applyAlignment="0" applyProtection="0"/>
    <xf numFmtId="171" fontId="8" fillId="7" borderId="5"/>
    <xf numFmtId="171" fontId="8" fillId="6" borderId="5"/>
    <xf numFmtId="171" fontId="8" fillId="20" borderId="5"/>
    <xf numFmtId="171" fontId="30" fillId="3" borderId="5">
      <alignment horizontal="left" vertical="center" wrapText="1"/>
    </xf>
    <xf numFmtId="171" fontId="31" fillId="21" borderId="3">
      <alignment horizontal="center" textRotation="90"/>
    </xf>
    <xf numFmtId="171" fontId="8" fillId="4" borderId="6">
      <alignment horizontal="center" vertical="center"/>
    </xf>
    <xf numFmtId="165" fontId="8" fillId="4" borderId="6">
      <alignment horizontal="right" vertical="center"/>
    </xf>
    <xf numFmtId="10" fontId="8" fillId="4" borderId="6">
      <alignment horizontal="right" vertical="center"/>
    </xf>
    <xf numFmtId="171" fontId="32" fillId="22" borderId="7" applyBorder="0">
      <alignment horizontal="centerContinuous" vertical="center"/>
    </xf>
    <xf numFmtId="171" fontId="13" fillId="23" borderId="8">
      <alignment horizontal="center" vertical="center" wrapText="1"/>
    </xf>
    <xf numFmtId="171" fontId="33" fillId="2" borderId="9">
      <alignment horizontal="centerContinuous" vertical="center" wrapText="1"/>
    </xf>
    <xf numFmtId="171" fontId="34" fillId="24" borderId="10">
      <alignment horizontal="center" vertical="center" wrapText="1"/>
    </xf>
    <xf numFmtId="171" fontId="35" fillId="25" borderId="10">
      <alignment horizontal="centerContinuous" vertical="center"/>
    </xf>
    <xf numFmtId="165" fontId="9" fillId="3" borderId="3"/>
    <xf numFmtId="165" fontId="9" fillId="19" borderId="5"/>
    <xf numFmtId="171" fontId="9" fillId="3" borderId="3">
      <alignment horizontal="left"/>
    </xf>
    <xf numFmtId="10" fontId="9" fillId="3" borderId="3"/>
    <xf numFmtId="168" fontId="9" fillId="19" borderId="5"/>
    <xf numFmtId="10" fontId="9" fillId="19" borderId="5"/>
    <xf numFmtId="169" fontId="9" fillId="19" borderId="5"/>
    <xf numFmtId="10" fontId="8" fillId="4" borderId="6" applyBorder="0">
      <alignment horizontal="right" vertical="center"/>
    </xf>
    <xf numFmtId="171" fontId="8" fillId="26" borderId="5">
      <alignment vertical="top" wrapText="1"/>
    </xf>
    <xf numFmtId="10" fontId="8" fillId="27" borderId="5" applyFont="0" applyAlignment="0" applyProtection="0"/>
    <xf numFmtId="165" fontId="8" fillId="27" borderId="5" applyFont="0" applyAlignment="0" applyProtection="0"/>
    <xf numFmtId="10" fontId="36" fillId="0" borderId="5" applyAlignment="0" applyProtection="0"/>
    <xf numFmtId="165" fontId="36" fillId="0" borderId="5" applyAlignment="0" applyProtection="0"/>
    <xf numFmtId="10" fontId="11" fillId="0" borderId="5" applyAlignment="0" applyProtection="0"/>
    <xf numFmtId="165" fontId="11" fillId="0" borderId="5" applyAlignment="0" applyProtection="0"/>
    <xf numFmtId="10" fontId="37" fillId="0" borderId="5" applyAlignment="0" applyProtection="0"/>
    <xf numFmtId="165" fontId="37" fillId="0" borderId="5" applyAlignment="0" applyProtection="0"/>
    <xf numFmtId="171" fontId="38" fillId="28" borderId="3">
      <alignment horizontal="left"/>
    </xf>
    <xf numFmtId="1" fontId="8" fillId="0" borderId="1" applyNumberFormat="0" applyFont="0" applyBorder="0" applyAlignment="0" applyProtection="0">
      <alignment horizontal="center"/>
      <protection locked="0"/>
    </xf>
    <xf numFmtId="1" fontId="8" fillId="29" borderId="1" applyNumberFormat="0" applyFont="0" applyBorder="0" applyAlignment="0" applyProtection="0">
      <alignment horizontal="center"/>
      <protection locked="0"/>
    </xf>
    <xf numFmtId="1" fontId="8" fillId="3" borderId="1" applyNumberFormat="0" applyFont="0" applyAlignment="0" applyProtection="0">
      <alignment horizontal="center"/>
      <protection locked="0"/>
    </xf>
    <xf numFmtId="1" fontId="8" fillId="30" borderId="1" applyNumberFormat="0" applyFont="0" applyBorder="0" applyAlignment="0" applyProtection="0">
      <alignment horizontal="center"/>
      <protection locked="0"/>
    </xf>
    <xf numFmtId="171" fontId="4" fillId="27" borderId="11" applyNumberFormat="0" applyAlignment="0" applyProtection="0"/>
    <xf numFmtId="171" fontId="17" fillId="0" borderId="12" applyNumberFormat="0" applyFill="0" applyAlignment="0" applyProtection="0"/>
    <xf numFmtId="171" fontId="39" fillId="0" borderId="0" applyNumberFormat="0" applyFill="0" applyBorder="0" applyAlignment="0" applyProtection="0">
      <alignment vertical="top"/>
      <protection locked="0"/>
    </xf>
    <xf numFmtId="3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14" fillId="31" borderId="0" applyNumberFormat="0" applyBorder="0" applyAlignment="0" applyProtection="0"/>
    <xf numFmtId="171" fontId="14" fillId="26" borderId="0" applyNumberFormat="0" applyBorder="0" applyAlignment="0" applyProtection="0"/>
    <xf numFmtId="171" fontId="14" fillId="32" borderId="0" applyNumberFormat="0" applyBorder="0" applyAlignment="0" applyProtection="0"/>
    <xf numFmtId="171" fontId="14" fillId="16" borderId="0" applyNumberFormat="0" applyBorder="0" applyAlignment="0" applyProtection="0"/>
    <xf numFmtId="171" fontId="14" fillId="17" borderId="0" applyNumberFormat="0" applyBorder="0" applyAlignment="0" applyProtection="0"/>
    <xf numFmtId="171" fontId="14" fillId="33" borderId="0" applyNumberFormat="0" applyBorder="0" applyAlignment="0" applyProtection="0"/>
    <xf numFmtId="171" fontId="18" fillId="10" borderId="4" applyNumberFormat="0" applyAlignment="0" applyProtection="0"/>
    <xf numFmtId="171" fontId="7" fillId="0" borderId="0"/>
    <xf numFmtId="170" fontId="8" fillId="0" borderId="0" applyFont="0" applyFill="0" applyBorder="0" applyAlignment="0" applyProtection="0"/>
    <xf numFmtId="2" fontId="40" fillId="0" borderId="0" applyFont="0" applyFill="0" applyBorder="0" applyAlignment="0" applyProtection="0"/>
    <xf numFmtId="171" fontId="41" fillId="0" borderId="0" applyNumberFormat="0" applyFill="0" applyBorder="0" applyAlignment="0" applyProtection="0"/>
    <xf numFmtId="171" fontId="42" fillId="0" borderId="0" applyNumberFormat="0" applyFill="0" applyBorder="0" applyAlignment="0" applyProtection="0"/>
    <xf numFmtId="171" fontId="19" fillId="6" borderId="0" applyNumberFormat="0" applyBorder="0" applyAlignment="0" applyProtection="0"/>
    <xf numFmtId="166" fontId="29" fillId="0" borderId="0" applyFont="0" applyFill="0" applyBorder="0" applyAlignment="0" applyProtection="0"/>
    <xf numFmtId="171" fontId="20" fillId="34" borderId="0" applyNumberFormat="0" applyBorder="0" applyAlignment="0" applyProtection="0"/>
    <xf numFmtId="171" fontId="8" fillId="0" borderId="0"/>
    <xf numFmtId="171" fontId="8" fillId="0" borderId="0"/>
    <xf numFmtId="167" fontId="43" fillId="0" borderId="1">
      <alignment horizontal="center"/>
    </xf>
    <xf numFmtId="171" fontId="6" fillId="35" borderId="2" applyNumberFormat="0" applyFont="0" applyAlignment="0" applyProtection="0"/>
    <xf numFmtId="171" fontId="29" fillId="0" borderId="0">
      <alignment textRotation="255"/>
    </xf>
    <xf numFmtId="17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29" fillId="0" borderId="0" applyFont="0" applyFill="0" applyBorder="0" applyAlignment="0" applyProtection="0"/>
    <xf numFmtId="171" fontId="21" fillId="19" borderId="13" applyNumberFormat="0" applyAlignment="0" applyProtection="0"/>
    <xf numFmtId="38" fontId="29" fillId="0" borderId="0" applyFont="0" applyFill="0" applyBorder="0" applyAlignment="0" applyProtection="0"/>
    <xf numFmtId="171" fontId="29" fillId="0" borderId="0"/>
    <xf numFmtId="171" fontId="22" fillId="0" borderId="0" applyNumberFormat="0" applyFill="0" applyBorder="0" applyAlignment="0" applyProtection="0"/>
    <xf numFmtId="171" fontId="23" fillId="0" borderId="0" applyNumberFormat="0" applyFill="0" applyBorder="0" applyAlignment="0" applyProtection="0"/>
    <xf numFmtId="171" fontId="25" fillId="0" borderId="14" applyNumberFormat="0" applyFill="0" applyAlignment="0" applyProtection="0"/>
    <xf numFmtId="171" fontId="26" fillId="0" borderId="15" applyNumberFormat="0" applyFill="0" applyAlignment="0" applyProtection="0"/>
    <xf numFmtId="171" fontId="27" fillId="0" borderId="16" applyNumberFormat="0" applyFill="0" applyAlignment="0" applyProtection="0"/>
    <xf numFmtId="171" fontId="27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5" fillId="0" borderId="17" applyNumberFormat="0" applyFill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171" fontId="8" fillId="0" borderId="0"/>
    <xf numFmtId="171" fontId="8" fillId="0" borderId="0"/>
    <xf numFmtId="171" fontId="2" fillId="0" borderId="0"/>
    <xf numFmtId="9" fontId="2" fillId="0" borderId="0" applyFont="0" applyFill="0" applyBorder="0" applyAlignment="0" applyProtection="0"/>
    <xf numFmtId="171" fontId="2" fillId="0" borderId="0"/>
    <xf numFmtId="9" fontId="2" fillId="0" borderId="0" applyFont="0" applyFill="0" applyBorder="0" applyAlignment="0" applyProtection="0"/>
    <xf numFmtId="171" fontId="2" fillId="0" borderId="0"/>
    <xf numFmtId="9" fontId="2" fillId="0" borderId="0" applyFont="0" applyFill="0" applyBorder="0" applyAlignment="0" applyProtection="0"/>
    <xf numFmtId="171" fontId="8" fillId="0" borderId="0"/>
    <xf numFmtId="171" fontId="6" fillId="0" borderId="0"/>
    <xf numFmtId="43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8" fillId="0" borderId="0"/>
    <xf numFmtId="171" fontId="2" fillId="0" borderId="0"/>
    <xf numFmtId="9" fontId="2" fillId="0" borderId="0" applyFont="0" applyFill="0" applyBorder="0" applyAlignment="0" applyProtection="0"/>
    <xf numFmtId="171" fontId="8" fillId="0" borderId="0"/>
    <xf numFmtId="171" fontId="6" fillId="0" borderId="0"/>
    <xf numFmtId="171" fontId="28" fillId="0" borderId="0" applyNumberFormat="0" applyFill="0" applyBorder="0" applyAlignment="0" applyProtection="0">
      <alignment vertical="top"/>
      <protection locked="0"/>
    </xf>
    <xf numFmtId="171" fontId="8" fillId="7" borderId="5"/>
    <xf numFmtId="171" fontId="8" fillId="6" borderId="5"/>
    <xf numFmtId="171" fontId="8" fillId="20" borderId="5"/>
    <xf numFmtId="171" fontId="30" fillId="3" borderId="5">
      <alignment horizontal="left" vertical="center" wrapText="1"/>
    </xf>
    <xf numFmtId="171" fontId="31" fillId="21" borderId="3">
      <alignment horizontal="center" textRotation="90"/>
    </xf>
    <xf numFmtId="171" fontId="8" fillId="4" borderId="6">
      <alignment horizontal="center" vertical="center"/>
    </xf>
    <xf numFmtId="171" fontId="32" fillId="22" borderId="7" applyBorder="0">
      <alignment horizontal="centerContinuous" vertical="center"/>
    </xf>
    <xf numFmtId="171" fontId="13" fillId="23" borderId="8">
      <alignment horizontal="center" vertical="center" wrapText="1"/>
    </xf>
    <xf numFmtId="171" fontId="33" fillId="2" borderId="9">
      <alignment horizontal="centerContinuous" vertical="center" wrapText="1"/>
    </xf>
    <xf numFmtId="171" fontId="34" fillId="24" borderId="10">
      <alignment horizontal="center" vertical="center" wrapText="1"/>
    </xf>
    <xf numFmtId="171" fontId="9" fillId="3" borderId="3">
      <alignment horizontal="left"/>
    </xf>
    <xf numFmtId="171" fontId="8" fillId="26" borderId="5">
      <alignment vertical="top" wrapText="1"/>
    </xf>
    <xf numFmtId="171" fontId="38" fillId="28" borderId="3">
      <alignment horizontal="left"/>
    </xf>
    <xf numFmtId="171" fontId="39" fillId="0" borderId="0" applyNumberFormat="0" applyFill="0" applyBorder="0" applyAlignment="0" applyProtection="0">
      <alignment vertical="top"/>
      <protection locked="0"/>
    </xf>
    <xf numFmtId="171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7" fillId="0" borderId="0"/>
    <xf numFmtId="171" fontId="41" fillId="0" borderId="0" applyNumberFormat="0" applyFill="0" applyBorder="0" applyAlignment="0" applyProtection="0"/>
    <xf numFmtId="171" fontId="42" fillId="0" borderId="0" applyNumberFormat="0" applyFill="0" applyBorder="0" applyAlignment="0" applyProtection="0"/>
    <xf numFmtId="171" fontId="8" fillId="0" borderId="0"/>
    <xf numFmtId="171" fontId="29" fillId="0" borderId="0">
      <alignment textRotation="255"/>
    </xf>
    <xf numFmtId="43" fontId="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0" fontId="6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8" fillId="7" borderId="5"/>
    <xf numFmtId="0" fontId="8" fillId="6" borderId="5"/>
    <xf numFmtId="0" fontId="8" fillId="20" borderId="5"/>
    <xf numFmtId="0" fontId="30" fillId="3" borderId="5">
      <alignment horizontal="left" vertical="center" wrapText="1"/>
    </xf>
    <xf numFmtId="0" fontId="31" fillId="21" borderId="3">
      <alignment horizontal="center" textRotation="90"/>
    </xf>
    <xf numFmtId="0" fontId="8" fillId="4" borderId="6">
      <alignment horizontal="center" vertical="center"/>
    </xf>
    <xf numFmtId="0" fontId="32" fillId="22" borderId="7" applyBorder="0">
      <alignment horizontal="centerContinuous" vertical="center"/>
    </xf>
    <xf numFmtId="0" fontId="13" fillId="23" borderId="8">
      <alignment horizontal="center" vertical="center" wrapText="1"/>
    </xf>
    <xf numFmtId="0" fontId="33" fillId="2" borderId="9">
      <alignment horizontal="centerContinuous" vertical="center" wrapText="1"/>
    </xf>
    <xf numFmtId="0" fontId="34" fillId="24" borderId="10">
      <alignment horizontal="center" vertical="center" wrapText="1"/>
    </xf>
    <xf numFmtId="0" fontId="9" fillId="3" borderId="3">
      <alignment horizontal="left"/>
    </xf>
    <xf numFmtId="0" fontId="8" fillId="26" borderId="5">
      <alignment vertical="top" wrapText="1"/>
    </xf>
    <xf numFmtId="0" fontId="38" fillId="28" borderId="3">
      <alignment horizontal="left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7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8" fillId="0" borderId="0"/>
    <xf numFmtId="0" fontId="29" fillId="0" borderId="0">
      <alignment textRotation="255"/>
    </xf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9" fontId="6" fillId="0" borderId="0" applyFont="0" applyFill="0" applyBorder="0" applyAlignment="0" applyProtection="0"/>
    <xf numFmtId="0" fontId="8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9" fontId="10" fillId="0" borderId="0" applyFont="0" applyFill="0" applyBorder="0" applyAlignment="0" applyProtection="0"/>
    <xf numFmtId="0" fontId="44" fillId="0" borderId="0" applyFill="0" applyProtection="0"/>
    <xf numFmtId="0" fontId="3" fillId="0" borderId="0" applyFill="0" applyProtection="0"/>
    <xf numFmtId="0" fontId="3" fillId="0" borderId="0"/>
    <xf numFmtId="43" fontId="2" fillId="0" borderId="0" applyFont="0" applyFill="0" applyBorder="0" applyAlignment="0" applyProtection="0"/>
    <xf numFmtId="0" fontId="45" fillId="0" borderId="0" applyFill="0" applyProtection="0"/>
    <xf numFmtId="9" fontId="3" fillId="0" borderId="0" applyFont="0" applyFill="0" applyBorder="0" applyAlignment="0" applyProtection="0"/>
    <xf numFmtId="0" fontId="46" fillId="0" borderId="0" applyFill="0" applyProtection="0"/>
    <xf numFmtId="0" fontId="8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0" fontId="48" fillId="0" borderId="0" applyFill="0" applyProtection="0"/>
    <xf numFmtId="0" fontId="49" fillId="0" borderId="0" applyFill="0" applyProtection="0"/>
    <xf numFmtId="0" fontId="49" fillId="0" borderId="0" applyFill="0" applyProtection="0"/>
    <xf numFmtId="0" fontId="3" fillId="0" borderId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/>
    <xf numFmtId="0" fontId="3" fillId="0" borderId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1" fillId="0" borderId="0" applyFill="0" applyProtection="0"/>
    <xf numFmtId="43" fontId="2" fillId="0" borderId="0" applyFont="0" applyFill="0" applyBorder="0" applyAlignment="0" applyProtection="0"/>
    <xf numFmtId="0" fontId="51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2" fillId="0" borderId="0" applyFill="0" applyProtection="0"/>
    <xf numFmtId="0" fontId="52" fillId="0" borderId="0" applyFill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3" fillId="0" borderId="0" applyFill="0" applyProtection="0"/>
    <xf numFmtId="0" fontId="5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4" fillId="0" borderId="0" applyFill="0" applyProtection="0"/>
    <xf numFmtId="0" fontId="54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9" fontId="2" fillId="0" borderId="0" applyFont="0" applyFill="0" applyBorder="0" applyAlignment="0" applyProtection="0"/>
    <xf numFmtId="0" fontId="55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6" fillId="0" borderId="0" applyFill="0" applyProtection="0"/>
    <xf numFmtId="0" fontId="56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7" fillId="0" borderId="0" applyFill="0" applyProtection="0"/>
    <xf numFmtId="43" fontId="2" fillId="0" borderId="0" applyFont="0" applyFill="0" applyBorder="0" applyAlignment="0" applyProtection="0"/>
    <xf numFmtId="0" fontId="58" fillId="0" borderId="0" applyFill="0" applyProtection="0"/>
    <xf numFmtId="0" fontId="58" fillId="0" borderId="0" applyFill="0" applyProtection="0"/>
    <xf numFmtId="43" fontId="2" fillId="0" borderId="0" applyFont="0" applyFill="0" applyBorder="0" applyAlignment="0" applyProtection="0"/>
    <xf numFmtId="0" fontId="59" fillId="0" borderId="0" applyFill="0" applyProtection="0"/>
    <xf numFmtId="0" fontId="59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0" fillId="0" borderId="0" applyFill="0" applyProtection="0"/>
    <xf numFmtId="0" fontId="60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1" fillId="0" borderId="0"/>
    <xf numFmtId="0" fontId="8" fillId="0" borderId="0"/>
    <xf numFmtId="0" fontId="2" fillId="0" borderId="0"/>
    <xf numFmtId="0" fontId="61" fillId="0" borderId="0"/>
    <xf numFmtId="0" fontId="3" fillId="0" borderId="0" applyFill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171" fontId="3" fillId="0" borderId="0"/>
    <xf numFmtId="171" fontId="3" fillId="0" borderId="0"/>
    <xf numFmtId="171" fontId="3" fillId="5" borderId="0" applyNumberFormat="0" applyBorder="0" applyAlignment="0" applyProtection="0"/>
    <xf numFmtId="171" fontId="3" fillId="6" borderId="0" applyNumberFormat="0" applyBorder="0" applyAlignment="0" applyProtection="0"/>
    <xf numFmtId="171" fontId="3" fillId="7" borderId="0" applyNumberFormat="0" applyBorder="0" applyAlignment="0" applyProtection="0"/>
    <xf numFmtId="171" fontId="3" fillId="8" borderId="0" applyNumberFormat="0" applyBorder="0" applyAlignment="0" applyProtection="0"/>
    <xf numFmtId="171" fontId="3" fillId="9" borderId="0" applyNumberFormat="0" applyBorder="0" applyAlignment="0" applyProtection="0"/>
    <xf numFmtId="171" fontId="3" fillId="10" borderId="0" applyNumberFormat="0" applyBorder="0" applyAlignment="0" applyProtection="0"/>
    <xf numFmtId="171" fontId="3" fillId="11" borderId="0" applyNumberFormat="0" applyBorder="0" applyAlignment="0" applyProtection="0"/>
    <xf numFmtId="171" fontId="3" fillId="12" borderId="0" applyNumberFormat="0" applyBorder="0" applyAlignment="0" applyProtection="0"/>
    <xf numFmtId="171" fontId="3" fillId="13" borderId="0" applyNumberFormat="0" applyBorder="0" applyAlignment="0" applyProtection="0"/>
    <xf numFmtId="171" fontId="3" fillId="8" borderId="0" applyNumberFormat="0" applyBorder="0" applyAlignment="0" applyProtection="0"/>
    <xf numFmtId="171" fontId="3" fillId="11" borderId="0" applyNumberFormat="0" applyBorder="0" applyAlignment="0" applyProtection="0"/>
    <xf numFmtId="171" fontId="3" fillId="14" borderId="0" applyNumberFormat="0" applyBorder="0" applyAlignment="0" applyProtection="0"/>
    <xf numFmtId="171" fontId="31" fillId="21" borderId="20">
      <alignment horizontal="center" textRotation="90"/>
    </xf>
    <xf numFmtId="165" fontId="9" fillId="3" borderId="20"/>
    <xf numFmtId="171" fontId="9" fillId="3" borderId="20">
      <alignment horizontal="left"/>
    </xf>
    <xf numFmtId="10" fontId="9" fillId="3" borderId="20"/>
    <xf numFmtId="171" fontId="38" fillId="28" borderId="20">
      <alignment horizontal="left"/>
    </xf>
    <xf numFmtId="1" fontId="8" fillId="0" borderId="19" applyNumberFormat="0" applyFont="0" applyBorder="0" applyAlignment="0" applyProtection="0">
      <alignment horizontal="center"/>
      <protection locked="0"/>
    </xf>
    <xf numFmtId="1" fontId="8" fillId="29" borderId="19" applyNumberFormat="0" applyFont="0" applyBorder="0" applyAlignment="0" applyProtection="0">
      <alignment horizontal="center"/>
      <protection locked="0"/>
    </xf>
    <xf numFmtId="1" fontId="8" fillId="3" borderId="19" applyNumberFormat="0" applyFont="0" applyAlignment="0" applyProtection="0">
      <alignment horizontal="center"/>
      <protection locked="0"/>
    </xf>
    <xf numFmtId="1" fontId="8" fillId="30" borderId="19" applyNumberFormat="0" applyFont="0" applyBorder="0" applyAlignment="0" applyProtection="0">
      <alignment horizontal="center"/>
      <protection locked="0"/>
    </xf>
    <xf numFmtId="167" fontId="43" fillId="0" borderId="19">
      <alignment horizontal="center"/>
    </xf>
    <xf numFmtId="171" fontId="3" fillId="35" borderId="18" applyNumberFormat="0" applyFon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3" fillId="0" borderId="0"/>
    <xf numFmtId="171" fontId="31" fillId="21" borderId="20">
      <alignment horizontal="center" textRotation="90"/>
    </xf>
    <xf numFmtId="171" fontId="9" fillId="3" borderId="20">
      <alignment horizontal="left"/>
    </xf>
    <xf numFmtId="171" fontId="38" fillId="28" borderId="20">
      <alignment horizontal="left"/>
    </xf>
    <xf numFmtId="43" fontId="3" fillId="0" borderId="0" applyFont="0" applyFill="0" applyBorder="0" applyAlignment="0" applyProtection="0"/>
    <xf numFmtId="0" fontId="3" fillId="0" borderId="0"/>
    <xf numFmtId="0" fontId="31" fillId="21" borderId="20">
      <alignment horizontal="center" textRotation="90"/>
    </xf>
    <xf numFmtId="0" fontId="9" fillId="3" borderId="20">
      <alignment horizontal="left"/>
    </xf>
    <xf numFmtId="0" fontId="38" fillId="28" borderId="20">
      <alignment horizontal="left"/>
    </xf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43" fontId="8" fillId="0" borderId="0" applyFont="0" applyFill="0" applyBorder="0" applyAlignment="0" applyProtection="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5" fontId="9" fillId="3" borderId="2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1">
    <xf numFmtId="0" fontId="0" fillId="0" borderId="0" xfId="0"/>
    <xf numFmtId="3" fontId="0" fillId="0" borderId="19" xfId="0" applyNumberFormat="1" applyBorder="1" applyAlignment="1">
      <alignment horizontal="center" vertical="center"/>
    </xf>
    <xf numFmtId="173" fontId="64" fillId="38" borderId="19" xfId="0" applyNumberFormat="1" applyFont="1" applyFill="1" applyBorder="1" applyAlignment="1">
      <alignment horizontal="center" vertical="center"/>
    </xf>
    <xf numFmtId="0" fontId="64" fillId="37" borderId="19" xfId="0" applyFont="1" applyFill="1" applyBorder="1" applyAlignment="1">
      <alignment horizontal="left" vertical="center"/>
    </xf>
    <xf numFmtId="0" fontId="64" fillId="37" borderId="19" xfId="0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left"/>
    </xf>
    <xf numFmtId="0" fontId="1" fillId="36" borderId="0" xfId="0" applyFont="1" applyFill="1" applyAlignment="1">
      <alignment horizontal="center" vertical="center"/>
    </xf>
    <xf numFmtId="0" fontId="64" fillId="37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9" xfId="0" applyBorder="1"/>
    <xf numFmtId="3" fontId="0" fillId="0" borderId="19" xfId="0" applyNumberFormat="1" applyBorder="1"/>
    <xf numFmtId="3" fontId="0" fillId="0" borderId="0" xfId="0" applyNumberFormat="1"/>
    <xf numFmtId="0" fontId="68" fillId="0" borderId="0" xfId="0" applyFont="1" applyAlignment="1">
      <alignment horizontal="left"/>
    </xf>
    <xf numFmtId="172" fontId="68" fillId="0" borderId="0" xfId="210" applyNumberFormat="1" applyFont="1" applyAlignment="1">
      <alignment horizontal="left"/>
    </xf>
    <xf numFmtId="0" fontId="66" fillId="0" borderId="0" xfId="0" applyFont="1" applyAlignment="1">
      <alignment horizontal="left"/>
    </xf>
    <xf numFmtId="0" fontId="1" fillId="36" borderId="0" xfId="0" applyFont="1" applyFill="1" applyAlignment="1">
      <alignment vertical="center"/>
    </xf>
    <xf numFmtId="0" fontId="69" fillId="39" borderId="0" xfId="0" applyFont="1" applyFill="1"/>
    <xf numFmtId="0" fontId="69" fillId="39" borderId="25" xfId="0" applyFont="1" applyFill="1" applyBorder="1"/>
    <xf numFmtId="0" fontId="69" fillId="39" borderId="26" xfId="0" applyFont="1" applyFill="1" applyBorder="1"/>
    <xf numFmtId="0" fontId="71" fillId="39" borderId="26" xfId="0" applyFont="1" applyFill="1" applyBorder="1" applyAlignment="1">
      <alignment vertical="center"/>
    </xf>
    <xf numFmtId="0" fontId="72" fillId="39" borderId="26" xfId="0" applyFont="1" applyFill="1" applyBorder="1"/>
    <xf numFmtId="0" fontId="69" fillId="39" borderId="27" xfId="0" applyFont="1" applyFill="1" applyBorder="1"/>
    <xf numFmtId="0" fontId="69" fillId="39" borderId="28" xfId="0" applyFont="1" applyFill="1" applyBorder="1"/>
    <xf numFmtId="0" fontId="69" fillId="39" borderId="29" xfId="0" applyFont="1" applyFill="1" applyBorder="1"/>
    <xf numFmtId="0" fontId="74" fillId="39" borderId="28" xfId="0" applyFont="1" applyFill="1" applyBorder="1" applyAlignment="1">
      <alignment vertical="center"/>
    </xf>
    <xf numFmtId="0" fontId="74" fillId="39" borderId="0" xfId="0" applyFont="1" applyFill="1" applyAlignment="1">
      <alignment vertical="center"/>
    </xf>
    <xf numFmtId="0" fontId="76" fillId="39" borderId="28" xfId="0" applyFont="1" applyFill="1" applyBorder="1"/>
    <xf numFmtId="0" fontId="76" fillId="39" borderId="0" xfId="0" applyFont="1" applyFill="1"/>
    <xf numFmtId="0" fontId="69" fillId="39" borderId="28" xfId="0" applyFont="1" applyFill="1" applyBorder="1" applyAlignment="1">
      <alignment vertical="center"/>
    </xf>
    <xf numFmtId="0" fontId="69" fillId="39" borderId="0" xfId="0" applyFont="1" applyFill="1" applyAlignment="1">
      <alignment vertical="center"/>
    </xf>
    <xf numFmtId="0" fontId="77" fillId="39" borderId="0" xfId="0" applyFont="1" applyFill="1" applyAlignment="1">
      <alignment vertical="center"/>
    </xf>
    <xf numFmtId="0" fontId="69" fillId="39" borderId="29" xfId="0" applyFont="1" applyFill="1" applyBorder="1" applyAlignment="1">
      <alignment vertical="center"/>
    </xf>
    <xf numFmtId="0" fontId="69" fillId="39" borderId="0" xfId="0" applyFont="1" applyFill="1" applyAlignment="1">
      <alignment horizontal="left" vertical="top"/>
    </xf>
    <xf numFmtId="0" fontId="69" fillId="39" borderId="30" xfId="0" applyFont="1" applyFill="1" applyBorder="1"/>
    <xf numFmtId="0" fontId="69" fillId="39" borderId="31" xfId="0" applyFont="1" applyFill="1" applyBorder="1"/>
    <xf numFmtId="0" fontId="69" fillId="39" borderId="32" xfId="0" applyFont="1" applyFill="1" applyBorder="1"/>
    <xf numFmtId="0" fontId="71" fillId="39" borderId="0" xfId="0" applyFont="1" applyFill="1" applyAlignment="1">
      <alignment vertical="center"/>
    </xf>
    <xf numFmtId="0" fontId="67" fillId="39" borderId="0" xfId="0" applyFont="1" applyFill="1" applyAlignment="1">
      <alignment vertical="center"/>
    </xf>
    <xf numFmtId="0" fontId="70" fillId="39" borderId="0" xfId="0" applyFont="1" applyFill="1"/>
    <xf numFmtId="0" fontId="69" fillId="37" borderId="25" xfId="0" applyFont="1" applyFill="1" applyBorder="1"/>
    <xf numFmtId="0" fontId="69" fillId="37" borderId="26" xfId="0" applyFont="1" applyFill="1" applyBorder="1"/>
    <xf numFmtId="0" fontId="73" fillId="37" borderId="26" xfId="0" applyFont="1" applyFill="1" applyBorder="1" applyAlignment="1">
      <alignment horizontal="centerContinuous" vertical="center"/>
    </xf>
    <xf numFmtId="0" fontId="70" fillId="39" borderId="28" xfId="0" applyFont="1" applyFill="1" applyBorder="1"/>
    <xf numFmtId="0" fontId="79" fillId="43" borderId="36" xfId="0" quotePrefix="1" applyFont="1" applyFill="1" applyBorder="1" applyAlignment="1" applyProtection="1">
      <alignment horizontal="left" vertical="center" wrapText="1"/>
      <protection locked="0"/>
    </xf>
    <xf numFmtId="0" fontId="70" fillId="39" borderId="29" xfId="0" applyFont="1" applyFill="1" applyBorder="1"/>
    <xf numFmtId="0" fontId="80" fillId="39" borderId="0" xfId="0" applyFont="1" applyFill="1"/>
    <xf numFmtId="0" fontId="80" fillId="39" borderId="28" xfId="0" applyFont="1" applyFill="1" applyBorder="1"/>
    <xf numFmtId="173" fontId="81" fillId="43" borderId="36" xfId="0" applyNumberFormat="1" applyFont="1" applyFill="1" applyBorder="1" applyAlignment="1">
      <alignment horizontal="right" vertical="center"/>
    </xf>
    <xf numFmtId="0" fontId="80" fillId="39" borderId="29" xfId="0" applyFont="1" applyFill="1" applyBorder="1"/>
    <xf numFmtId="0" fontId="0" fillId="46" borderId="0" xfId="0" applyFill="1"/>
    <xf numFmtId="3" fontId="63" fillId="46" borderId="0" xfId="0" applyNumberFormat="1" applyFont="1" applyFill="1" applyAlignment="1">
      <alignment horizontal="center" vertical="center"/>
    </xf>
    <xf numFmtId="0" fontId="69" fillId="42" borderId="0" xfId="0" applyFont="1" applyFill="1" applyAlignment="1">
      <alignment vertical="top" wrapText="1"/>
    </xf>
    <xf numFmtId="0" fontId="84" fillId="0" borderId="0" xfId="0" applyFont="1" applyAlignment="1">
      <alignment horizontal="left"/>
    </xf>
    <xf numFmtId="0" fontId="66" fillId="42" borderId="0" xfId="0" applyFont="1" applyFill="1" applyAlignment="1">
      <alignment horizontal="left"/>
    </xf>
    <xf numFmtId="0" fontId="0" fillId="0" borderId="0" xfId="0" applyProtection="1">
      <protection locked="0"/>
    </xf>
    <xf numFmtId="0" fontId="69" fillId="37" borderId="25" xfId="0" applyFont="1" applyFill="1" applyBorder="1" applyProtection="1">
      <protection locked="0"/>
    </xf>
    <xf numFmtId="0" fontId="69" fillId="37" borderId="26" xfId="0" applyFont="1" applyFill="1" applyBorder="1" applyProtection="1">
      <protection locked="0"/>
    </xf>
    <xf numFmtId="0" fontId="73" fillId="37" borderId="26" xfId="0" applyFont="1" applyFill="1" applyBorder="1" applyAlignment="1" applyProtection="1">
      <alignment horizontal="centerContinuous" vertical="center"/>
      <protection locked="0"/>
    </xf>
    <xf numFmtId="0" fontId="69" fillId="39" borderId="0" xfId="0" applyFont="1" applyFill="1" applyProtection="1">
      <protection locked="0"/>
    </xf>
    <xf numFmtId="0" fontId="70" fillId="39" borderId="0" xfId="0" applyFont="1" applyFill="1" applyAlignment="1">
      <alignment vertical="center"/>
    </xf>
    <xf numFmtId="0" fontId="70" fillId="50" borderId="0" xfId="0" applyFont="1" applyFill="1" applyAlignment="1">
      <alignment vertical="center"/>
    </xf>
    <xf numFmtId="0" fontId="69" fillId="50" borderId="0" xfId="0" applyFont="1" applyFill="1"/>
    <xf numFmtId="172" fontId="66" fillId="0" borderId="0" xfId="0" applyNumberFormat="1" applyFont="1" applyAlignment="1">
      <alignment horizontal="left"/>
    </xf>
    <xf numFmtId="0" fontId="88" fillId="0" borderId="0" xfId="0" applyFont="1" applyAlignment="1">
      <alignment horizontal="left"/>
    </xf>
    <xf numFmtId="14" fontId="50" fillId="0" borderId="0" xfId="0" applyNumberFormat="1" applyFont="1" applyAlignment="1">
      <alignment horizontal="left" vertical="center"/>
    </xf>
    <xf numFmtId="14" fontId="90" fillId="0" borderId="0" xfId="0" applyNumberFormat="1" applyFont="1" applyAlignment="1">
      <alignment horizontal="left" vertical="center"/>
    </xf>
    <xf numFmtId="0" fontId="83" fillId="42" borderId="0" xfId="0" applyFont="1" applyFill="1" applyAlignment="1">
      <alignment horizontal="left" vertical="center"/>
    </xf>
    <xf numFmtId="0" fontId="77" fillId="42" borderId="0" xfId="0" applyFont="1" applyFill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70" fillId="0" borderId="0" xfId="0" applyNumberFormat="1" applyFont="1" applyAlignment="1">
      <alignment horizontal="left" vertical="center"/>
    </xf>
    <xf numFmtId="0" fontId="91" fillId="47" borderId="36" xfId="0" quotePrefix="1" applyFont="1" applyFill="1" applyBorder="1" applyAlignment="1" applyProtection="1">
      <alignment horizontal="left" wrapText="1"/>
      <protection locked="0"/>
    </xf>
    <xf numFmtId="0" fontId="83" fillId="42" borderId="0" xfId="0" applyFont="1" applyFill="1" applyAlignment="1">
      <alignment horizontal="left"/>
    </xf>
    <xf numFmtId="0" fontId="70" fillId="42" borderId="0" xfId="0" applyFont="1" applyFill="1" applyAlignment="1">
      <alignment horizontal="left"/>
    </xf>
    <xf numFmtId="0" fontId="70" fillId="0" borderId="0" xfId="0" applyFont="1" applyAlignment="1">
      <alignment horizontal="left"/>
    </xf>
    <xf numFmtId="0" fontId="70" fillId="40" borderId="21" xfId="0" applyFont="1" applyFill="1" applyBorder="1" applyAlignment="1">
      <alignment horizontal="left" vertical="top"/>
    </xf>
    <xf numFmtId="0" fontId="69" fillId="40" borderId="22" xfId="0" applyFont="1" applyFill="1" applyBorder="1" applyAlignment="1">
      <alignment horizontal="left" vertical="top"/>
    </xf>
    <xf numFmtId="0" fontId="89" fillId="40" borderId="22" xfId="0" applyFont="1" applyFill="1" applyBorder="1" applyAlignment="1">
      <alignment horizontal="left" vertical="top"/>
    </xf>
    <xf numFmtId="14" fontId="0" fillId="0" borderId="0" xfId="0" applyNumberFormat="1" applyAlignment="1">
      <alignment horizontal="left" vertical="center"/>
    </xf>
    <xf numFmtId="173" fontId="91" fillId="47" borderId="36" xfId="0" applyNumberFormat="1" applyFont="1" applyFill="1" applyBorder="1" applyAlignment="1">
      <alignment horizontal="left"/>
    </xf>
    <xf numFmtId="3" fontId="83" fillId="42" borderId="36" xfId="0" applyNumberFormat="1" applyFont="1" applyFill="1" applyBorder="1" applyAlignment="1">
      <alignment horizontal="left" vertical="center"/>
    </xf>
    <xf numFmtId="0" fontId="0" fillId="42" borderId="0" xfId="0" applyFill="1" applyAlignment="1">
      <alignment horizontal="left"/>
    </xf>
    <xf numFmtId="3" fontId="0" fillId="0" borderId="0" xfId="0" applyNumberFormat="1" applyAlignment="1">
      <alignment horizontal="left"/>
    </xf>
    <xf numFmtId="0" fontId="66" fillId="42" borderId="0" xfId="0" quotePrefix="1" applyFont="1" applyFill="1" applyAlignment="1">
      <alignment horizontal="left" wrapText="1"/>
    </xf>
    <xf numFmtId="172" fontId="0" fillId="0" borderId="0" xfId="0" applyNumberFormat="1" applyAlignment="1">
      <alignment horizontal="center"/>
    </xf>
    <xf numFmtId="0" fontId="0" fillId="0" borderId="0" xfId="0" quotePrefix="1" applyAlignment="1">
      <alignment horizontal="left" wrapText="1"/>
    </xf>
    <xf numFmtId="0" fontId="0" fillId="0" borderId="0" xfId="0" applyAlignment="1">
      <alignment horizontal="center"/>
    </xf>
    <xf numFmtId="0" fontId="1" fillId="0" borderId="39" xfId="0" quotePrefix="1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0" borderId="39" xfId="0" quotePrefix="1" applyFont="1" applyBorder="1" applyAlignment="1">
      <alignment horizontal="left" vertical="top" wrapText="1"/>
    </xf>
    <xf numFmtId="0" fontId="93" fillId="0" borderId="0" xfId="0" applyFont="1"/>
    <xf numFmtId="0" fontId="89" fillId="0" borderId="0" xfId="0" quotePrefix="1" applyFont="1" applyAlignment="1">
      <alignment horizontal="left" wrapText="1"/>
    </xf>
    <xf numFmtId="0" fontId="0" fillId="0" borderId="0" xfId="0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94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 readingOrder="1"/>
    </xf>
    <xf numFmtId="0" fontId="96" fillId="0" borderId="0" xfId="0" quotePrefix="1" applyFont="1" applyAlignment="1">
      <alignment horizontal="center" vertical="center" readingOrder="1"/>
    </xf>
    <xf numFmtId="0" fontId="98" fillId="37" borderId="0" xfId="0" applyFont="1" applyFill="1" applyAlignment="1">
      <alignment horizontal="left" vertical="center" wrapText="1"/>
    </xf>
    <xf numFmtId="172" fontId="63" fillId="51" borderId="0" xfId="0" applyNumberFormat="1" applyFont="1" applyFill="1" applyAlignment="1">
      <alignment horizontal="left" vertical="center"/>
    </xf>
    <xf numFmtId="0" fontId="67" fillId="40" borderId="22" xfId="0" applyFont="1" applyFill="1" applyBorder="1" applyAlignment="1">
      <alignment horizontal="left" vertical="top"/>
    </xf>
    <xf numFmtId="0" fontId="1" fillId="0" borderId="39" xfId="0" quotePrefix="1" applyFont="1" applyBorder="1" applyAlignment="1">
      <alignment horizontal="left" wrapText="1"/>
    </xf>
    <xf numFmtId="0" fontId="0" fillId="42" borderId="0" xfId="0" applyFill="1"/>
    <xf numFmtId="0" fontId="0" fillId="42" borderId="0" xfId="0" applyFill="1" applyAlignment="1">
      <alignment horizontal="center"/>
    </xf>
    <xf numFmtId="0" fontId="99" fillId="42" borderId="0" xfId="0" applyFont="1" applyFill="1"/>
    <xf numFmtId="0" fontId="99" fillId="42" borderId="0" xfId="0" applyFont="1" applyFill="1" applyAlignment="1">
      <alignment horizontal="center"/>
    </xf>
    <xf numFmtId="0" fontId="0" fillId="42" borderId="24" xfId="0" applyFill="1" applyBorder="1"/>
    <xf numFmtId="0" fontId="0" fillId="42" borderId="52" xfId="0" applyFill="1" applyBorder="1"/>
    <xf numFmtId="0" fontId="0" fillId="42" borderId="23" xfId="0" applyFill="1" applyBorder="1"/>
    <xf numFmtId="0" fontId="0" fillId="42" borderId="22" xfId="0" applyFill="1" applyBorder="1"/>
    <xf numFmtId="0" fontId="0" fillId="42" borderId="22" xfId="0" applyFill="1" applyBorder="1" applyAlignment="1">
      <alignment horizontal="center"/>
    </xf>
    <xf numFmtId="0" fontId="0" fillId="42" borderId="21" xfId="0" applyFill="1" applyBorder="1"/>
    <xf numFmtId="3" fontId="99" fillId="42" borderId="0" xfId="0" applyNumberFormat="1" applyFont="1" applyFill="1" applyAlignment="1">
      <alignment horizontal="center"/>
    </xf>
    <xf numFmtId="3" fontId="100" fillId="42" borderId="51" xfId="0" applyNumberFormat="1" applyFont="1" applyFill="1" applyBorder="1" applyAlignment="1">
      <alignment horizontal="center"/>
    </xf>
    <xf numFmtId="3" fontId="100" fillId="42" borderId="19" xfId="0" applyNumberFormat="1" applyFont="1" applyFill="1" applyBorder="1" applyAlignment="1">
      <alignment horizontal="center"/>
    </xf>
    <xf numFmtId="3" fontId="0" fillId="42" borderId="0" xfId="0" applyNumberFormat="1" applyFill="1" applyAlignment="1">
      <alignment horizontal="center"/>
    </xf>
    <xf numFmtId="2" fontId="100" fillId="42" borderId="19" xfId="0" applyNumberFormat="1" applyFont="1" applyFill="1" applyBorder="1"/>
    <xf numFmtId="3" fontId="100" fillId="42" borderId="19" xfId="0" applyNumberFormat="1" applyFont="1" applyFill="1" applyBorder="1" applyAlignment="1">
      <alignment horizontal="center" vertical="center"/>
    </xf>
    <xf numFmtId="0" fontId="100" fillId="42" borderId="19" xfId="0" applyFont="1" applyFill="1" applyBorder="1" applyAlignment="1">
      <alignment horizontal="left" vertical="center"/>
    </xf>
    <xf numFmtId="0" fontId="70" fillId="40" borderId="21" xfId="0" quotePrefix="1" applyFont="1" applyFill="1" applyBorder="1" applyAlignment="1">
      <alignment horizontal="left" vertical="top"/>
    </xf>
    <xf numFmtId="0" fontId="102" fillId="42" borderId="19" xfId="0" applyFont="1" applyFill="1" applyBorder="1" applyAlignment="1">
      <alignment vertical="center"/>
    </xf>
    <xf numFmtId="3" fontId="0" fillId="42" borderId="0" xfId="0" applyNumberFormat="1" applyFill="1"/>
    <xf numFmtId="176" fontId="99" fillId="42" borderId="0" xfId="0" applyNumberFormat="1" applyFont="1" applyFill="1" applyAlignment="1">
      <alignment horizontal="center"/>
    </xf>
    <xf numFmtId="0" fontId="104" fillId="0" borderId="0" xfId="193" applyFont="1"/>
    <xf numFmtId="0" fontId="69" fillId="0" borderId="0" xfId="193" applyFont="1"/>
    <xf numFmtId="0" fontId="105" fillId="54" borderId="53" xfId="0" applyFont="1" applyFill="1" applyBorder="1" applyAlignment="1">
      <alignment horizontal="centerContinuous"/>
    </xf>
    <xf numFmtId="0" fontId="105" fillId="54" borderId="53" xfId="0" applyFont="1" applyFill="1" applyBorder="1" applyAlignment="1">
      <alignment horizontal="center"/>
    </xf>
    <xf numFmtId="0" fontId="104" fillId="0" borderId="53" xfId="0" applyFont="1" applyBorder="1" applyAlignment="1">
      <alignment horizontal="left"/>
    </xf>
    <xf numFmtId="0" fontId="104" fillId="0" borderId="53" xfId="0" applyFont="1" applyBorder="1" applyAlignment="1">
      <alignment horizontal="center"/>
    </xf>
    <xf numFmtId="177" fontId="105" fillId="55" borderId="54" xfId="210" applyNumberFormat="1" applyFont="1" applyFill="1" applyBorder="1" applyAlignment="1">
      <alignment horizontal="center" vertical="center" wrapText="1"/>
    </xf>
    <xf numFmtId="0" fontId="105" fillId="56" borderId="53" xfId="0" applyFont="1" applyFill="1" applyBorder="1" applyAlignment="1">
      <alignment horizontal="center"/>
    </xf>
    <xf numFmtId="0" fontId="105" fillId="49" borderId="53" xfId="0" applyFont="1" applyFill="1" applyBorder="1" applyAlignment="1">
      <alignment horizontal="center"/>
    </xf>
    <xf numFmtId="0" fontId="106" fillId="0" borderId="53" xfId="0" applyFont="1" applyBorder="1" applyAlignment="1">
      <alignment horizontal="left"/>
    </xf>
    <xf numFmtId="3" fontId="104" fillId="0" borderId="53" xfId="0" applyNumberFormat="1" applyFont="1" applyBorder="1" applyAlignment="1">
      <alignment horizontal="center"/>
    </xf>
    <xf numFmtId="3" fontId="107" fillId="36" borderId="53" xfId="0" applyNumberFormat="1" applyFont="1" applyFill="1" applyBorder="1" applyAlignment="1">
      <alignment horizontal="center"/>
    </xf>
    <xf numFmtId="3" fontId="107" fillId="0" borderId="53" xfId="0" applyNumberFormat="1" applyFont="1" applyBorder="1" applyAlignment="1">
      <alignment horizontal="center"/>
    </xf>
    <xf numFmtId="3" fontId="108" fillId="0" borderId="53" xfId="0" applyNumberFormat="1" applyFont="1" applyBorder="1" applyAlignment="1">
      <alignment horizontal="center"/>
    </xf>
    <xf numFmtId="176" fontId="104" fillId="0" borderId="53" xfId="0" applyNumberFormat="1" applyFont="1" applyBorder="1" applyAlignment="1">
      <alignment horizontal="left"/>
    </xf>
    <xf numFmtId="3" fontId="104" fillId="36" borderId="53" xfId="0" applyNumberFormat="1" applyFont="1" applyFill="1" applyBorder="1" applyAlignment="1">
      <alignment horizontal="center"/>
    </xf>
    <xf numFmtId="178" fontId="104" fillId="0" borderId="0" xfId="193" applyNumberFormat="1" applyFont="1"/>
    <xf numFmtId="179" fontId="104" fillId="0" borderId="0" xfId="193" applyNumberFormat="1" applyFont="1"/>
    <xf numFmtId="0" fontId="105" fillId="54" borderId="53" xfId="0" applyFont="1" applyFill="1" applyBorder="1" applyAlignment="1">
      <alignment horizontal="left"/>
    </xf>
    <xf numFmtId="0" fontId="105" fillId="54" borderId="55" xfId="0" applyFont="1" applyFill="1" applyBorder="1" applyAlignment="1">
      <alignment horizontal="center"/>
    </xf>
    <xf numFmtId="0" fontId="104" fillId="42" borderId="56" xfId="0" applyFont="1" applyFill="1" applyBorder="1" applyAlignment="1">
      <alignment vertical="center" wrapText="1"/>
    </xf>
    <xf numFmtId="177" fontId="104" fillId="36" borderId="56" xfId="210" applyNumberFormat="1" applyFont="1" applyFill="1" applyBorder="1" applyAlignment="1">
      <alignment horizontal="center" vertical="center" wrapText="1"/>
    </xf>
    <xf numFmtId="1" fontId="104" fillId="36" borderId="56" xfId="0" applyNumberFormat="1" applyFont="1" applyFill="1" applyBorder="1" applyAlignment="1">
      <alignment horizontal="center" vertical="center" wrapText="1"/>
    </xf>
    <xf numFmtId="177" fontId="104" fillId="36" borderId="57" xfId="210" applyNumberFormat="1" applyFont="1" applyFill="1" applyBorder="1" applyAlignment="1">
      <alignment horizontal="center" vertical="center" wrapText="1"/>
    </xf>
    <xf numFmtId="0" fontId="105" fillId="55" borderId="54" xfId="0" applyFont="1" applyFill="1" applyBorder="1" applyAlignment="1">
      <alignment vertical="center" wrapText="1"/>
    </xf>
    <xf numFmtId="1" fontId="105" fillId="55" borderId="54" xfId="0" applyNumberFormat="1" applyFont="1" applyFill="1" applyBorder="1" applyAlignment="1">
      <alignment horizontal="center" vertical="center" wrapText="1"/>
    </xf>
    <xf numFmtId="177" fontId="104" fillId="0" borderId="0" xfId="193" applyNumberFormat="1" applyFont="1"/>
    <xf numFmtId="0" fontId="109" fillId="0" borderId="0" xfId="0" applyFont="1" applyAlignment="1">
      <alignment vertical="center"/>
    </xf>
    <xf numFmtId="0" fontId="104" fillId="0" borderId="0" xfId="0" applyFont="1"/>
    <xf numFmtId="0" fontId="105" fillId="56" borderId="58" xfId="193" applyFont="1" applyFill="1" applyBorder="1" applyAlignment="1">
      <alignment horizontal="center"/>
    </xf>
    <xf numFmtId="0" fontId="105" fillId="49" borderId="58" xfId="193" applyFont="1" applyFill="1" applyBorder="1" applyAlignment="1">
      <alignment horizontal="center"/>
    </xf>
    <xf numFmtId="176" fontId="104" fillId="36" borderId="56" xfId="193" applyNumberFormat="1" applyFont="1" applyFill="1" applyBorder="1" applyAlignment="1">
      <alignment horizontal="center"/>
    </xf>
    <xf numFmtId="177" fontId="104" fillId="0" borderId="56" xfId="210" applyNumberFormat="1" applyFont="1" applyFill="1" applyBorder="1" applyAlignment="1">
      <alignment horizontal="center" vertical="center" wrapText="1"/>
    </xf>
    <xf numFmtId="0" fontId="104" fillId="0" borderId="0" xfId="193" applyFont="1" applyFill="1"/>
    <xf numFmtId="177" fontId="104" fillId="53" borderId="56" xfId="210" applyNumberFormat="1" applyFont="1" applyFill="1" applyBorder="1" applyAlignment="1">
      <alignment horizontal="center" vertical="center" wrapText="1"/>
    </xf>
    <xf numFmtId="2" fontId="104" fillId="36" borderId="56" xfId="210" applyNumberFormat="1" applyFont="1" applyFill="1" applyBorder="1" applyAlignment="1">
      <alignment horizontal="center"/>
    </xf>
    <xf numFmtId="43" fontId="0" fillId="0" borderId="0" xfId="0" applyNumberFormat="1"/>
    <xf numFmtId="0" fontId="110" fillId="0" borderId="0" xfId="0" applyFont="1" applyAlignment="1">
      <alignment horizontal="center" vertical="center"/>
    </xf>
    <xf numFmtId="172" fontId="111" fillId="57" borderId="53" xfId="210" applyNumberFormat="1" applyFont="1" applyFill="1" applyBorder="1" applyAlignment="1">
      <alignment horizontal="center" vertical="center"/>
    </xf>
    <xf numFmtId="2" fontId="113" fillId="42" borderId="19" xfId="0" applyNumberFormat="1" applyFont="1" applyFill="1" applyBorder="1" applyAlignment="1">
      <alignment horizontal="center" vertical="center"/>
    </xf>
    <xf numFmtId="172" fontId="66" fillId="0" borderId="0" xfId="210" applyNumberFormat="1" applyFont="1" applyAlignment="1">
      <alignment horizontal="center" vertical="center"/>
    </xf>
    <xf numFmtId="172" fontId="0" fillId="0" borderId="0" xfId="210" applyNumberFormat="1" applyFont="1" applyAlignment="1">
      <alignment horizontal="center" vertical="center"/>
    </xf>
    <xf numFmtId="0" fontId="103" fillId="0" borderId="0" xfId="0" applyFont="1" applyAlignment="1">
      <alignment horizontal="center" vertical="center"/>
    </xf>
    <xf numFmtId="172" fontId="103" fillId="0" borderId="0" xfId="0" applyNumberFormat="1" applyFont="1" applyAlignment="1">
      <alignment horizontal="center" vertical="center"/>
    </xf>
    <xf numFmtId="0" fontId="0" fillId="36" borderId="0" xfId="0" applyFill="1" applyAlignment="1">
      <alignment vertical="center"/>
    </xf>
    <xf numFmtId="0" fontId="0" fillId="0" borderId="0" xfId="0" applyAlignment="1">
      <alignment vertical="center"/>
    </xf>
    <xf numFmtId="3" fontId="83" fillId="42" borderId="60" xfId="0" applyNumberFormat="1" applyFont="1" applyFill="1" applyBorder="1" applyAlignment="1">
      <alignment horizontal="left" vertical="center"/>
    </xf>
    <xf numFmtId="173" fontId="91" fillId="47" borderId="60" xfId="0" applyNumberFormat="1" applyFont="1" applyFill="1" applyBorder="1" applyAlignment="1">
      <alignment horizontal="left"/>
    </xf>
    <xf numFmtId="0" fontId="66" fillId="0" borderId="61" xfId="0" applyFont="1" applyBorder="1" applyAlignment="1">
      <alignment horizontal="left"/>
    </xf>
    <xf numFmtId="3" fontId="83" fillId="42" borderId="62" xfId="0" applyNumberFormat="1" applyFont="1" applyFill="1" applyBorder="1" applyAlignment="1">
      <alignment horizontal="left" vertical="center"/>
    </xf>
    <xf numFmtId="173" fontId="91" fillId="47" borderId="63" xfId="0" applyNumberFormat="1" applyFont="1" applyFill="1" applyBorder="1" applyAlignment="1">
      <alignment horizontal="left"/>
    </xf>
    <xf numFmtId="3" fontId="114" fillId="42" borderId="51" xfId="0" applyNumberFormat="1" applyFont="1" applyFill="1" applyBorder="1" applyAlignment="1">
      <alignment horizontal="center" vertical="center"/>
    </xf>
    <xf numFmtId="0" fontId="0" fillId="58" borderId="0" xfId="0" applyFill="1"/>
    <xf numFmtId="0" fontId="0" fillId="59" borderId="0" xfId="0" applyFill="1"/>
    <xf numFmtId="0" fontId="0" fillId="59" borderId="59" xfId="0" applyFill="1" applyBorder="1"/>
    <xf numFmtId="174" fontId="110" fillId="36" borderId="0" xfId="0" applyNumberFormat="1" applyFont="1" applyFill="1" applyAlignment="1">
      <alignment vertical="center"/>
    </xf>
    <xf numFmtId="180" fontId="115" fillId="36" borderId="0" xfId="0" applyNumberFormat="1" applyFont="1" applyFill="1" applyAlignment="1">
      <alignment horizontal="left" vertical="center"/>
    </xf>
    <xf numFmtId="174" fontId="116" fillId="36" borderId="0" xfId="0" applyNumberFormat="1" applyFont="1" applyFill="1" applyAlignment="1">
      <alignment horizontal="left" vertical="center"/>
    </xf>
    <xf numFmtId="0" fontId="0" fillId="0" borderId="0" xfId="0" quotePrefix="1"/>
    <xf numFmtId="2" fontId="0" fillId="0" borderId="0" xfId="0" applyNumberFormat="1"/>
    <xf numFmtId="0" fontId="91" fillId="48" borderId="33" xfId="0" applyFont="1" applyFill="1" applyBorder="1" applyAlignment="1">
      <alignment horizontal="left" vertical="center"/>
    </xf>
    <xf numFmtId="0" fontId="91" fillId="48" borderId="34" xfId="0" applyFont="1" applyFill="1" applyBorder="1" applyAlignment="1">
      <alignment horizontal="left" vertical="center"/>
    </xf>
    <xf numFmtId="0" fontId="91" fillId="48" borderId="35" xfId="0" applyFont="1" applyFill="1" applyBorder="1" applyAlignment="1">
      <alignment horizontal="left" vertical="center"/>
    </xf>
    <xf numFmtId="172" fontId="97" fillId="45" borderId="22" xfId="210" applyNumberFormat="1" applyFont="1" applyFill="1" applyBorder="1" applyAlignment="1">
      <alignment horizontal="center" vertical="center"/>
    </xf>
    <xf numFmtId="172" fontId="97" fillId="45" borderId="23" xfId="210" applyNumberFormat="1" applyFont="1" applyFill="1" applyBorder="1" applyAlignment="1">
      <alignment horizontal="center" vertical="center"/>
    </xf>
    <xf numFmtId="49" fontId="89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applyNumberFormat="1" applyFont="1" applyFill="1" applyAlignment="1" applyProtection="1">
      <alignment horizontal="left" vertical="top" wrapText="1"/>
      <protection locked="0"/>
    </xf>
    <xf numFmtId="49" fontId="83" fillId="41" borderId="24" xfId="0" applyNumberFormat="1" applyFont="1" applyFill="1" applyBorder="1" applyAlignment="1" applyProtection="1">
      <alignment horizontal="left" vertical="top" wrapText="1"/>
      <protection locked="0"/>
    </xf>
    <xf numFmtId="49" fontId="92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quotePrefix="1" applyNumberFormat="1" applyFont="1" applyFill="1" applyAlignment="1" applyProtection="1">
      <alignment horizontal="left" vertical="top" wrapText="1"/>
      <protection locked="0"/>
    </xf>
    <xf numFmtId="3" fontId="81" fillId="0" borderId="36" xfId="0" applyNumberFormat="1" applyFont="1" applyBorder="1" applyAlignment="1">
      <alignment horizontal="center" vertical="center"/>
    </xf>
    <xf numFmtId="49" fontId="0" fillId="0" borderId="36" xfId="0" quotePrefix="1" applyNumberFormat="1" applyBorder="1" applyAlignment="1">
      <alignment horizontal="left" vertical="center" wrapText="1" readingOrder="1"/>
    </xf>
    <xf numFmtId="0" fontId="87" fillId="50" borderId="0" xfId="0" applyFont="1" applyFill="1" applyAlignment="1">
      <alignment horizontal="center" vertical="center" wrapText="1"/>
    </xf>
    <xf numFmtId="0" fontId="83" fillId="39" borderId="43" xfId="0" applyFont="1" applyFill="1" applyBorder="1" applyAlignment="1">
      <alignment horizontal="left" vertical="top" wrapText="1"/>
    </xf>
    <xf numFmtId="0" fontId="83" fillId="39" borderId="0" xfId="0" applyFont="1" applyFill="1" applyAlignment="1">
      <alignment horizontal="left" vertical="top" wrapText="1"/>
    </xf>
    <xf numFmtId="0" fontId="83" fillId="39" borderId="44" xfId="0" applyFont="1" applyFill="1" applyBorder="1" applyAlignment="1">
      <alignment horizontal="left" vertical="top" wrapText="1"/>
    </xf>
    <xf numFmtId="0" fontId="83" fillId="39" borderId="45" xfId="0" applyFont="1" applyFill="1" applyBorder="1" applyAlignment="1">
      <alignment horizontal="left" vertical="top" wrapText="1"/>
    </xf>
    <xf numFmtId="0" fontId="83" fillId="39" borderId="46" xfId="0" applyFont="1" applyFill="1" applyBorder="1" applyAlignment="1">
      <alignment horizontal="left" vertical="top" wrapText="1"/>
    </xf>
    <xf numFmtId="0" fontId="83" fillId="39" borderId="47" xfId="0" applyFont="1" applyFill="1" applyBorder="1" applyAlignment="1">
      <alignment horizontal="left" vertical="top" wrapText="1"/>
    </xf>
    <xf numFmtId="0" fontId="85" fillId="47" borderId="40" xfId="0" applyFont="1" applyFill="1" applyBorder="1" applyAlignment="1">
      <alignment horizontal="center" vertical="center"/>
    </xf>
    <xf numFmtId="0" fontId="85" fillId="47" borderId="41" xfId="0" applyFont="1" applyFill="1" applyBorder="1" applyAlignment="1">
      <alignment horizontal="center" vertical="center"/>
    </xf>
    <xf numFmtId="0" fontId="85" fillId="47" borderId="42" xfId="0" applyFont="1" applyFill="1" applyBorder="1" applyAlignment="1">
      <alignment horizontal="center" vertical="center"/>
    </xf>
    <xf numFmtId="0" fontId="85" fillId="47" borderId="43" xfId="0" applyFont="1" applyFill="1" applyBorder="1" applyAlignment="1">
      <alignment horizontal="center" vertical="center"/>
    </xf>
    <xf numFmtId="0" fontId="85" fillId="47" borderId="0" xfId="0" applyFont="1" applyFill="1" applyAlignment="1">
      <alignment horizontal="center" vertical="center"/>
    </xf>
    <xf numFmtId="0" fontId="85" fillId="47" borderId="44" xfId="0" applyFont="1" applyFill="1" applyBorder="1" applyAlignment="1">
      <alignment horizontal="center" vertical="center"/>
    </xf>
    <xf numFmtId="14" fontId="78" fillId="37" borderId="26" xfId="0" applyNumberFormat="1" applyFont="1" applyFill="1" applyBorder="1" applyAlignment="1">
      <alignment horizontal="right" vertical="center"/>
    </xf>
    <xf numFmtId="174" fontId="78" fillId="37" borderId="26" xfId="0" applyNumberFormat="1" applyFont="1" applyFill="1" applyBorder="1" applyAlignment="1">
      <alignment horizontal="right" vertical="center"/>
    </xf>
    <xf numFmtId="174" fontId="78" fillId="37" borderId="27" xfId="0" applyNumberFormat="1" applyFont="1" applyFill="1" applyBorder="1" applyAlignment="1">
      <alignment horizontal="right" vertical="center"/>
    </xf>
    <xf numFmtId="22" fontId="75" fillId="39" borderId="0" xfId="0" applyNumberFormat="1" applyFont="1" applyFill="1" applyAlignment="1">
      <alignment horizontal="center" vertical="center"/>
    </xf>
    <xf numFmtId="0" fontId="75" fillId="39" borderId="0" xfId="0" applyFont="1" applyFill="1" applyAlignment="1">
      <alignment horizontal="right" vertical="center"/>
    </xf>
    <xf numFmtId="0" fontId="79" fillId="43" borderId="37" xfId="0" quotePrefix="1" applyFont="1" applyFill="1" applyBorder="1" applyAlignment="1" applyProtection="1">
      <alignment horizontal="center" vertical="center" wrapText="1"/>
      <protection locked="0"/>
    </xf>
    <xf numFmtId="0" fontId="79" fillId="43" borderId="38" xfId="0" quotePrefix="1" applyFont="1" applyFill="1" applyBorder="1" applyAlignment="1" applyProtection="1">
      <alignment horizontal="center" vertical="center" wrapText="1"/>
      <protection locked="0"/>
    </xf>
    <xf numFmtId="0" fontId="79" fillId="43" borderId="36" xfId="0" quotePrefix="1" applyFont="1" applyFill="1" applyBorder="1" applyAlignment="1" applyProtection="1">
      <alignment horizontal="center" vertical="center" wrapText="1"/>
      <protection locked="0"/>
    </xf>
    <xf numFmtId="174" fontId="78" fillId="37" borderId="26" xfId="0" applyNumberFormat="1" applyFont="1" applyFill="1" applyBorder="1" applyAlignment="1">
      <alignment horizontal="left" vertical="center"/>
    </xf>
    <xf numFmtId="174" fontId="78" fillId="37" borderId="27" xfId="0" applyNumberFormat="1" applyFont="1" applyFill="1" applyBorder="1" applyAlignment="1">
      <alignment horizontal="left" vertical="center"/>
    </xf>
    <xf numFmtId="0" fontId="78" fillId="37" borderId="26" xfId="0" applyFont="1" applyFill="1" applyBorder="1" applyAlignment="1">
      <alignment horizontal="right" vertical="center"/>
    </xf>
    <xf numFmtId="14" fontId="71" fillId="44" borderId="31" xfId="0" applyNumberFormat="1" applyFont="1" applyFill="1" applyBorder="1" applyAlignment="1" applyProtection="1">
      <alignment horizontal="center" vertical="center"/>
      <protection locked="0"/>
    </xf>
    <xf numFmtId="49" fontId="83" fillId="39" borderId="43" xfId="0" applyNumberFormat="1" applyFont="1" applyFill="1" applyBorder="1" applyAlignment="1">
      <alignment horizontal="left" vertical="top" wrapText="1"/>
    </xf>
    <xf numFmtId="14" fontId="78" fillId="37" borderId="26" xfId="0" applyNumberFormat="1" applyFont="1" applyFill="1" applyBorder="1" applyAlignment="1" applyProtection="1">
      <alignment horizontal="right" vertical="center"/>
      <protection locked="0"/>
    </xf>
    <xf numFmtId="174" fontId="78" fillId="37" borderId="26" xfId="0" applyNumberFormat="1" applyFont="1" applyFill="1" applyBorder="1" applyAlignment="1" applyProtection="1">
      <alignment horizontal="left" vertical="center"/>
      <protection locked="0"/>
    </xf>
    <xf numFmtId="174" fontId="78" fillId="37" borderId="27" xfId="0" applyNumberFormat="1" applyFont="1" applyFill="1" applyBorder="1" applyAlignment="1" applyProtection="1">
      <alignment horizontal="left" vertical="center"/>
      <protection locked="0"/>
    </xf>
    <xf numFmtId="0" fontId="78" fillId="37" borderId="26" xfId="0" applyFont="1" applyFill="1" applyBorder="1" applyAlignment="1" applyProtection="1">
      <alignment horizontal="right" vertical="center"/>
      <protection locked="0"/>
    </xf>
    <xf numFmtId="49" fontId="89" fillId="39" borderId="43" xfId="0" applyNumberFormat="1" applyFont="1" applyFill="1" applyBorder="1" applyAlignment="1">
      <alignment horizontal="left" vertical="top" wrapText="1"/>
    </xf>
    <xf numFmtId="0" fontId="89" fillId="39" borderId="0" xfId="0" applyFont="1" applyFill="1" applyAlignment="1">
      <alignment horizontal="left" vertical="top" wrapText="1"/>
    </xf>
    <xf numFmtId="0" fontId="89" fillId="39" borderId="44" xfId="0" applyFont="1" applyFill="1" applyBorder="1" applyAlignment="1">
      <alignment horizontal="left" vertical="top" wrapText="1"/>
    </xf>
    <xf numFmtId="0" fontId="89" fillId="39" borderId="43" xfId="0" applyFont="1" applyFill="1" applyBorder="1" applyAlignment="1">
      <alignment horizontal="left" vertical="top" wrapText="1"/>
    </xf>
    <xf numFmtId="0" fontId="89" fillId="39" borderId="45" xfId="0" applyFont="1" applyFill="1" applyBorder="1" applyAlignment="1">
      <alignment horizontal="left" vertical="top" wrapText="1"/>
    </xf>
    <xf numFmtId="0" fontId="89" fillId="39" borderId="46" xfId="0" applyFont="1" applyFill="1" applyBorder="1" applyAlignment="1">
      <alignment horizontal="left" vertical="top" wrapText="1"/>
    </xf>
    <xf numFmtId="0" fontId="89" fillId="39" borderId="47" xfId="0" applyFont="1" applyFill="1" applyBorder="1" applyAlignment="1">
      <alignment horizontal="left" vertical="top" wrapText="1"/>
    </xf>
    <xf numFmtId="0" fontId="99" fillId="42" borderId="50" xfId="0" applyFont="1" applyFill="1" applyBorder="1" applyAlignment="1">
      <alignment horizontal="center" vertical="center"/>
    </xf>
    <xf numFmtId="0" fontId="99" fillId="42" borderId="49" xfId="0" applyFont="1" applyFill="1" applyBorder="1" applyAlignment="1">
      <alignment horizontal="center" vertical="center"/>
    </xf>
    <xf numFmtId="0" fontId="99" fillId="42" borderId="48" xfId="0" applyFont="1" applyFill="1" applyBorder="1" applyAlignment="1">
      <alignment horizontal="center" vertical="center"/>
    </xf>
    <xf numFmtId="0" fontId="0" fillId="53" borderId="19" xfId="0" quotePrefix="1" applyFill="1" applyBorder="1" applyAlignment="1">
      <alignment horizontal="left" vertical="center" wrapText="1"/>
    </xf>
    <xf numFmtId="0" fontId="0" fillId="53" borderId="19" xfId="0" applyFill="1" applyBorder="1" applyAlignment="1">
      <alignment horizontal="left" vertical="center" wrapText="1"/>
    </xf>
    <xf numFmtId="0" fontId="101" fillId="52" borderId="50" xfId="0" applyFont="1" applyFill="1" applyBorder="1" applyAlignment="1">
      <alignment horizontal="center"/>
    </xf>
    <xf numFmtId="0" fontId="101" fillId="52" borderId="49" xfId="0" applyFont="1" applyFill="1" applyBorder="1" applyAlignment="1">
      <alignment horizontal="center"/>
    </xf>
    <xf numFmtId="0" fontId="101" fillId="52" borderId="48" xfId="0" applyFont="1" applyFill="1" applyBorder="1" applyAlignment="1">
      <alignment horizontal="center"/>
    </xf>
    <xf numFmtId="0" fontId="112" fillId="59" borderId="50" xfId="0" applyFont="1" applyFill="1" applyBorder="1" applyAlignment="1">
      <alignment horizontal="center" vertical="center"/>
    </xf>
    <xf numFmtId="0" fontId="112" fillId="59" borderId="49" xfId="0" applyFont="1" applyFill="1" applyBorder="1" applyAlignment="1">
      <alignment horizontal="center" vertical="center"/>
    </xf>
    <xf numFmtId="0" fontId="112" fillId="59" borderId="48" xfId="0" applyFont="1" applyFill="1" applyBorder="1" applyAlignment="1">
      <alignment horizontal="center" vertical="center"/>
    </xf>
    <xf numFmtId="0" fontId="103" fillId="53" borderId="19" xfId="0" quotePrefix="1" applyFont="1" applyFill="1" applyBorder="1" applyAlignment="1">
      <alignment horizontal="left" vertical="center" wrapText="1"/>
    </xf>
    <xf numFmtId="0" fontId="103" fillId="53" borderId="19" xfId="0" applyFont="1" applyFill="1" applyBorder="1" applyAlignment="1">
      <alignment horizontal="left" vertical="center" wrapText="1"/>
    </xf>
    <xf numFmtId="0" fontId="1" fillId="36" borderId="0" xfId="0" applyFont="1" applyFill="1" applyAlignment="1">
      <alignment horizontal="center" vertical="center"/>
    </xf>
    <xf numFmtId="49" fontId="0" fillId="0" borderId="36" xfId="0" quotePrefix="1" applyNumberFormat="1" applyBorder="1" applyAlignment="1">
      <alignment horizontal="left" vertical="top" wrapText="1" readingOrder="1"/>
    </xf>
    <xf numFmtId="0" fontId="86" fillId="49" borderId="0" xfId="0" applyFont="1" applyFill="1" applyAlignment="1">
      <alignment horizontal="center" vertical="center" wrapText="1"/>
    </xf>
    <xf numFmtId="14" fontId="71" fillId="44" borderId="31" xfId="0" applyNumberFormat="1" applyFont="1" applyFill="1" applyBorder="1" applyAlignment="1">
      <alignment horizontal="center" vertical="center"/>
    </xf>
  </cellXfs>
  <cellStyles count="1546">
    <cellStyle name="¿­¾îº» ÇÏÀÌÆÛ¸µÅ©" xfId="22" xr:uid="{00000000-0005-0000-0000-000000000000}"/>
    <cellStyle name="¿­¾îº» ÇÏÀÌÆÛ¸µÅ© 2" xfId="143" xr:uid="{00000000-0005-0000-0000-000001000000}"/>
    <cellStyle name="¿­¾îº» ÇÏÀÌÆÛ¸µÅ© 3" xfId="170" xr:uid="{00000000-0005-0000-0000-000002000000}"/>
    <cellStyle name="½°Ç¥_PRECOEE" xfId="23" xr:uid="{00000000-0005-0000-0000-000003000000}"/>
    <cellStyle name="20% - Ênfase1 2" xfId="24" xr:uid="{00000000-0005-0000-0000-000004000000}"/>
    <cellStyle name="20% - Ênfase1 2 2" xfId="416" xr:uid="{00000000-0005-0000-0000-000005000000}"/>
    <cellStyle name="20% - Ênfase2 2" xfId="25" xr:uid="{00000000-0005-0000-0000-000006000000}"/>
    <cellStyle name="20% - Ênfase2 2 2" xfId="417" xr:uid="{00000000-0005-0000-0000-000007000000}"/>
    <cellStyle name="20% - Ênfase3 2" xfId="26" xr:uid="{00000000-0005-0000-0000-000008000000}"/>
    <cellStyle name="20% - Ênfase3 2 2" xfId="418" xr:uid="{00000000-0005-0000-0000-000009000000}"/>
    <cellStyle name="20% - Ênfase4 2" xfId="27" xr:uid="{00000000-0005-0000-0000-00000A000000}"/>
    <cellStyle name="20% - Ênfase4 2 2" xfId="419" xr:uid="{00000000-0005-0000-0000-00000B000000}"/>
    <cellStyle name="20% - Ênfase5 2" xfId="28" xr:uid="{00000000-0005-0000-0000-00000C000000}"/>
    <cellStyle name="20% - Ênfase5 2 2" xfId="420" xr:uid="{00000000-0005-0000-0000-00000D000000}"/>
    <cellStyle name="20% - Ênfase6 2" xfId="29" xr:uid="{00000000-0005-0000-0000-00000E000000}"/>
    <cellStyle name="20% - Ênfase6 2 2" xfId="421" xr:uid="{00000000-0005-0000-0000-00000F000000}"/>
    <cellStyle name="40% - Ênfase1 2" xfId="30" xr:uid="{00000000-0005-0000-0000-000010000000}"/>
    <cellStyle name="40% - Ênfase1 2 2" xfId="422" xr:uid="{00000000-0005-0000-0000-000011000000}"/>
    <cellStyle name="40% - Ênfase2 2" xfId="31" xr:uid="{00000000-0005-0000-0000-000012000000}"/>
    <cellStyle name="40% - Ênfase2 2 2" xfId="423" xr:uid="{00000000-0005-0000-0000-000013000000}"/>
    <cellStyle name="40% - Ênfase3 2" xfId="32" xr:uid="{00000000-0005-0000-0000-000014000000}"/>
    <cellStyle name="40% - Ênfase3 2 2" xfId="424" xr:uid="{00000000-0005-0000-0000-000015000000}"/>
    <cellStyle name="40% - Ênfase4 2" xfId="33" xr:uid="{00000000-0005-0000-0000-000016000000}"/>
    <cellStyle name="40% - Ênfase4 2 2" xfId="425" xr:uid="{00000000-0005-0000-0000-000017000000}"/>
    <cellStyle name="40% - Ênfase5 2" xfId="34" xr:uid="{00000000-0005-0000-0000-000018000000}"/>
    <cellStyle name="40% - Ênfase5 2 2" xfId="426" xr:uid="{00000000-0005-0000-0000-000019000000}"/>
    <cellStyle name="40% - Ênfase6 2" xfId="35" xr:uid="{00000000-0005-0000-0000-00001A000000}"/>
    <cellStyle name="40% - Ênfase6 2 2" xfId="427" xr:uid="{00000000-0005-0000-0000-00001B000000}"/>
    <cellStyle name="60% - Ênfase1 2" xfId="36" xr:uid="{00000000-0005-0000-0000-00001C000000}"/>
    <cellStyle name="60% - Ênfase2 2" xfId="37" xr:uid="{00000000-0005-0000-0000-00001D000000}"/>
    <cellStyle name="60% - Ênfase3 2" xfId="38" xr:uid="{00000000-0005-0000-0000-00001E000000}"/>
    <cellStyle name="60% - Ênfase4 2" xfId="39" xr:uid="{00000000-0005-0000-0000-00001F000000}"/>
    <cellStyle name="60% - Ênfase5 2" xfId="40" xr:uid="{00000000-0005-0000-0000-000020000000}"/>
    <cellStyle name="60% - Ênfase6 2" xfId="41" xr:uid="{00000000-0005-0000-0000-000021000000}"/>
    <cellStyle name="Alterar t&amp;odas" xfId="42" xr:uid="{00000000-0005-0000-0000-000022000000}"/>
    <cellStyle name="Bom 2" xfId="43" xr:uid="{00000000-0005-0000-0000-000023000000}"/>
    <cellStyle name="Ç¥ÁØ_PRECOEE" xfId="44" xr:uid="{00000000-0005-0000-0000-000024000000}"/>
    <cellStyle name="Cálculo 2" xfId="45" xr:uid="{00000000-0005-0000-0000-000025000000}"/>
    <cellStyle name="Camp Document Field" xfId="46" xr:uid="{00000000-0005-0000-0000-000026000000}"/>
    <cellStyle name="Camp Document Field 2" xfId="144" xr:uid="{00000000-0005-0000-0000-000027000000}"/>
    <cellStyle name="Camp Document Field 3" xfId="171" xr:uid="{00000000-0005-0000-0000-000028000000}"/>
    <cellStyle name="Camp Document Record" xfId="47" xr:uid="{00000000-0005-0000-0000-000029000000}"/>
    <cellStyle name="Camp Document Record 2" xfId="145" xr:uid="{00000000-0005-0000-0000-00002A000000}"/>
    <cellStyle name="Camp Document Record 3" xfId="172" xr:uid="{00000000-0005-0000-0000-00002B000000}"/>
    <cellStyle name="Camp Document Table" xfId="48" xr:uid="{00000000-0005-0000-0000-00002C000000}"/>
    <cellStyle name="Camp Document Table 2" xfId="146" xr:uid="{00000000-0005-0000-0000-00002D000000}"/>
    <cellStyle name="Camp Document Table 3" xfId="173" xr:uid="{00000000-0005-0000-0000-00002E000000}"/>
    <cellStyle name="CAMP H-Label 2" xfId="49" xr:uid="{00000000-0005-0000-0000-00002F000000}"/>
    <cellStyle name="CAMP H-Label 2 2" xfId="147" xr:uid="{00000000-0005-0000-0000-000030000000}"/>
    <cellStyle name="CAMP H-Label 2 3" xfId="174" xr:uid="{00000000-0005-0000-0000-000031000000}"/>
    <cellStyle name="CAMP H-Label 3 Inclined" xfId="50" xr:uid="{00000000-0005-0000-0000-000032000000}"/>
    <cellStyle name="CAMP H-Label 3 Inclined 2" xfId="148" xr:uid="{00000000-0005-0000-0000-000033000000}"/>
    <cellStyle name="CAMP H-Label 3 Inclined 2 2" xfId="443" xr:uid="{00000000-0005-0000-0000-000034000000}"/>
    <cellStyle name="CAMP H-Label 3 Inclined 3" xfId="175" xr:uid="{00000000-0005-0000-0000-000035000000}"/>
    <cellStyle name="CAMP H-Label 3 Inclined 3 2" xfId="448" xr:uid="{00000000-0005-0000-0000-000036000000}"/>
    <cellStyle name="CAMP H-Label 3 Inclined 4" xfId="428" xr:uid="{00000000-0005-0000-0000-000037000000}"/>
    <cellStyle name="Camp Input Field General" xfId="51" xr:uid="{00000000-0005-0000-0000-000038000000}"/>
    <cellStyle name="Camp Input Field General 2" xfId="149" xr:uid="{00000000-0005-0000-0000-000039000000}"/>
    <cellStyle name="Camp Input Field General 3" xfId="176" xr:uid="{00000000-0005-0000-0000-00003A000000}"/>
    <cellStyle name="Camp Input Field Meas" xfId="52" xr:uid="{00000000-0005-0000-0000-00003B000000}"/>
    <cellStyle name="Camp Input Field Percent" xfId="53" xr:uid="{00000000-0005-0000-0000-00003C000000}"/>
    <cellStyle name="Camp Label Column" xfId="54" xr:uid="{00000000-0005-0000-0000-00003D000000}"/>
    <cellStyle name="Camp Label Column 2" xfId="55" xr:uid="{00000000-0005-0000-0000-00003E000000}"/>
    <cellStyle name="Camp Label Column 2 2" xfId="151" xr:uid="{00000000-0005-0000-0000-00003F000000}"/>
    <cellStyle name="Camp Label Column 2 3" xfId="178" xr:uid="{00000000-0005-0000-0000-000040000000}"/>
    <cellStyle name="Camp Label Column 3" xfId="56" xr:uid="{00000000-0005-0000-0000-000041000000}"/>
    <cellStyle name="Camp Label Column 3 2" xfId="152" xr:uid="{00000000-0005-0000-0000-000042000000}"/>
    <cellStyle name="Camp Label Column 3 3" xfId="179" xr:uid="{00000000-0005-0000-0000-000043000000}"/>
    <cellStyle name="Camp Label Column 4" xfId="57" xr:uid="{00000000-0005-0000-0000-000044000000}"/>
    <cellStyle name="Camp Label Column 4 2" xfId="153" xr:uid="{00000000-0005-0000-0000-000045000000}"/>
    <cellStyle name="Camp Label Column 4 3" xfId="180" xr:uid="{00000000-0005-0000-0000-000046000000}"/>
    <cellStyle name="Camp Label Column 5" xfId="150" xr:uid="{00000000-0005-0000-0000-000047000000}"/>
    <cellStyle name="Camp Label Column 6" xfId="177" xr:uid="{00000000-0005-0000-0000-000048000000}"/>
    <cellStyle name="Camp Label Column_~1629650" xfId="58" xr:uid="{00000000-0005-0000-0000-000049000000}"/>
    <cellStyle name="Camp Output Field" xfId="59" xr:uid="{00000000-0005-0000-0000-00004A000000}"/>
    <cellStyle name="Camp Output Field  Without Red" xfId="60" xr:uid="{00000000-0005-0000-0000-00004B000000}"/>
    <cellStyle name="Camp Output Field 10" xfId="952" xr:uid="{00000000-0005-0000-0000-00004C000000}"/>
    <cellStyle name="Camp Output Field 11" xfId="1536" xr:uid="{00000000-0005-0000-0000-00004D000000}"/>
    <cellStyle name="Camp Output Field 2" xfId="429" xr:uid="{00000000-0005-0000-0000-00004E000000}"/>
    <cellStyle name="Camp Output Field 3" xfId="599" xr:uid="{00000000-0005-0000-0000-00004F000000}"/>
    <cellStyle name="Camp Output Field 4" xfId="650" xr:uid="{00000000-0005-0000-0000-000050000000}"/>
    <cellStyle name="Camp Output Field 5" xfId="654" xr:uid="{00000000-0005-0000-0000-000051000000}"/>
    <cellStyle name="Camp Output Field 6" xfId="651" xr:uid="{00000000-0005-0000-0000-000052000000}"/>
    <cellStyle name="Camp Output Field 7" xfId="948" xr:uid="{00000000-0005-0000-0000-000053000000}"/>
    <cellStyle name="Camp Output Field 8" xfId="975" xr:uid="{00000000-0005-0000-0000-000054000000}"/>
    <cellStyle name="Camp Output Field 9" xfId="1535" xr:uid="{00000000-0005-0000-0000-000055000000}"/>
    <cellStyle name="Camp Output Field General" xfId="61" xr:uid="{00000000-0005-0000-0000-000056000000}"/>
    <cellStyle name="Camp Output Field General 2" xfId="154" xr:uid="{00000000-0005-0000-0000-000057000000}"/>
    <cellStyle name="Camp Output Field General 2 2" xfId="444" xr:uid="{00000000-0005-0000-0000-000058000000}"/>
    <cellStyle name="Camp Output Field General 3" xfId="181" xr:uid="{00000000-0005-0000-0000-000059000000}"/>
    <cellStyle name="Camp Output Field General 3 2" xfId="449" xr:uid="{00000000-0005-0000-0000-00005A000000}"/>
    <cellStyle name="Camp Output Field General 4" xfId="430" xr:uid="{00000000-0005-0000-0000-00005B000000}"/>
    <cellStyle name="Camp Output Field Percent" xfId="62" xr:uid="{00000000-0005-0000-0000-00005C000000}"/>
    <cellStyle name="Camp Output Field Percent 2" xfId="431" xr:uid="{00000000-0005-0000-0000-00005D000000}"/>
    <cellStyle name="Camp Output Field Percent With Red" xfId="63" xr:uid="{00000000-0005-0000-0000-00005E000000}"/>
    <cellStyle name="Camp Output Field Percent_~1629650" xfId="64" xr:uid="{00000000-0005-0000-0000-00005F000000}"/>
    <cellStyle name="Camp Output Field_~1629650" xfId="65" xr:uid="{00000000-0005-0000-0000-000060000000}"/>
    <cellStyle name="Camp Percent" xfId="66" xr:uid="{00000000-0005-0000-0000-000061000000}"/>
    <cellStyle name="Camp System" xfId="67" xr:uid="{00000000-0005-0000-0000-000062000000}"/>
    <cellStyle name="Camp System 2" xfId="155" xr:uid="{00000000-0005-0000-0000-000063000000}"/>
    <cellStyle name="Camp System 3" xfId="182" xr:uid="{00000000-0005-0000-0000-000064000000}"/>
    <cellStyle name="Camp Validator Gray Percent" xfId="68" xr:uid="{00000000-0005-0000-0000-000065000000}"/>
    <cellStyle name="Camp Validator Gray Value" xfId="69" xr:uid="{00000000-0005-0000-0000-000066000000}"/>
    <cellStyle name="Camp Validator Green Percent" xfId="70" xr:uid="{00000000-0005-0000-0000-000067000000}"/>
    <cellStyle name="Camp Validator Green Value" xfId="71" xr:uid="{00000000-0005-0000-0000-000068000000}"/>
    <cellStyle name="Camp Validator Red Percent" xfId="72" xr:uid="{00000000-0005-0000-0000-000069000000}"/>
    <cellStyle name="Camp Validator Red Value" xfId="73" xr:uid="{00000000-0005-0000-0000-00006A000000}"/>
    <cellStyle name="Camp Validator Yellow Percent" xfId="74" xr:uid="{00000000-0005-0000-0000-00006B000000}"/>
    <cellStyle name="Camp Validator Yellow Value" xfId="75" xr:uid="{00000000-0005-0000-0000-00006C000000}"/>
    <cellStyle name="CAMP V-Label 3" xfId="76" xr:uid="{00000000-0005-0000-0000-00006D000000}"/>
    <cellStyle name="CAMP V-Label 3 2" xfId="156" xr:uid="{00000000-0005-0000-0000-00006E000000}"/>
    <cellStyle name="CAMP V-Label 3 2 2" xfId="445" xr:uid="{00000000-0005-0000-0000-00006F000000}"/>
    <cellStyle name="CAMP V-Label 3 3" xfId="183" xr:uid="{00000000-0005-0000-0000-000070000000}"/>
    <cellStyle name="CAMP V-Label 3 3 2" xfId="450" xr:uid="{00000000-0005-0000-0000-000071000000}"/>
    <cellStyle name="CAMP V-Label 3 4" xfId="432" xr:uid="{00000000-0005-0000-0000-000072000000}"/>
    <cellStyle name="CampValidationCorrect" xfId="77" xr:uid="{00000000-0005-0000-0000-000073000000}"/>
    <cellStyle name="CampValidationCorrect 2" xfId="433" xr:uid="{00000000-0005-0000-0000-000074000000}"/>
    <cellStyle name="CampValidationCorrectable" xfId="78" xr:uid="{00000000-0005-0000-0000-000075000000}"/>
    <cellStyle name="CampValidationCorrectable 2" xfId="434" xr:uid="{00000000-0005-0000-0000-000076000000}"/>
    <cellStyle name="CampValidationNoData" xfId="79" xr:uid="{00000000-0005-0000-0000-000077000000}"/>
    <cellStyle name="CampValidationNoData 2" xfId="435" xr:uid="{00000000-0005-0000-0000-000078000000}"/>
    <cellStyle name="CampValidationUncorrectable" xfId="80" xr:uid="{00000000-0005-0000-0000-000079000000}"/>
    <cellStyle name="CampValidationUncorrectable 2" xfId="436" xr:uid="{00000000-0005-0000-0000-00007A000000}"/>
    <cellStyle name="Célula de Verificação 2" xfId="81" xr:uid="{00000000-0005-0000-0000-00007B000000}"/>
    <cellStyle name="Célula Vinculada 2" xfId="82" xr:uid="{00000000-0005-0000-0000-00007C000000}"/>
    <cellStyle name="ÇÏÀÌÆÛ¸µÅ©" xfId="83" xr:uid="{00000000-0005-0000-0000-00007D000000}"/>
    <cellStyle name="ÇÏÀÌÆÛ¸µÅ© 2" xfId="157" xr:uid="{00000000-0005-0000-0000-00007E000000}"/>
    <cellStyle name="ÇÏÀÌÆÛ¸µÅ© 3" xfId="184" xr:uid="{00000000-0005-0000-0000-00007F000000}"/>
    <cellStyle name="Comma" xfId="210" builtinId="3"/>
    <cellStyle name="Comma0" xfId="84" xr:uid="{00000000-0005-0000-0000-000080000000}"/>
    <cellStyle name="Currency0" xfId="85" xr:uid="{00000000-0005-0000-0000-000081000000}"/>
    <cellStyle name="Currency0 2" xfId="158" xr:uid="{00000000-0005-0000-0000-000082000000}"/>
    <cellStyle name="Currency0 3" xfId="185" xr:uid="{00000000-0005-0000-0000-000083000000}"/>
    <cellStyle name="Date" xfId="86" xr:uid="{00000000-0005-0000-0000-000084000000}"/>
    <cellStyle name="Date 2" xfId="159" xr:uid="{00000000-0005-0000-0000-000085000000}"/>
    <cellStyle name="Date 3" xfId="186" xr:uid="{00000000-0005-0000-0000-000086000000}"/>
    <cellStyle name="Ênfase1 2" xfId="87" xr:uid="{00000000-0005-0000-0000-000087000000}"/>
    <cellStyle name="Ênfase2 2" xfId="88" xr:uid="{00000000-0005-0000-0000-000088000000}"/>
    <cellStyle name="Ênfase3 2" xfId="89" xr:uid="{00000000-0005-0000-0000-000089000000}"/>
    <cellStyle name="Ênfase4 2" xfId="90" xr:uid="{00000000-0005-0000-0000-00008A000000}"/>
    <cellStyle name="Ênfase5 2" xfId="91" xr:uid="{00000000-0005-0000-0000-00008B000000}"/>
    <cellStyle name="Ênfase6 2" xfId="92" xr:uid="{00000000-0005-0000-0000-00008C000000}"/>
    <cellStyle name="Entrada 2" xfId="93" xr:uid="{00000000-0005-0000-0000-00008D000000}"/>
    <cellStyle name="Estilo 1" xfId="94" xr:uid="{00000000-0005-0000-0000-00008E000000}"/>
    <cellStyle name="Estilo 1 2" xfId="160" xr:uid="{00000000-0005-0000-0000-00008F000000}"/>
    <cellStyle name="Estilo 1 3" xfId="187" xr:uid="{00000000-0005-0000-0000-000090000000}"/>
    <cellStyle name="Euro" xfId="95" xr:uid="{00000000-0005-0000-0000-000091000000}"/>
    <cellStyle name="Fixed" xfId="96" xr:uid="{00000000-0005-0000-0000-000092000000}"/>
    <cellStyle name="Heading 1" xfId="97" xr:uid="{00000000-0005-0000-0000-000093000000}"/>
    <cellStyle name="Heading 1 2" xfId="161" xr:uid="{00000000-0005-0000-0000-000094000000}"/>
    <cellStyle name="Heading 1 3" xfId="188" xr:uid="{00000000-0005-0000-0000-000095000000}"/>
    <cellStyle name="Heading 2" xfId="98" xr:uid="{00000000-0005-0000-0000-000096000000}"/>
    <cellStyle name="Heading 2 2" xfId="162" xr:uid="{00000000-0005-0000-0000-000097000000}"/>
    <cellStyle name="Heading 2 3" xfId="189" xr:uid="{00000000-0005-0000-0000-000098000000}"/>
    <cellStyle name="Hiperlink 2" xfId="380" xr:uid="{00000000-0005-0000-0000-000099000000}"/>
    <cellStyle name="Hyperlink 2" xfId="10" xr:uid="{00000000-0005-0000-0000-00009A000000}"/>
    <cellStyle name="Incorreto 2" xfId="99" xr:uid="{00000000-0005-0000-0000-00009B000000}"/>
    <cellStyle name="Moeda [0]೟Efetivo de pessoal" xfId="100" xr:uid="{00000000-0005-0000-0000-00009C000000}"/>
    <cellStyle name="Moeda 10" xfId="950" xr:uid="{00000000-0005-0000-0000-00009D000000}"/>
    <cellStyle name="Moeda 11" xfId="1537" xr:uid="{00000000-0005-0000-0000-00009E000000}"/>
    <cellStyle name="Moeda 2" xfId="459" xr:uid="{00000000-0005-0000-0000-00009F000000}"/>
    <cellStyle name="Moeda 2 2" xfId="780" xr:uid="{00000000-0005-0000-0000-0000A0000000}"/>
    <cellStyle name="Moeda 2 2 2" xfId="1369" xr:uid="{00000000-0005-0000-0000-0000A1000000}"/>
    <cellStyle name="Moeda 2 3" xfId="1079" xr:uid="{00000000-0005-0000-0000-0000A2000000}"/>
    <cellStyle name="Moeda 3" xfId="618" xr:uid="{00000000-0005-0000-0000-0000A3000000}"/>
    <cellStyle name="Moeda 3 2" xfId="912" xr:uid="{00000000-0005-0000-0000-0000A4000000}"/>
    <cellStyle name="Moeda 3 2 2" xfId="1501" xr:uid="{00000000-0005-0000-0000-0000A5000000}"/>
    <cellStyle name="Moeda 3 3" xfId="1211" xr:uid="{00000000-0005-0000-0000-0000A6000000}"/>
    <cellStyle name="Moeda 4" xfId="653" xr:uid="{00000000-0005-0000-0000-0000A7000000}"/>
    <cellStyle name="Moeda 4 2" xfId="1243" xr:uid="{00000000-0005-0000-0000-0000A8000000}"/>
    <cellStyle name="Moeda 5" xfId="652" xr:uid="{00000000-0005-0000-0000-0000A9000000}"/>
    <cellStyle name="Moeda 5 2" xfId="1242" xr:uid="{00000000-0005-0000-0000-0000AA000000}"/>
    <cellStyle name="Moeda 6" xfId="943" xr:uid="{00000000-0005-0000-0000-0000AB000000}"/>
    <cellStyle name="Moeda 6 2" xfId="1532" xr:uid="{00000000-0005-0000-0000-0000AC000000}"/>
    <cellStyle name="Moeda 7" xfId="951" xr:uid="{00000000-0005-0000-0000-0000AD000000}"/>
    <cellStyle name="Moeda 8" xfId="949" xr:uid="{00000000-0005-0000-0000-0000AE000000}"/>
    <cellStyle name="Moeda 9" xfId="1538" xr:uid="{00000000-0005-0000-0000-0000AF000000}"/>
    <cellStyle name="Neutra 2" xfId="101" xr:uid="{00000000-0005-0000-0000-0000B0000000}"/>
    <cellStyle name="Normal" xfId="0" builtinId="0"/>
    <cellStyle name="Normal - Style1" xfId="1542" xr:uid="{3E866C15-B24B-4D2E-94D0-7C653E7D8CBC}"/>
    <cellStyle name="Normal 10" xfId="132" xr:uid="{00000000-0005-0000-0000-0000B2000000}"/>
    <cellStyle name="Normal 10 2" xfId="228" xr:uid="{00000000-0005-0000-0000-0000B3000000}"/>
    <cellStyle name="Normal 10 3" xfId="362" xr:uid="{00000000-0005-0000-0000-0000B4000000}"/>
    <cellStyle name="Normal 11" xfId="2" xr:uid="{00000000-0005-0000-0000-0000B5000000}"/>
    <cellStyle name="Normal 11 2" xfId="192" xr:uid="{00000000-0005-0000-0000-0000B6000000}"/>
    <cellStyle name="Normal 11 2 2" xfId="243" xr:uid="{00000000-0005-0000-0000-0000B7000000}"/>
    <cellStyle name="Normal 11 2 2 2" xfId="281" xr:uid="{00000000-0005-0000-0000-0000B8000000}"/>
    <cellStyle name="Normal 11 3" xfId="139" xr:uid="{00000000-0005-0000-0000-0000B9000000}"/>
    <cellStyle name="Normal 11 3 2" xfId="247" xr:uid="{00000000-0005-0000-0000-0000BA000000}"/>
    <cellStyle name="Normal 11 4" xfId="208" xr:uid="{00000000-0005-0000-0000-0000BB000000}"/>
    <cellStyle name="Normal 119" xfId="295" xr:uid="{00000000-0005-0000-0000-0000BC000000}"/>
    <cellStyle name="Normal 12" xfId="166" xr:uid="{00000000-0005-0000-0000-0000BD000000}"/>
    <cellStyle name="Normal 13" xfId="193" xr:uid="{00000000-0005-0000-0000-0000BE000000}"/>
    <cellStyle name="Normal 13 2" xfId="451" xr:uid="{00000000-0005-0000-0000-0000BF000000}"/>
    <cellStyle name="Normal 14" xfId="199" xr:uid="{00000000-0005-0000-0000-0000C0000000}"/>
    <cellStyle name="Normal 15" xfId="203" xr:uid="{00000000-0005-0000-0000-0000C1000000}"/>
    <cellStyle name="Normal 16" xfId="3" xr:uid="{00000000-0005-0000-0000-0000C2000000}"/>
    <cellStyle name="Normal 16 2" xfId="410" xr:uid="{00000000-0005-0000-0000-0000C3000000}"/>
    <cellStyle name="Normal 17" xfId="207" xr:uid="{00000000-0005-0000-0000-0000C4000000}"/>
    <cellStyle name="Normal 17 2" xfId="458" xr:uid="{00000000-0005-0000-0000-0000C5000000}"/>
    <cellStyle name="Normal 18" xfId="211" xr:uid="{00000000-0005-0000-0000-0000C6000000}"/>
    <cellStyle name="Normal 18 2" xfId="460" xr:uid="{00000000-0005-0000-0000-0000C7000000}"/>
    <cellStyle name="Normal 19" xfId="213" xr:uid="{00000000-0005-0000-0000-0000C8000000}"/>
    <cellStyle name="Normal 19 2" xfId="461" xr:uid="{00000000-0005-0000-0000-0000C9000000}"/>
    <cellStyle name="Normal 2" xfId="5" xr:uid="{00000000-0005-0000-0000-0000CA000000}"/>
    <cellStyle name="Normal 2 2" xfId="17" xr:uid="{00000000-0005-0000-0000-0000CB000000}"/>
    <cellStyle name="Normal 2 2 2" xfId="214" xr:uid="{00000000-0005-0000-0000-0000CC000000}"/>
    <cellStyle name="Normal 2 2 2 2" xfId="404" xr:uid="{00000000-0005-0000-0000-0000CD000000}"/>
    <cellStyle name="Normal 2 2 2 6" xfId="363" xr:uid="{00000000-0005-0000-0000-0000CE000000}"/>
    <cellStyle name="Normal 2 2 5" xfId="246" xr:uid="{00000000-0005-0000-0000-0000CF000000}"/>
    <cellStyle name="Normal 2 3" xfId="141" xr:uid="{00000000-0005-0000-0000-0000D0000000}"/>
    <cellStyle name="Normal 2 4" xfId="168" xr:uid="{00000000-0005-0000-0000-0000D1000000}"/>
    <cellStyle name="Normal 2 5" xfId="200" xr:uid="{00000000-0005-0000-0000-0000D2000000}"/>
    <cellStyle name="Normal 2 6" xfId="11" xr:uid="{00000000-0005-0000-0000-0000D3000000}"/>
    <cellStyle name="Normal 2 7" xfId="381" xr:uid="{00000000-0005-0000-0000-0000D4000000}"/>
    <cellStyle name="Normal 2 8" xfId="364" xr:uid="{00000000-0005-0000-0000-0000D5000000}"/>
    <cellStyle name="Normal 2_Inserir D+1" xfId="134" xr:uid="{00000000-0005-0000-0000-0000D6000000}"/>
    <cellStyle name="Normal 20" xfId="231" xr:uid="{00000000-0005-0000-0000-0000D7000000}"/>
    <cellStyle name="Normal 20 2" xfId="471" xr:uid="{00000000-0005-0000-0000-0000D8000000}"/>
    <cellStyle name="Normal 21" xfId="234" xr:uid="{00000000-0005-0000-0000-0000D9000000}"/>
    <cellStyle name="Normal 21 2" xfId="474" xr:uid="{00000000-0005-0000-0000-0000DA000000}"/>
    <cellStyle name="Normal 22" xfId="236" xr:uid="{00000000-0005-0000-0000-0000DB000000}"/>
    <cellStyle name="Normal 22 2" xfId="476" xr:uid="{00000000-0005-0000-0000-0000DC000000}"/>
    <cellStyle name="Normal 23" xfId="238" xr:uid="{00000000-0005-0000-0000-0000DD000000}"/>
    <cellStyle name="Normal 23 2" xfId="478" xr:uid="{00000000-0005-0000-0000-0000DE000000}"/>
    <cellStyle name="Normal 24" xfId="239" xr:uid="{00000000-0005-0000-0000-0000DF000000}"/>
    <cellStyle name="Normal 24 2" xfId="479" xr:uid="{00000000-0005-0000-0000-0000E0000000}"/>
    <cellStyle name="Normal 25" xfId="240" xr:uid="{00000000-0005-0000-0000-0000E1000000}"/>
    <cellStyle name="Normal 25 2" xfId="480" xr:uid="{00000000-0005-0000-0000-0000E2000000}"/>
    <cellStyle name="Normal 26" xfId="268" xr:uid="{00000000-0005-0000-0000-0000E3000000}"/>
    <cellStyle name="Normal 26 2" xfId="498" xr:uid="{00000000-0005-0000-0000-0000E4000000}"/>
    <cellStyle name="Normal 27" xfId="270" xr:uid="{00000000-0005-0000-0000-0000E5000000}"/>
    <cellStyle name="Normal 27 2" xfId="500" xr:uid="{00000000-0005-0000-0000-0000E6000000}"/>
    <cellStyle name="Normal 28" xfId="274" xr:uid="{00000000-0005-0000-0000-0000E7000000}"/>
    <cellStyle name="Normal 28 2" xfId="365" xr:uid="{00000000-0005-0000-0000-0000E8000000}"/>
    <cellStyle name="Normal 28 3" xfId="504" xr:uid="{00000000-0005-0000-0000-0000E9000000}"/>
    <cellStyle name="Normal 29" xfId="275" xr:uid="{00000000-0005-0000-0000-0000EA000000}"/>
    <cellStyle name="Normal 29 2" xfId="505" xr:uid="{00000000-0005-0000-0000-0000EB000000}"/>
    <cellStyle name="Normal 3" xfId="8" xr:uid="{00000000-0005-0000-0000-0000EC000000}"/>
    <cellStyle name="Normal 3 10" xfId="225" xr:uid="{00000000-0005-0000-0000-0000ED000000}"/>
    <cellStyle name="Normal 3 11" xfId="248" xr:uid="{00000000-0005-0000-0000-0000EE000000}"/>
    <cellStyle name="Normal 3 2" xfId="6" xr:uid="{00000000-0005-0000-0000-0000EF000000}"/>
    <cellStyle name="Normal 3 2 2" xfId="18" xr:uid="{00000000-0005-0000-0000-0000F0000000}"/>
    <cellStyle name="Normal 3 2 2 2" xfId="241" xr:uid="{00000000-0005-0000-0000-0000F1000000}"/>
    <cellStyle name="Normal 3 2 2 2 2" xfId="244" xr:uid="{00000000-0005-0000-0000-0000F2000000}"/>
    <cellStyle name="Normal 3 2 2 3" xfId="245" xr:uid="{00000000-0005-0000-0000-0000F3000000}"/>
    <cellStyle name="Normal 3 2 2 4" xfId="415" xr:uid="{00000000-0005-0000-0000-0000F4000000}"/>
    <cellStyle name="Normal 3 2 3" xfId="103" xr:uid="{00000000-0005-0000-0000-0000F5000000}"/>
    <cellStyle name="Normal 3 2 4" xfId="142" xr:uid="{00000000-0005-0000-0000-0000F6000000}"/>
    <cellStyle name="Normal 3 2 4 2" xfId="442" xr:uid="{00000000-0005-0000-0000-0000F7000000}"/>
    <cellStyle name="Normal 3 2 5" xfId="169" xr:uid="{00000000-0005-0000-0000-0000F8000000}"/>
    <cellStyle name="Normal 3 2 5 2" xfId="447" xr:uid="{00000000-0005-0000-0000-0000F9000000}"/>
    <cellStyle name="Normal 3 2 6" xfId="12" xr:uid="{00000000-0005-0000-0000-0000FA000000}"/>
    <cellStyle name="Normal 3 2 7" xfId="209" xr:uid="{00000000-0005-0000-0000-0000FB000000}"/>
    <cellStyle name="Normal 3 2 8" xfId="382" xr:uid="{00000000-0005-0000-0000-0000FC000000}"/>
    <cellStyle name="Normal 3 2_Inserir D+1" xfId="135" xr:uid="{00000000-0005-0000-0000-0000FD000000}"/>
    <cellStyle name="Normal 3 3" xfId="163" xr:uid="{00000000-0005-0000-0000-0000FE000000}"/>
    <cellStyle name="Normal 3 4" xfId="190" xr:uid="{00000000-0005-0000-0000-0000FF000000}"/>
    <cellStyle name="Normal 3 5" xfId="197" xr:uid="{00000000-0005-0000-0000-000000010000}"/>
    <cellStyle name="Normal 3 5 2" xfId="454" xr:uid="{00000000-0005-0000-0000-000001010000}"/>
    <cellStyle name="Normal 3 6" xfId="205" xr:uid="{00000000-0005-0000-0000-000002010000}"/>
    <cellStyle name="Normal 3 7" xfId="102" xr:uid="{00000000-0005-0000-0000-000003010000}"/>
    <cellStyle name="Normal 3 8" xfId="220" xr:uid="{00000000-0005-0000-0000-000004010000}"/>
    <cellStyle name="Normal 3 9" xfId="222" xr:uid="{00000000-0005-0000-0000-000005010000}"/>
    <cellStyle name="Normal 3_Inserir D+1" xfId="138" xr:uid="{00000000-0005-0000-0000-000006010000}"/>
    <cellStyle name="Normal 30" xfId="287" xr:uid="{00000000-0005-0000-0000-000007010000}"/>
    <cellStyle name="Normal 30 2" xfId="514" xr:uid="{00000000-0005-0000-0000-000008010000}"/>
    <cellStyle name="Normal 31" xfId="288" xr:uid="{00000000-0005-0000-0000-000009010000}"/>
    <cellStyle name="Normal 31 2" xfId="515" xr:uid="{00000000-0005-0000-0000-00000A010000}"/>
    <cellStyle name="Normal 32" xfId="291" xr:uid="{00000000-0005-0000-0000-00000B010000}"/>
    <cellStyle name="Normal 32 2" xfId="518" xr:uid="{00000000-0005-0000-0000-00000C010000}"/>
    <cellStyle name="Normal 33" xfId="292" xr:uid="{00000000-0005-0000-0000-00000D010000}"/>
    <cellStyle name="Normal 33 2" xfId="519" xr:uid="{00000000-0005-0000-0000-00000E010000}"/>
    <cellStyle name="Normal 34" xfId="297" xr:uid="{00000000-0005-0000-0000-00000F010000}"/>
    <cellStyle name="Normal 34 2" xfId="522" xr:uid="{00000000-0005-0000-0000-000010010000}"/>
    <cellStyle name="Normal 35" xfId="337" xr:uid="{00000000-0005-0000-0000-000011010000}"/>
    <cellStyle name="Normal 35 2" xfId="561" xr:uid="{00000000-0005-0000-0000-000012010000}"/>
    <cellStyle name="Normal 36" xfId="338" xr:uid="{00000000-0005-0000-0000-000013010000}"/>
    <cellStyle name="Normal 36 2" xfId="562" xr:uid="{00000000-0005-0000-0000-000014010000}"/>
    <cellStyle name="Normal 37" xfId="341" xr:uid="{00000000-0005-0000-0000-000015010000}"/>
    <cellStyle name="Normal 37 2" xfId="565" xr:uid="{00000000-0005-0000-0000-000016010000}"/>
    <cellStyle name="Normal 38" xfId="343" xr:uid="{00000000-0005-0000-0000-000017010000}"/>
    <cellStyle name="Normal 38 2" xfId="567" xr:uid="{00000000-0005-0000-0000-000018010000}"/>
    <cellStyle name="Normal 39" xfId="344" xr:uid="{00000000-0005-0000-0000-000019010000}"/>
    <cellStyle name="Normal 39 2" xfId="568" xr:uid="{00000000-0005-0000-0000-00001A010000}"/>
    <cellStyle name="Normal 4" xfId="1" xr:uid="{00000000-0005-0000-0000-00001B010000}"/>
    <cellStyle name="Normal 4 2" xfId="195" xr:uid="{00000000-0005-0000-0000-00001C010000}"/>
    <cellStyle name="Normal 4 2 2" xfId="383" xr:uid="{00000000-0005-0000-0000-00001D010000}"/>
    <cellStyle name="Normal 4 2 3" xfId="453" xr:uid="{00000000-0005-0000-0000-00001E010000}"/>
    <cellStyle name="Normal 4 3" xfId="16" xr:uid="{00000000-0005-0000-0000-00001F010000}"/>
    <cellStyle name="Normal 4 3 2" xfId="384" xr:uid="{00000000-0005-0000-0000-000020010000}"/>
    <cellStyle name="Normal 4 3 3" xfId="414" xr:uid="{00000000-0005-0000-0000-000021010000}"/>
    <cellStyle name="Normal 4 4" xfId="619" xr:uid="{00000000-0005-0000-0000-000022010000}"/>
    <cellStyle name="Normal 40" xfId="346" xr:uid="{00000000-0005-0000-0000-000023010000}"/>
    <cellStyle name="Normal 40 2" xfId="570" xr:uid="{00000000-0005-0000-0000-000024010000}"/>
    <cellStyle name="Normal 41" xfId="347" xr:uid="{00000000-0005-0000-0000-000025010000}"/>
    <cellStyle name="Normal 41 2" xfId="571" xr:uid="{00000000-0005-0000-0000-000026010000}"/>
    <cellStyle name="Normal 42" xfId="376" xr:uid="{00000000-0005-0000-0000-000027010000}"/>
    <cellStyle name="Normal 42 2" xfId="595" xr:uid="{00000000-0005-0000-0000-000028010000}"/>
    <cellStyle name="Normal 43" xfId="377" xr:uid="{00000000-0005-0000-0000-000029010000}"/>
    <cellStyle name="Normal 43 2" xfId="596" xr:uid="{00000000-0005-0000-0000-00002A010000}"/>
    <cellStyle name="Normal 5" xfId="7" xr:uid="{00000000-0005-0000-0000-00002B010000}"/>
    <cellStyle name="Normal 5 2" xfId="196" xr:uid="{00000000-0005-0000-0000-00002C010000}"/>
    <cellStyle name="Normal 5 2 2" xfId="385" xr:uid="{00000000-0005-0000-0000-00002D010000}"/>
    <cellStyle name="Normal 5 3" xfId="126" xr:uid="{00000000-0005-0000-0000-00002E010000}"/>
    <cellStyle name="Normal 5 4" xfId="254" xr:uid="{00000000-0005-0000-0000-00002F010000}"/>
    <cellStyle name="Normal 6" xfId="127" xr:uid="{00000000-0005-0000-0000-000030010000}"/>
    <cellStyle name="Normal 6 2" xfId="194" xr:uid="{00000000-0005-0000-0000-000031010000}"/>
    <cellStyle name="Normal 6 2 2" xfId="452" xr:uid="{00000000-0005-0000-0000-000032010000}"/>
    <cellStyle name="Normal 6 2 2 2" xfId="946" xr:uid="{00000000-0005-0000-0000-000033010000}"/>
    <cellStyle name="Normal 6 3" xfId="300" xr:uid="{00000000-0005-0000-0000-000034010000}"/>
    <cellStyle name="Normal 7" xfId="21" xr:uid="{00000000-0005-0000-0000-000035010000}"/>
    <cellStyle name="Normal 8" xfId="128" xr:uid="{00000000-0005-0000-0000-000036010000}"/>
    <cellStyle name="Normal 9" xfId="130" xr:uid="{00000000-0005-0000-0000-000037010000}"/>
    <cellStyle name="Normal1" xfId="104" xr:uid="{00000000-0005-0000-0000-000038010000}"/>
    <cellStyle name="Normal1 2" xfId="437" xr:uid="{00000000-0005-0000-0000-000039010000}"/>
    <cellStyle name="Nota 2" xfId="105" xr:uid="{00000000-0005-0000-0000-00003A010000}"/>
    <cellStyle name="Nota 2 2" xfId="438" xr:uid="{00000000-0005-0000-0000-00003B010000}"/>
    <cellStyle name="NUBIA" xfId="106" xr:uid="{00000000-0005-0000-0000-00003C010000}"/>
    <cellStyle name="NUBIA 2" xfId="164" xr:uid="{00000000-0005-0000-0000-00003D010000}"/>
    <cellStyle name="NUBIA 3" xfId="191" xr:uid="{00000000-0005-0000-0000-00003E010000}"/>
    <cellStyle name="Opções de Autoformatação" xfId="107" xr:uid="{00000000-0005-0000-0000-00003F010000}"/>
    <cellStyle name="Padrão_pilhas (2)" xfId="108" xr:uid="{00000000-0005-0000-0000-000040010000}"/>
    <cellStyle name="Porcentagem 10" xfId="198" xr:uid="{00000000-0005-0000-0000-000041010000}"/>
    <cellStyle name="Porcentagem 10 2" xfId="455" xr:uid="{00000000-0005-0000-0000-000042010000}"/>
    <cellStyle name="Porcentagem 11" xfId="204" xr:uid="{00000000-0005-0000-0000-000043010000}"/>
    <cellStyle name="Porcentagem 12" xfId="206" xr:uid="{00000000-0005-0000-0000-000044010000}"/>
    <cellStyle name="Porcentagem 12 2" xfId="457" xr:uid="{00000000-0005-0000-0000-000045010000}"/>
    <cellStyle name="Porcentagem 13" xfId="212" xr:uid="{00000000-0005-0000-0000-000046010000}"/>
    <cellStyle name="Porcentagem 15" xfId="944" xr:uid="{00000000-0005-0000-0000-000047010000}"/>
    <cellStyle name="Porcentagem 16 2" xfId="229" xr:uid="{00000000-0005-0000-0000-000048010000}"/>
    <cellStyle name="Porcentagem 18" xfId="277" xr:uid="{00000000-0005-0000-0000-000049010000}"/>
    <cellStyle name="Porcentagem 18 10" xfId="406" xr:uid="{00000000-0005-0000-0000-00004A010000}"/>
    <cellStyle name="Porcentagem 18 11" xfId="296" xr:uid="{00000000-0005-0000-0000-00004B010000}"/>
    <cellStyle name="Porcentagem 18 16" xfId="405" xr:uid="{00000000-0005-0000-0000-00004C010000}"/>
    <cellStyle name="Porcentagem 18 3" xfId="283" xr:uid="{00000000-0005-0000-0000-00004D010000}"/>
    <cellStyle name="Porcentagem 2" xfId="4" xr:uid="{00000000-0005-0000-0000-00004E010000}"/>
    <cellStyle name="Porcentagem 2 10 2 2 3" xfId="1543" xr:uid="{543EED55-ABDC-4F53-9F3F-15CCC8086B61}"/>
    <cellStyle name="Porcentagem 2 2" xfId="19" xr:uid="{00000000-0005-0000-0000-00004F010000}"/>
    <cellStyle name="Porcentagem 2 2 3" xfId="403" xr:uid="{00000000-0005-0000-0000-000050010000}"/>
    <cellStyle name="Porcentagem 2 2 7" xfId="252" xr:uid="{00000000-0005-0000-0000-000051010000}"/>
    <cellStyle name="Porcentagem 2 3" xfId="202" xr:uid="{00000000-0005-0000-0000-000052010000}"/>
    <cellStyle name="Porcentagem 2 3 2" xfId="366" xr:uid="{00000000-0005-0000-0000-000053010000}"/>
    <cellStyle name="Porcentagem 2 4" xfId="1539" xr:uid="{00000000-0005-0000-0000-000054010000}"/>
    <cellStyle name="Porcentagem 3" xfId="109" xr:uid="{00000000-0005-0000-0000-000055010000}"/>
    <cellStyle name="Porcentagem 3 2" xfId="110" xr:uid="{00000000-0005-0000-0000-000056010000}"/>
    <cellStyle name="Porcentagem 3 3" xfId="255" xr:uid="{00000000-0005-0000-0000-000057010000}"/>
    <cellStyle name="Porcentagem 35" xfId="402" xr:uid="{00000000-0005-0000-0000-000058010000}"/>
    <cellStyle name="Porcentagem 4" xfId="125" xr:uid="{00000000-0005-0000-0000-000059010000}"/>
    <cellStyle name="Porcentagem 5" xfId="129" xr:uid="{00000000-0005-0000-0000-00005A010000}"/>
    <cellStyle name="Porcentagem 6" xfId="131" xr:uid="{00000000-0005-0000-0000-00005B010000}"/>
    <cellStyle name="Porcentagem 7" xfId="133" xr:uid="{00000000-0005-0000-0000-00005C010000}"/>
    <cellStyle name="Porcentagem 8" xfId="140" xr:uid="{00000000-0005-0000-0000-00005D010000}"/>
    <cellStyle name="Porcentagem 9" xfId="167" xr:uid="{00000000-0005-0000-0000-00005E010000}"/>
    <cellStyle name="PSDec" xfId="111" xr:uid="{00000000-0005-0000-0000-00005F010000}"/>
    <cellStyle name="Saída 2" xfId="112" xr:uid="{00000000-0005-0000-0000-000060010000}"/>
    <cellStyle name="Sep. milhar [0]" xfId="113" xr:uid="{00000000-0005-0000-0000-000061010000}"/>
    <cellStyle name="Separador de milhares 2" xfId="9" xr:uid="{00000000-0005-0000-0000-000062010000}"/>
    <cellStyle name="Separador de milhares 2 2" xfId="20" xr:uid="{00000000-0005-0000-0000-000063010000}"/>
    <cellStyle name="Separador de milhares 2 2 2" xfId="387" xr:uid="{00000000-0005-0000-0000-000064010000}"/>
    <cellStyle name="Separador de milhares 2 2 2 2" xfId="601" xr:uid="{00000000-0005-0000-0000-000065010000}"/>
    <cellStyle name="Separador de milhares 2 2 2 2 2" xfId="895" xr:uid="{00000000-0005-0000-0000-000066010000}"/>
    <cellStyle name="Separador de milhares 2 2 2 2 2 2" xfId="1484" xr:uid="{00000000-0005-0000-0000-000067010000}"/>
    <cellStyle name="Separador de milhares 2 2 2 2 3" xfId="1194" xr:uid="{00000000-0005-0000-0000-000068010000}"/>
    <cellStyle name="Separador de milhares 2 2 2 3" xfId="622" xr:uid="{00000000-0005-0000-0000-000069010000}"/>
    <cellStyle name="Separador de milhares 2 2 2 3 2" xfId="915" xr:uid="{00000000-0005-0000-0000-00006A010000}"/>
    <cellStyle name="Separador de milhares 2 2 2 3 2 2" xfId="1504" xr:uid="{00000000-0005-0000-0000-00006B010000}"/>
    <cellStyle name="Separador de milhares 2 2 2 3 3" xfId="1214" xr:uid="{00000000-0005-0000-0000-00006C010000}"/>
    <cellStyle name="Separador de milhares 2 2 2 4" xfId="756" xr:uid="{00000000-0005-0000-0000-00006D010000}"/>
    <cellStyle name="Separador de milhares 2 2 2 4 2" xfId="1345" xr:uid="{00000000-0005-0000-0000-00006E010000}"/>
    <cellStyle name="Separador de milhares 2 2 2 5" xfId="1055" xr:uid="{00000000-0005-0000-0000-00006F010000}"/>
    <cellStyle name="Separador de milhares 2 2 3" xfId="621" xr:uid="{00000000-0005-0000-0000-000070010000}"/>
    <cellStyle name="Separador de milhares 2 2 3 2" xfId="914" xr:uid="{00000000-0005-0000-0000-000071010000}"/>
    <cellStyle name="Separador de milhares 2 2 3 2 2" xfId="1503" xr:uid="{00000000-0005-0000-0000-000072010000}"/>
    <cellStyle name="Separador de milhares 2 2 3 3" xfId="1213" xr:uid="{00000000-0005-0000-0000-000073010000}"/>
    <cellStyle name="Separador de milhares 2 3" xfId="13" xr:uid="{00000000-0005-0000-0000-000074010000}"/>
    <cellStyle name="Separador de milhares 2 3 2" xfId="412" xr:uid="{00000000-0005-0000-0000-000075010000}"/>
    <cellStyle name="Separador de milhares 2 3 2 2" xfId="773" xr:uid="{00000000-0005-0000-0000-000076010000}"/>
    <cellStyle name="Separador de milhares 2 3 2 2 2" xfId="1362" xr:uid="{00000000-0005-0000-0000-000077010000}"/>
    <cellStyle name="Separador de milhares 2 3 2 3" xfId="1072" xr:uid="{00000000-0005-0000-0000-000078010000}"/>
    <cellStyle name="Separador de milhares 2 3 3" xfId="623" xr:uid="{00000000-0005-0000-0000-000079010000}"/>
    <cellStyle name="Separador de milhares 2 3 3 2" xfId="916" xr:uid="{00000000-0005-0000-0000-00007A010000}"/>
    <cellStyle name="Separador de milhares 2 3 3 2 2" xfId="1505" xr:uid="{00000000-0005-0000-0000-00007B010000}"/>
    <cellStyle name="Separador de milhares 2 3 3 3" xfId="1215" xr:uid="{00000000-0005-0000-0000-00007C010000}"/>
    <cellStyle name="Separador de milhares 2 4" xfId="386" xr:uid="{00000000-0005-0000-0000-00007D010000}"/>
    <cellStyle name="Separador de milhares 2 4 2" xfId="600" xr:uid="{00000000-0005-0000-0000-00007E010000}"/>
    <cellStyle name="Separador de milhares 2 4 2 2" xfId="894" xr:uid="{00000000-0005-0000-0000-00007F010000}"/>
    <cellStyle name="Separador de milhares 2 4 2 2 2" xfId="1483" xr:uid="{00000000-0005-0000-0000-000080010000}"/>
    <cellStyle name="Separador de milhares 2 4 2 3" xfId="1193" xr:uid="{00000000-0005-0000-0000-000081010000}"/>
    <cellStyle name="Separador de milhares 2 4 3" xfId="755" xr:uid="{00000000-0005-0000-0000-000082010000}"/>
    <cellStyle name="Separador de milhares 2 4 3 2" xfId="1344" xr:uid="{00000000-0005-0000-0000-000083010000}"/>
    <cellStyle name="Separador de milhares 2 4 4" xfId="1054" xr:uid="{00000000-0005-0000-0000-000084010000}"/>
    <cellStyle name="Separador de milhares 2 5" xfId="411" xr:uid="{00000000-0005-0000-0000-000085010000}"/>
    <cellStyle name="Separador de milhares 2 5 2" xfId="772" xr:uid="{00000000-0005-0000-0000-000086010000}"/>
    <cellStyle name="Separador de milhares 2 5 2 2" xfId="1361" xr:uid="{00000000-0005-0000-0000-000087010000}"/>
    <cellStyle name="Separador de milhares 2 5 3" xfId="1071" xr:uid="{00000000-0005-0000-0000-000088010000}"/>
    <cellStyle name="Separador de milhares 2 6" xfId="620" xr:uid="{00000000-0005-0000-0000-000089010000}"/>
    <cellStyle name="Separador de milhares 2 6 2" xfId="913" xr:uid="{00000000-0005-0000-0000-00008A010000}"/>
    <cellStyle name="Separador de milhares 2 6 2 2" xfId="1502" xr:uid="{00000000-0005-0000-0000-00008B010000}"/>
    <cellStyle name="Separador de milhares 2 6 3" xfId="1212" xr:uid="{00000000-0005-0000-0000-00008C010000}"/>
    <cellStyle name="Separador de milhares 3" xfId="137" xr:uid="{00000000-0005-0000-0000-00008D010000}"/>
    <cellStyle name="Separador de milhares 3 2" xfId="441" xr:uid="{00000000-0005-0000-0000-00008E010000}"/>
    <cellStyle name="Separador de milhares 3 2 2" xfId="777" xr:uid="{00000000-0005-0000-0000-00008F010000}"/>
    <cellStyle name="Separador de milhares 3 2 2 2" xfId="1366" xr:uid="{00000000-0005-0000-0000-000090010000}"/>
    <cellStyle name="Separador de milhares 3 2 3" xfId="1076" xr:uid="{00000000-0005-0000-0000-000091010000}"/>
    <cellStyle name="Standard_RP100_01 (metr.)" xfId="114" xr:uid="{00000000-0005-0000-0000-000092010000}"/>
    <cellStyle name="Texto de Aviso 2" xfId="115" xr:uid="{00000000-0005-0000-0000-000093010000}"/>
    <cellStyle name="Texto Explicativo 2" xfId="116" xr:uid="{00000000-0005-0000-0000-000094010000}"/>
    <cellStyle name="Título 1 2" xfId="117" xr:uid="{00000000-0005-0000-0000-000095010000}"/>
    <cellStyle name="Título 2 2" xfId="118" xr:uid="{00000000-0005-0000-0000-000096010000}"/>
    <cellStyle name="Título 3 2" xfId="119" xr:uid="{00000000-0005-0000-0000-000097010000}"/>
    <cellStyle name="Título 4 2" xfId="120" xr:uid="{00000000-0005-0000-0000-000098010000}"/>
    <cellStyle name="Título 5" xfId="121" xr:uid="{00000000-0005-0000-0000-000099010000}"/>
    <cellStyle name="Total 2" xfId="122" xr:uid="{00000000-0005-0000-0000-00009A010000}"/>
    <cellStyle name="Vírgula 10" xfId="237" xr:uid="{00000000-0005-0000-0000-00009C010000}"/>
    <cellStyle name="Vírgula 10 2" xfId="477" xr:uid="{00000000-0005-0000-0000-00009D010000}"/>
    <cellStyle name="Vírgula 10 2 2" xfId="793" xr:uid="{00000000-0005-0000-0000-00009E010000}"/>
    <cellStyle name="Vírgula 10 2 2 2" xfId="1382" xr:uid="{00000000-0005-0000-0000-00009F010000}"/>
    <cellStyle name="Vírgula 10 2 3" xfId="1092" xr:uid="{00000000-0005-0000-0000-0000A0010000}"/>
    <cellStyle name="Vírgula 11" xfId="242" xr:uid="{00000000-0005-0000-0000-0000A1010000}"/>
    <cellStyle name="Vírgula 11 2" xfId="481" xr:uid="{00000000-0005-0000-0000-0000A2010000}"/>
    <cellStyle name="Vírgula 11 2 2" xfId="794" xr:uid="{00000000-0005-0000-0000-0000A3010000}"/>
    <cellStyle name="Vírgula 11 2 2 2" xfId="1383" xr:uid="{00000000-0005-0000-0000-0000A4010000}"/>
    <cellStyle name="Vírgula 11 2 3" xfId="1093" xr:uid="{00000000-0005-0000-0000-0000A5010000}"/>
    <cellStyle name="Vírgula 11 3" xfId="655" xr:uid="{00000000-0005-0000-0000-0000A6010000}"/>
    <cellStyle name="Vírgula 11 3 2" xfId="1244" xr:uid="{00000000-0005-0000-0000-0000A7010000}"/>
    <cellStyle name="Vírgula 11 4" xfId="953" xr:uid="{00000000-0005-0000-0000-0000A8010000}"/>
    <cellStyle name="Vírgula 12" xfId="269" xr:uid="{00000000-0005-0000-0000-0000A9010000}"/>
    <cellStyle name="Vírgula 12 2" xfId="499" xr:uid="{00000000-0005-0000-0000-0000AA010000}"/>
    <cellStyle name="Vírgula 12 2 2" xfId="811" xr:uid="{00000000-0005-0000-0000-0000AB010000}"/>
    <cellStyle name="Vírgula 12 2 2 2" xfId="1400" xr:uid="{00000000-0005-0000-0000-0000AC010000}"/>
    <cellStyle name="Vírgula 12 2 3" xfId="1110" xr:uid="{00000000-0005-0000-0000-0000AD010000}"/>
    <cellStyle name="Vírgula 12 3" xfId="672" xr:uid="{00000000-0005-0000-0000-0000AE010000}"/>
    <cellStyle name="Vírgula 12 3 2" xfId="1261" xr:uid="{00000000-0005-0000-0000-0000AF010000}"/>
    <cellStyle name="Vírgula 12 4" xfId="970" xr:uid="{00000000-0005-0000-0000-0000B0010000}"/>
    <cellStyle name="Vírgula 13" xfId="276" xr:uid="{00000000-0005-0000-0000-0000B1010000}"/>
    <cellStyle name="Vírgula 13 2" xfId="506" xr:uid="{00000000-0005-0000-0000-0000B2010000}"/>
    <cellStyle name="Vírgula 13 2 2" xfId="815" xr:uid="{00000000-0005-0000-0000-0000B3010000}"/>
    <cellStyle name="Vírgula 13 2 2 2" xfId="1404" xr:uid="{00000000-0005-0000-0000-0000B4010000}"/>
    <cellStyle name="Vírgula 13 2 3" xfId="1114" xr:uid="{00000000-0005-0000-0000-0000B5010000}"/>
    <cellStyle name="Vírgula 13 3" xfId="676" xr:uid="{00000000-0005-0000-0000-0000B6010000}"/>
    <cellStyle name="Vírgula 13 3 2" xfId="1265" xr:uid="{00000000-0005-0000-0000-0000B7010000}"/>
    <cellStyle name="Vírgula 13 4" xfId="974" xr:uid="{00000000-0005-0000-0000-0000B8010000}"/>
    <cellStyle name="Vírgula 14" xfId="289" xr:uid="{00000000-0005-0000-0000-0000B9010000}"/>
    <cellStyle name="Vírgula 14 2" xfId="516" xr:uid="{00000000-0005-0000-0000-0000BA010000}"/>
    <cellStyle name="Vírgula 14 2 2" xfId="823" xr:uid="{00000000-0005-0000-0000-0000BB010000}"/>
    <cellStyle name="Vírgula 14 2 2 2" xfId="1412" xr:uid="{00000000-0005-0000-0000-0000BC010000}"/>
    <cellStyle name="Vírgula 14 2 3" xfId="1122" xr:uid="{00000000-0005-0000-0000-0000BD010000}"/>
    <cellStyle name="Vírgula 14 3" xfId="684" xr:uid="{00000000-0005-0000-0000-0000BE010000}"/>
    <cellStyle name="Vírgula 14 3 2" xfId="1273" xr:uid="{00000000-0005-0000-0000-0000BF010000}"/>
    <cellStyle name="Vírgula 14 4" xfId="983" xr:uid="{00000000-0005-0000-0000-0000C0010000}"/>
    <cellStyle name="Vírgula 15" xfId="378" xr:uid="{00000000-0005-0000-0000-0000C1010000}"/>
    <cellStyle name="Vírgula 15 2" xfId="597" xr:uid="{00000000-0005-0000-0000-0000C2010000}"/>
    <cellStyle name="Vírgula 15 2 2" xfId="892" xr:uid="{00000000-0005-0000-0000-0000C3010000}"/>
    <cellStyle name="Vírgula 15 2 2 2" xfId="1481" xr:uid="{00000000-0005-0000-0000-0000C4010000}"/>
    <cellStyle name="Vírgula 15 2 3" xfId="1191" xr:uid="{00000000-0005-0000-0000-0000C5010000}"/>
    <cellStyle name="Vírgula 15 3" xfId="753" xr:uid="{00000000-0005-0000-0000-0000C6010000}"/>
    <cellStyle name="Vírgula 15 3 2" xfId="1342" xr:uid="{00000000-0005-0000-0000-0000C7010000}"/>
    <cellStyle name="Vírgula 15 4" xfId="1052" xr:uid="{00000000-0005-0000-0000-0000C8010000}"/>
    <cellStyle name="Vírgula 16" xfId="1540" xr:uid="{7495B7AB-5F8A-430C-BD16-0490E86082ED}"/>
    <cellStyle name="Vírgula 17" xfId="1544" xr:uid="{6F7EF763-77F8-46DA-A289-459D17785A0E}"/>
    <cellStyle name="Vírgula 2" xfId="14" xr:uid="{00000000-0005-0000-0000-0000C9010000}"/>
    <cellStyle name="Vírgula 2 10" xfId="233" xr:uid="{00000000-0005-0000-0000-0000CA010000}"/>
    <cellStyle name="Vírgula 2 10 2" xfId="473" xr:uid="{00000000-0005-0000-0000-0000CB010000}"/>
    <cellStyle name="Vírgula 2 10 2 2" xfId="791" xr:uid="{00000000-0005-0000-0000-0000CC010000}"/>
    <cellStyle name="Vírgula 2 10 2 2 2" xfId="1380" xr:uid="{00000000-0005-0000-0000-0000CD010000}"/>
    <cellStyle name="Vírgula 2 10 2 2 3" xfId="407" xr:uid="{00000000-0005-0000-0000-0000CE010000}"/>
    <cellStyle name="Vírgula 2 10 2 2 3 2" xfId="408" xr:uid="{00000000-0005-0000-0000-0000CF010000}"/>
    <cellStyle name="Vírgula 2 10 2 2 3 2 2" xfId="409" xr:uid="{00000000-0005-0000-0000-0000D0010000}"/>
    <cellStyle name="Vírgula 2 10 2 2 3 2 2 2" xfId="617" xr:uid="{00000000-0005-0000-0000-0000D1010000}"/>
    <cellStyle name="Vírgula 2 10 2 2 3 2 2 2 2" xfId="911" xr:uid="{00000000-0005-0000-0000-0000D2010000}"/>
    <cellStyle name="Vírgula 2 10 2 2 3 2 2 2 2 2" xfId="1500" xr:uid="{00000000-0005-0000-0000-0000D3010000}"/>
    <cellStyle name="Vírgula 2 10 2 2 3 2 2 2 3" xfId="1210" xr:uid="{00000000-0005-0000-0000-0000D4010000}"/>
    <cellStyle name="Vírgula 2 10 2 2 3 2 2 3" xfId="771" xr:uid="{00000000-0005-0000-0000-0000D5010000}"/>
    <cellStyle name="Vírgula 2 10 2 2 3 2 2 3 2" xfId="1360" xr:uid="{00000000-0005-0000-0000-0000D6010000}"/>
    <cellStyle name="Vírgula 2 10 2 2 3 2 2 4" xfId="1070" xr:uid="{00000000-0005-0000-0000-0000D7010000}"/>
    <cellStyle name="Vírgula 2 10 2 2 3 2 3" xfId="1541" xr:uid="{2708D109-CBEC-41E5-9BFD-01FA0FA7F353}"/>
    <cellStyle name="Vírgula 2 10 2 2 3 2 4" xfId="1545" xr:uid="{1A6BA160-0F60-4A63-8405-BAFD296DF675}"/>
    <cellStyle name="Vírgula 2 10 2 2 3 3" xfId="616" xr:uid="{00000000-0005-0000-0000-0000D8010000}"/>
    <cellStyle name="Vírgula 2 10 2 2 3 3 2" xfId="910" xr:uid="{00000000-0005-0000-0000-0000D9010000}"/>
    <cellStyle name="Vírgula 2 10 2 2 3 3 2 2" xfId="1499" xr:uid="{00000000-0005-0000-0000-0000DA010000}"/>
    <cellStyle name="Vírgula 2 10 2 2 3 3 3" xfId="1209" xr:uid="{00000000-0005-0000-0000-0000DB010000}"/>
    <cellStyle name="Vírgula 2 10 2 3" xfId="253" xr:uid="{00000000-0005-0000-0000-0000DC010000}"/>
    <cellStyle name="Vírgula 2 10 2 3 2" xfId="485" xr:uid="{00000000-0005-0000-0000-0000DD010000}"/>
    <cellStyle name="Vírgula 2 10 2 3 2 2" xfId="798" xr:uid="{00000000-0005-0000-0000-0000DE010000}"/>
    <cellStyle name="Vírgula 2 10 2 3 2 2 2" xfId="1387" xr:uid="{00000000-0005-0000-0000-0000DF010000}"/>
    <cellStyle name="Vírgula 2 10 2 3 2 3" xfId="1097" xr:uid="{00000000-0005-0000-0000-0000E0010000}"/>
    <cellStyle name="Vírgula 2 10 2 3 3" xfId="659" xr:uid="{00000000-0005-0000-0000-0000E1010000}"/>
    <cellStyle name="Vírgula 2 10 2 3 3 2" xfId="1248" xr:uid="{00000000-0005-0000-0000-0000E2010000}"/>
    <cellStyle name="Vírgula 2 10 2 3 4" xfId="957" xr:uid="{00000000-0005-0000-0000-0000E3010000}"/>
    <cellStyle name="Vírgula 2 10 2 4" xfId="1090" xr:uid="{00000000-0005-0000-0000-0000E4010000}"/>
    <cellStyle name="Vírgula 2 11" xfId="249" xr:uid="{00000000-0005-0000-0000-0000E5010000}"/>
    <cellStyle name="Vírgula 2 11 2" xfId="482" xr:uid="{00000000-0005-0000-0000-0000E6010000}"/>
    <cellStyle name="Vírgula 2 11 2 2" xfId="795" xr:uid="{00000000-0005-0000-0000-0000E7010000}"/>
    <cellStyle name="Vírgula 2 11 2 2 2" xfId="1384" xr:uid="{00000000-0005-0000-0000-0000E8010000}"/>
    <cellStyle name="Vírgula 2 11 2 3" xfId="1094" xr:uid="{00000000-0005-0000-0000-0000E9010000}"/>
    <cellStyle name="Vírgula 2 11 3" xfId="656" xr:uid="{00000000-0005-0000-0000-0000EA010000}"/>
    <cellStyle name="Vírgula 2 11 3 2" xfId="1245" xr:uid="{00000000-0005-0000-0000-0000EB010000}"/>
    <cellStyle name="Vírgula 2 11 4" xfId="954" xr:uid="{00000000-0005-0000-0000-0000EC010000}"/>
    <cellStyle name="Vírgula 2 12" xfId="251" xr:uid="{00000000-0005-0000-0000-0000ED010000}"/>
    <cellStyle name="Vírgula 2 12 2" xfId="484" xr:uid="{00000000-0005-0000-0000-0000EE010000}"/>
    <cellStyle name="Vírgula 2 12 2 2" xfId="797" xr:uid="{00000000-0005-0000-0000-0000EF010000}"/>
    <cellStyle name="Vírgula 2 12 2 2 2" xfId="1386" xr:uid="{00000000-0005-0000-0000-0000F0010000}"/>
    <cellStyle name="Vírgula 2 12 2 3" xfId="1096" xr:uid="{00000000-0005-0000-0000-0000F1010000}"/>
    <cellStyle name="Vírgula 2 12 3" xfId="658" xr:uid="{00000000-0005-0000-0000-0000F2010000}"/>
    <cellStyle name="Vírgula 2 12 3 2" xfId="1247" xr:uid="{00000000-0005-0000-0000-0000F3010000}"/>
    <cellStyle name="Vírgula 2 12 4" xfId="956" xr:uid="{00000000-0005-0000-0000-0000F4010000}"/>
    <cellStyle name="Vírgula 2 13" xfId="256" xr:uid="{00000000-0005-0000-0000-0000F5010000}"/>
    <cellStyle name="Vírgula 2 13 2" xfId="486" xr:uid="{00000000-0005-0000-0000-0000F6010000}"/>
    <cellStyle name="Vírgula 2 13 2 2" xfId="799" xr:uid="{00000000-0005-0000-0000-0000F7010000}"/>
    <cellStyle name="Vírgula 2 13 2 2 2" xfId="1388" xr:uid="{00000000-0005-0000-0000-0000F8010000}"/>
    <cellStyle name="Vírgula 2 13 2 3" xfId="1098" xr:uid="{00000000-0005-0000-0000-0000F9010000}"/>
    <cellStyle name="Vírgula 2 13 3" xfId="660" xr:uid="{00000000-0005-0000-0000-0000FA010000}"/>
    <cellStyle name="Vírgula 2 13 3 2" xfId="1249" xr:uid="{00000000-0005-0000-0000-0000FB010000}"/>
    <cellStyle name="Vírgula 2 13 4" xfId="958" xr:uid="{00000000-0005-0000-0000-0000FC010000}"/>
    <cellStyle name="Vírgula 2 14" xfId="259" xr:uid="{00000000-0005-0000-0000-0000FD010000}"/>
    <cellStyle name="Vírgula 2 14 2" xfId="489" xr:uid="{00000000-0005-0000-0000-0000FE010000}"/>
    <cellStyle name="Vírgula 2 14 2 2" xfId="802" xr:uid="{00000000-0005-0000-0000-0000FF010000}"/>
    <cellStyle name="Vírgula 2 14 2 2 2" xfId="1391" xr:uid="{00000000-0005-0000-0000-000000020000}"/>
    <cellStyle name="Vírgula 2 14 2 3" xfId="1101" xr:uid="{00000000-0005-0000-0000-000001020000}"/>
    <cellStyle name="Vírgula 2 14 3" xfId="663" xr:uid="{00000000-0005-0000-0000-000002020000}"/>
    <cellStyle name="Vírgula 2 14 3 2" xfId="1252" xr:uid="{00000000-0005-0000-0000-000003020000}"/>
    <cellStyle name="Vírgula 2 14 4" xfId="961" xr:uid="{00000000-0005-0000-0000-000004020000}"/>
    <cellStyle name="Vírgula 2 15" xfId="262" xr:uid="{00000000-0005-0000-0000-000005020000}"/>
    <cellStyle name="Vírgula 2 15 2" xfId="492" xr:uid="{00000000-0005-0000-0000-000006020000}"/>
    <cellStyle name="Vírgula 2 15 2 2" xfId="805" xr:uid="{00000000-0005-0000-0000-000007020000}"/>
    <cellStyle name="Vírgula 2 15 2 2 2" xfId="1394" xr:uid="{00000000-0005-0000-0000-000008020000}"/>
    <cellStyle name="Vírgula 2 15 2 3" xfId="1104" xr:uid="{00000000-0005-0000-0000-000009020000}"/>
    <cellStyle name="Vírgula 2 15 3" xfId="666" xr:uid="{00000000-0005-0000-0000-00000A020000}"/>
    <cellStyle name="Vírgula 2 15 3 2" xfId="1255" xr:uid="{00000000-0005-0000-0000-00000B020000}"/>
    <cellStyle name="Vírgula 2 15 4" xfId="964" xr:uid="{00000000-0005-0000-0000-00000C020000}"/>
    <cellStyle name="Vírgula 2 16" xfId="265" xr:uid="{00000000-0005-0000-0000-00000D020000}"/>
    <cellStyle name="Vírgula 2 16 2" xfId="495" xr:uid="{00000000-0005-0000-0000-00000E020000}"/>
    <cellStyle name="Vírgula 2 16 2 2" xfId="808" xr:uid="{00000000-0005-0000-0000-00000F020000}"/>
    <cellStyle name="Vírgula 2 16 2 2 2" xfId="1397" xr:uid="{00000000-0005-0000-0000-000010020000}"/>
    <cellStyle name="Vírgula 2 16 2 3" xfId="1107" xr:uid="{00000000-0005-0000-0000-000011020000}"/>
    <cellStyle name="Vírgula 2 16 3" xfId="669" xr:uid="{00000000-0005-0000-0000-000012020000}"/>
    <cellStyle name="Vírgula 2 16 3 2" xfId="1258" xr:uid="{00000000-0005-0000-0000-000013020000}"/>
    <cellStyle name="Vírgula 2 16 4" xfId="967" xr:uid="{00000000-0005-0000-0000-000014020000}"/>
    <cellStyle name="Vírgula 2 17" xfId="271" xr:uid="{00000000-0005-0000-0000-000015020000}"/>
    <cellStyle name="Vírgula 2 17 2" xfId="501" xr:uid="{00000000-0005-0000-0000-000016020000}"/>
    <cellStyle name="Vírgula 2 17 2 2" xfId="812" xr:uid="{00000000-0005-0000-0000-000017020000}"/>
    <cellStyle name="Vírgula 2 17 2 2 2" xfId="1401" xr:uid="{00000000-0005-0000-0000-000018020000}"/>
    <cellStyle name="Vírgula 2 17 2 3" xfId="1111" xr:uid="{00000000-0005-0000-0000-000019020000}"/>
    <cellStyle name="Vírgula 2 17 3" xfId="673" xr:uid="{00000000-0005-0000-0000-00001A020000}"/>
    <cellStyle name="Vírgula 2 17 3 2" xfId="1262" xr:uid="{00000000-0005-0000-0000-00001B020000}"/>
    <cellStyle name="Vírgula 2 17 4" xfId="971" xr:uid="{00000000-0005-0000-0000-00001C020000}"/>
    <cellStyle name="Vírgula 2 18" xfId="278" xr:uid="{00000000-0005-0000-0000-00001D020000}"/>
    <cellStyle name="Vírgula 2 18 2" xfId="507" xr:uid="{00000000-0005-0000-0000-00001E020000}"/>
    <cellStyle name="Vírgula 2 18 2 2" xfId="816" xr:uid="{00000000-0005-0000-0000-00001F020000}"/>
    <cellStyle name="Vírgula 2 18 2 2 2" xfId="1405" xr:uid="{00000000-0005-0000-0000-000020020000}"/>
    <cellStyle name="Vírgula 2 18 2 3" xfId="1115" xr:uid="{00000000-0005-0000-0000-000021020000}"/>
    <cellStyle name="Vírgula 2 18 3" xfId="677" xr:uid="{00000000-0005-0000-0000-000022020000}"/>
    <cellStyle name="Vírgula 2 18 3 2" xfId="1266" xr:uid="{00000000-0005-0000-0000-000023020000}"/>
    <cellStyle name="Vírgula 2 18 4" xfId="976" xr:uid="{00000000-0005-0000-0000-000024020000}"/>
    <cellStyle name="Vírgula 2 19" xfId="250" xr:uid="{00000000-0005-0000-0000-000025020000}"/>
    <cellStyle name="Vírgula 2 19 2" xfId="483" xr:uid="{00000000-0005-0000-0000-000026020000}"/>
    <cellStyle name="Vírgula 2 19 2 2" xfId="796" xr:uid="{00000000-0005-0000-0000-000027020000}"/>
    <cellStyle name="Vírgula 2 19 2 2 2" xfId="1385" xr:uid="{00000000-0005-0000-0000-000028020000}"/>
    <cellStyle name="Vírgula 2 19 2 3" xfId="1095" xr:uid="{00000000-0005-0000-0000-000029020000}"/>
    <cellStyle name="Vírgula 2 19 3" xfId="657" xr:uid="{00000000-0005-0000-0000-00002A020000}"/>
    <cellStyle name="Vírgula 2 19 3 2" xfId="1246" xr:uid="{00000000-0005-0000-0000-00002B020000}"/>
    <cellStyle name="Vírgula 2 19 4" xfId="955" xr:uid="{00000000-0005-0000-0000-00002C020000}"/>
    <cellStyle name="Vírgula 2 2" xfId="15" xr:uid="{00000000-0005-0000-0000-00002D020000}"/>
    <cellStyle name="Vírgula 2 2 10" xfId="302" xr:uid="{00000000-0005-0000-0000-00002E020000}"/>
    <cellStyle name="Vírgula 2 2 10 2" xfId="526" xr:uid="{00000000-0005-0000-0000-00002F020000}"/>
    <cellStyle name="Vírgula 2 2 10 2 2" xfId="830" xr:uid="{00000000-0005-0000-0000-000030020000}"/>
    <cellStyle name="Vírgula 2 2 10 2 2 2" xfId="1419" xr:uid="{00000000-0005-0000-0000-000031020000}"/>
    <cellStyle name="Vírgula 2 2 10 2 3" xfId="1129" xr:uid="{00000000-0005-0000-0000-000032020000}"/>
    <cellStyle name="Vírgula 2 2 10 3" xfId="691" xr:uid="{00000000-0005-0000-0000-000033020000}"/>
    <cellStyle name="Vírgula 2 2 10 3 2" xfId="1280" xr:uid="{00000000-0005-0000-0000-000034020000}"/>
    <cellStyle name="Vírgula 2 2 10 4" xfId="990" xr:uid="{00000000-0005-0000-0000-000035020000}"/>
    <cellStyle name="Vírgula 2 2 11" xfId="308" xr:uid="{00000000-0005-0000-0000-000036020000}"/>
    <cellStyle name="Vírgula 2 2 11 2" xfId="532" xr:uid="{00000000-0005-0000-0000-000037020000}"/>
    <cellStyle name="Vírgula 2 2 11 2 2" xfId="836" xr:uid="{00000000-0005-0000-0000-000038020000}"/>
    <cellStyle name="Vírgula 2 2 11 2 2 2" xfId="1425" xr:uid="{00000000-0005-0000-0000-000039020000}"/>
    <cellStyle name="Vírgula 2 2 11 2 3" xfId="1135" xr:uid="{00000000-0005-0000-0000-00003A020000}"/>
    <cellStyle name="Vírgula 2 2 11 3" xfId="697" xr:uid="{00000000-0005-0000-0000-00003B020000}"/>
    <cellStyle name="Vírgula 2 2 11 3 2" xfId="1286" xr:uid="{00000000-0005-0000-0000-00003C020000}"/>
    <cellStyle name="Vírgula 2 2 11 4" xfId="996" xr:uid="{00000000-0005-0000-0000-00003D020000}"/>
    <cellStyle name="Vírgula 2 2 12" xfId="314" xr:uid="{00000000-0005-0000-0000-00003E020000}"/>
    <cellStyle name="Vírgula 2 2 12 2" xfId="538" xr:uid="{00000000-0005-0000-0000-00003F020000}"/>
    <cellStyle name="Vírgula 2 2 12 2 2" xfId="842" xr:uid="{00000000-0005-0000-0000-000040020000}"/>
    <cellStyle name="Vírgula 2 2 12 2 2 2" xfId="1431" xr:uid="{00000000-0005-0000-0000-000041020000}"/>
    <cellStyle name="Vírgula 2 2 12 2 3" xfId="1141" xr:uid="{00000000-0005-0000-0000-000042020000}"/>
    <cellStyle name="Vírgula 2 2 12 3" xfId="703" xr:uid="{00000000-0005-0000-0000-000043020000}"/>
    <cellStyle name="Vírgula 2 2 12 3 2" xfId="1292" xr:uid="{00000000-0005-0000-0000-000044020000}"/>
    <cellStyle name="Vírgula 2 2 12 4" xfId="1002" xr:uid="{00000000-0005-0000-0000-000045020000}"/>
    <cellStyle name="Vírgula 2 2 13" xfId="320" xr:uid="{00000000-0005-0000-0000-000046020000}"/>
    <cellStyle name="Vírgula 2 2 13 2" xfId="544" xr:uid="{00000000-0005-0000-0000-000047020000}"/>
    <cellStyle name="Vírgula 2 2 13 2 2" xfId="848" xr:uid="{00000000-0005-0000-0000-000048020000}"/>
    <cellStyle name="Vírgula 2 2 13 2 2 2" xfId="1437" xr:uid="{00000000-0005-0000-0000-000049020000}"/>
    <cellStyle name="Vírgula 2 2 13 2 3" xfId="1147" xr:uid="{00000000-0005-0000-0000-00004A020000}"/>
    <cellStyle name="Vírgula 2 2 13 3" xfId="709" xr:uid="{00000000-0005-0000-0000-00004B020000}"/>
    <cellStyle name="Vírgula 2 2 13 3 2" xfId="1298" xr:uid="{00000000-0005-0000-0000-00004C020000}"/>
    <cellStyle name="Vírgula 2 2 13 4" xfId="1008" xr:uid="{00000000-0005-0000-0000-00004D020000}"/>
    <cellStyle name="Vírgula 2 2 14" xfId="326" xr:uid="{00000000-0005-0000-0000-00004E020000}"/>
    <cellStyle name="Vírgula 2 2 14 2" xfId="550" xr:uid="{00000000-0005-0000-0000-00004F020000}"/>
    <cellStyle name="Vírgula 2 2 14 2 2" xfId="854" xr:uid="{00000000-0005-0000-0000-000050020000}"/>
    <cellStyle name="Vírgula 2 2 14 2 2 2" xfId="1443" xr:uid="{00000000-0005-0000-0000-000051020000}"/>
    <cellStyle name="Vírgula 2 2 14 2 3" xfId="1153" xr:uid="{00000000-0005-0000-0000-000052020000}"/>
    <cellStyle name="Vírgula 2 2 14 3" xfId="715" xr:uid="{00000000-0005-0000-0000-000053020000}"/>
    <cellStyle name="Vírgula 2 2 14 3 2" xfId="1304" xr:uid="{00000000-0005-0000-0000-000054020000}"/>
    <cellStyle name="Vírgula 2 2 14 4" xfId="1014" xr:uid="{00000000-0005-0000-0000-000055020000}"/>
    <cellStyle name="Vírgula 2 2 15" xfId="332" xr:uid="{00000000-0005-0000-0000-000056020000}"/>
    <cellStyle name="Vírgula 2 2 15 2" xfId="556" xr:uid="{00000000-0005-0000-0000-000057020000}"/>
    <cellStyle name="Vírgula 2 2 15 2 2" xfId="860" xr:uid="{00000000-0005-0000-0000-000058020000}"/>
    <cellStyle name="Vírgula 2 2 15 2 2 2" xfId="1449" xr:uid="{00000000-0005-0000-0000-000059020000}"/>
    <cellStyle name="Vírgula 2 2 15 2 3" xfId="1159" xr:uid="{00000000-0005-0000-0000-00005A020000}"/>
    <cellStyle name="Vírgula 2 2 15 3" xfId="721" xr:uid="{00000000-0005-0000-0000-00005B020000}"/>
    <cellStyle name="Vírgula 2 2 15 3 2" xfId="1310" xr:uid="{00000000-0005-0000-0000-00005C020000}"/>
    <cellStyle name="Vírgula 2 2 15 4" xfId="1020" xr:uid="{00000000-0005-0000-0000-00005D020000}"/>
    <cellStyle name="Vírgula 2 2 16" xfId="350" xr:uid="{00000000-0005-0000-0000-00005E020000}"/>
    <cellStyle name="Vírgula 2 2 16 2" xfId="574" xr:uid="{00000000-0005-0000-0000-00005F020000}"/>
    <cellStyle name="Vírgula 2 2 16 2 2" xfId="871" xr:uid="{00000000-0005-0000-0000-000060020000}"/>
    <cellStyle name="Vírgula 2 2 16 2 2 2" xfId="1460" xr:uid="{00000000-0005-0000-0000-000061020000}"/>
    <cellStyle name="Vírgula 2 2 16 2 3" xfId="1170" xr:uid="{00000000-0005-0000-0000-000062020000}"/>
    <cellStyle name="Vírgula 2 2 16 3" xfId="732" xr:uid="{00000000-0005-0000-0000-000063020000}"/>
    <cellStyle name="Vírgula 2 2 16 3 2" xfId="1321" xr:uid="{00000000-0005-0000-0000-000064020000}"/>
    <cellStyle name="Vírgula 2 2 16 4" xfId="1031" xr:uid="{00000000-0005-0000-0000-000065020000}"/>
    <cellStyle name="Vírgula 2 2 17" xfId="356" xr:uid="{00000000-0005-0000-0000-000066020000}"/>
    <cellStyle name="Vírgula 2 2 17 2" xfId="580" xr:uid="{00000000-0005-0000-0000-000067020000}"/>
    <cellStyle name="Vírgula 2 2 17 2 2" xfId="877" xr:uid="{00000000-0005-0000-0000-000068020000}"/>
    <cellStyle name="Vírgula 2 2 17 2 2 2" xfId="1466" xr:uid="{00000000-0005-0000-0000-000069020000}"/>
    <cellStyle name="Vírgula 2 2 17 2 3" xfId="1176" xr:uid="{00000000-0005-0000-0000-00006A020000}"/>
    <cellStyle name="Vírgula 2 2 17 3" xfId="738" xr:uid="{00000000-0005-0000-0000-00006B020000}"/>
    <cellStyle name="Vírgula 2 2 17 3 2" xfId="1327" xr:uid="{00000000-0005-0000-0000-00006C020000}"/>
    <cellStyle name="Vírgula 2 2 17 4" xfId="1037" xr:uid="{00000000-0005-0000-0000-00006D020000}"/>
    <cellStyle name="Vírgula 2 2 18" xfId="368" xr:uid="{00000000-0005-0000-0000-00006E020000}"/>
    <cellStyle name="Vírgula 2 2 18 2" xfId="587" xr:uid="{00000000-0005-0000-0000-00006F020000}"/>
    <cellStyle name="Vírgula 2 2 18 2 2" xfId="884" xr:uid="{00000000-0005-0000-0000-000070020000}"/>
    <cellStyle name="Vírgula 2 2 18 2 2 2" xfId="1473" xr:uid="{00000000-0005-0000-0000-000071020000}"/>
    <cellStyle name="Vírgula 2 2 18 2 3" xfId="1183" xr:uid="{00000000-0005-0000-0000-000072020000}"/>
    <cellStyle name="Vírgula 2 2 18 3" xfId="745" xr:uid="{00000000-0005-0000-0000-000073020000}"/>
    <cellStyle name="Vírgula 2 2 18 3 2" xfId="1334" xr:uid="{00000000-0005-0000-0000-000074020000}"/>
    <cellStyle name="Vírgula 2 2 18 4" xfId="1044" xr:uid="{00000000-0005-0000-0000-000075020000}"/>
    <cellStyle name="Vírgula 2 2 19" xfId="389" xr:uid="{00000000-0005-0000-0000-000076020000}"/>
    <cellStyle name="Vírgula 2 2 19 2" xfId="603" xr:uid="{00000000-0005-0000-0000-000077020000}"/>
    <cellStyle name="Vírgula 2 2 19 2 2" xfId="897" xr:uid="{00000000-0005-0000-0000-000078020000}"/>
    <cellStyle name="Vírgula 2 2 19 2 2 2" xfId="1486" xr:uid="{00000000-0005-0000-0000-000079020000}"/>
    <cellStyle name="Vírgula 2 2 19 2 3" xfId="1196" xr:uid="{00000000-0005-0000-0000-00007A020000}"/>
    <cellStyle name="Vírgula 2 2 19 3" xfId="758" xr:uid="{00000000-0005-0000-0000-00007B020000}"/>
    <cellStyle name="Vírgula 2 2 19 3 2" xfId="1347" xr:uid="{00000000-0005-0000-0000-00007C020000}"/>
    <cellStyle name="Vírgula 2 2 19 4" xfId="1057" xr:uid="{00000000-0005-0000-0000-00007D020000}"/>
    <cellStyle name="Vírgula 2 2 2" xfId="219" xr:uid="{00000000-0005-0000-0000-00007E020000}"/>
    <cellStyle name="Vírgula 2 2 2 10" xfId="369" xr:uid="{00000000-0005-0000-0000-00007F020000}"/>
    <cellStyle name="Vírgula 2 2 2 10 2" xfId="588" xr:uid="{00000000-0005-0000-0000-000080020000}"/>
    <cellStyle name="Vírgula 2 2 2 10 2 2" xfId="885" xr:uid="{00000000-0005-0000-0000-000081020000}"/>
    <cellStyle name="Vírgula 2 2 2 10 2 2 2" xfId="1474" xr:uid="{00000000-0005-0000-0000-000082020000}"/>
    <cellStyle name="Vírgula 2 2 2 10 2 3" xfId="1184" xr:uid="{00000000-0005-0000-0000-000083020000}"/>
    <cellStyle name="Vírgula 2 2 2 10 3" xfId="746" xr:uid="{00000000-0005-0000-0000-000084020000}"/>
    <cellStyle name="Vírgula 2 2 2 10 3 2" xfId="1335" xr:uid="{00000000-0005-0000-0000-000085020000}"/>
    <cellStyle name="Vírgula 2 2 2 10 4" xfId="1045" xr:uid="{00000000-0005-0000-0000-000086020000}"/>
    <cellStyle name="Vírgula 2 2 2 11" xfId="390" xr:uid="{00000000-0005-0000-0000-000087020000}"/>
    <cellStyle name="Vírgula 2 2 2 11 2" xfId="604" xr:uid="{00000000-0005-0000-0000-000088020000}"/>
    <cellStyle name="Vírgula 2 2 2 11 2 2" xfId="898" xr:uid="{00000000-0005-0000-0000-000089020000}"/>
    <cellStyle name="Vírgula 2 2 2 11 2 2 2" xfId="1487" xr:uid="{00000000-0005-0000-0000-00008A020000}"/>
    <cellStyle name="Vírgula 2 2 2 11 2 3" xfId="1197" xr:uid="{00000000-0005-0000-0000-00008B020000}"/>
    <cellStyle name="Vírgula 2 2 2 11 3" xfId="759" xr:uid="{00000000-0005-0000-0000-00008C020000}"/>
    <cellStyle name="Vírgula 2 2 2 11 3 2" xfId="1348" xr:uid="{00000000-0005-0000-0000-00008D020000}"/>
    <cellStyle name="Vírgula 2 2 2 11 4" xfId="1058" xr:uid="{00000000-0005-0000-0000-00008E020000}"/>
    <cellStyle name="Vírgula 2 2 2 12" xfId="464" xr:uid="{00000000-0005-0000-0000-00008F020000}"/>
    <cellStyle name="Vírgula 2 2 2 12 2" xfId="783" xr:uid="{00000000-0005-0000-0000-000090020000}"/>
    <cellStyle name="Vírgula 2 2 2 12 2 2" xfId="1372" xr:uid="{00000000-0005-0000-0000-000091020000}"/>
    <cellStyle name="Vírgula 2 2 2 12 3" xfId="1082" xr:uid="{00000000-0005-0000-0000-000092020000}"/>
    <cellStyle name="Vírgula 2 2 2 13" xfId="626" xr:uid="{00000000-0005-0000-0000-000093020000}"/>
    <cellStyle name="Vírgula 2 2 2 13 2" xfId="919" xr:uid="{00000000-0005-0000-0000-000094020000}"/>
    <cellStyle name="Vírgula 2 2 2 13 2 2" xfId="1508" xr:uid="{00000000-0005-0000-0000-000095020000}"/>
    <cellStyle name="Vírgula 2 2 2 13 3" xfId="1218" xr:uid="{00000000-0005-0000-0000-000096020000}"/>
    <cellStyle name="Vírgula 2 2 2 2" xfId="303" xr:uid="{00000000-0005-0000-0000-000097020000}"/>
    <cellStyle name="Vírgula 2 2 2 2 2" xfId="527" xr:uid="{00000000-0005-0000-0000-000098020000}"/>
    <cellStyle name="Vírgula 2 2 2 2 2 2" xfId="831" xr:uid="{00000000-0005-0000-0000-000099020000}"/>
    <cellStyle name="Vírgula 2 2 2 2 2 2 2" xfId="1420" xr:uid="{00000000-0005-0000-0000-00009A020000}"/>
    <cellStyle name="Vírgula 2 2 2 2 2 3" xfId="1130" xr:uid="{00000000-0005-0000-0000-00009B020000}"/>
    <cellStyle name="Vírgula 2 2 2 2 3" xfId="627" xr:uid="{00000000-0005-0000-0000-00009C020000}"/>
    <cellStyle name="Vírgula 2 2 2 2 3 2" xfId="920" xr:uid="{00000000-0005-0000-0000-00009D020000}"/>
    <cellStyle name="Vírgula 2 2 2 2 3 2 2" xfId="1509" xr:uid="{00000000-0005-0000-0000-00009E020000}"/>
    <cellStyle name="Vírgula 2 2 2 2 3 3" xfId="1219" xr:uid="{00000000-0005-0000-0000-00009F020000}"/>
    <cellStyle name="Vírgula 2 2 2 2 4" xfId="692" xr:uid="{00000000-0005-0000-0000-0000A0020000}"/>
    <cellStyle name="Vírgula 2 2 2 2 4 2" xfId="1281" xr:uid="{00000000-0005-0000-0000-0000A1020000}"/>
    <cellStyle name="Vírgula 2 2 2 2 5" xfId="991" xr:uid="{00000000-0005-0000-0000-0000A2020000}"/>
    <cellStyle name="Vírgula 2 2 2 3" xfId="309" xr:uid="{00000000-0005-0000-0000-0000A3020000}"/>
    <cellStyle name="Vírgula 2 2 2 3 2" xfId="533" xr:uid="{00000000-0005-0000-0000-0000A4020000}"/>
    <cellStyle name="Vírgula 2 2 2 3 2 2" xfId="837" xr:uid="{00000000-0005-0000-0000-0000A5020000}"/>
    <cellStyle name="Vírgula 2 2 2 3 2 2 2" xfId="1426" xr:uid="{00000000-0005-0000-0000-0000A6020000}"/>
    <cellStyle name="Vírgula 2 2 2 3 2 3" xfId="1136" xr:uid="{00000000-0005-0000-0000-0000A7020000}"/>
    <cellStyle name="Vírgula 2 2 2 3 3" xfId="698" xr:uid="{00000000-0005-0000-0000-0000A8020000}"/>
    <cellStyle name="Vírgula 2 2 2 3 3 2" xfId="1287" xr:uid="{00000000-0005-0000-0000-0000A9020000}"/>
    <cellStyle name="Vírgula 2 2 2 3 4" xfId="997" xr:uid="{00000000-0005-0000-0000-0000AA020000}"/>
    <cellStyle name="Vírgula 2 2 2 4" xfId="315" xr:uid="{00000000-0005-0000-0000-0000AB020000}"/>
    <cellStyle name="Vírgula 2 2 2 4 2" xfId="539" xr:uid="{00000000-0005-0000-0000-0000AC020000}"/>
    <cellStyle name="Vírgula 2 2 2 4 2 2" xfId="843" xr:uid="{00000000-0005-0000-0000-0000AD020000}"/>
    <cellStyle name="Vírgula 2 2 2 4 2 2 2" xfId="1432" xr:uid="{00000000-0005-0000-0000-0000AE020000}"/>
    <cellStyle name="Vírgula 2 2 2 4 2 3" xfId="1142" xr:uid="{00000000-0005-0000-0000-0000AF020000}"/>
    <cellStyle name="Vírgula 2 2 2 4 3" xfId="704" xr:uid="{00000000-0005-0000-0000-0000B0020000}"/>
    <cellStyle name="Vírgula 2 2 2 4 3 2" xfId="1293" xr:uid="{00000000-0005-0000-0000-0000B1020000}"/>
    <cellStyle name="Vírgula 2 2 2 4 4" xfId="1003" xr:uid="{00000000-0005-0000-0000-0000B2020000}"/>
    <cellStyle name="Vírgula 2 2 2 5" xfId="321" xr:uid="{00000000-0005-0000-0000-0000B3020000}"/>
    <cellStyle name="Vírgula 2 2 2 5 2" xfId="545" xr:uid="{00000000-0005-0000-0000-0000B4020000}"/>
    <cellStyle name="Vírgula 2 2 2 5 2 2" xfId="849" xr:uid="{00000000-0005-0000-0000-0000B5020000}"/>
    <cellStyle name="Vírgula 2 2 2 5 2 2 2" xfId="1438" xr:uid="{00000000-0005-0000-0000-0000B6020000}"/>
    <cellStyle name="Vírgula 2 2 2 5 2 3" xfId="1148" xr:uid="{00000000-0005-0000-0000-0000B7020000}"/>
    <cellStyle name="Vírgula 2 2 2 5 3" xfId="710" xr:uid="{00000000-0005-0000-0000-0000B8020000}"/>
    <cellStyle name="Vírgula 2 2 2 5 3 2" xfId="1299" xr:uid="{00000000-0005-0000-0000-0000B9020000}"/>
    <cellStyle name="Vírgula 2 2 2 5 4" xfId="1009" xr:uid="{00000000-0005-0000-0000-0000BA020000}"/>
    <cellStyle name="Vírgula 2 2 2 6" xfId="327" xr:uid="{00000000-0005-0000-0000-0000BB020000}"/>
    <cellStyle name="Vírgula 2 2 2 6 2" xfId="551" xr:uid="{00000000-0005-0000-0000-0000BC020000}"/>
    <cellStyle name="Vírgula 2 2 2 6 2 2" xfId="855" xr:uid="{00000000-0005-0000-0000-0000BD020000}"/>
    <cellStyle name="Vírgula 2 2 2 6 2 2 2" xfId="1444" xr:uid="{00000000-0005-0000-0000-0000BE020000}"/>
    <cellStyle name="Vírgula 2 2 2 6 2 3" xfId="1154" xr:uid="{00000000-0005-0000-0000-0000BF020000}"/>
    <cellStyle name="Vírgula 2 2 2 6 3" xfId="716" xr:uid="{00000000-0005-0000-0000-0000C0020000}"/>
    <cellStyle name="Vírgula 2 2 2 6 3 2" xfId="1305" xr:uid="{00000000-0005-0000-0000-0000C1020000}"/>
    <cellStyle name="Vírgula 2 2 2 6 4" xfId="1015" xr:uid="{00000000-0005-0000-0000-0000C2020000}"/>
    <cellStyle name="Vírgula 2 2 2 7" xfId="333" xr:uid="{00000000-0005-0000-0000-0000C3020000}"/>
    <cellStyle name="Vírgula 2 2 2 7 2" xfId="557" xr:uid="{00000000-0005-0000-0000-0000C4020000}"/>
    <cellStyle name="Vírgula 2 2 2 7 2 2" xfId="861" xr:uid="{00000000-0005-0000-0000-0000C5020000}"/>
    <cellStyle name="Vírgula 2 2 2 7 2 2 2" xfId="1450" xr:uid="{00000000-0005-0000-0000-0000C6020000}"/>
    <cellStyle name="Vírgula 2 2 2 7 2 3" xfId="1160" xr:uid="{00000000-0005-0000-0000-0000C7020000}"/>
    <cellStyle name="Vírgula 2 2 2 7 3" xfId="722" xr:uid="{00000000-0005-0000-0000-0000C8020000}"/>
    <cellStyle name="Vírgula 2 2 2 7 3 2" xfId="1311" xr:uid="{00000000-0005-0000-0000-0000C9020000}"/>
    <cellStyle name="Vírgula 2 2 2 7 4" xfId="1021" xr:uid="{00000000-0005-0000-0000-0000CA020000}"/>
    <cellStyle name="Vírgula 2 2 2 8" xfId="351" xr:uid="{00000000-0005-0000-0000-0000CB020000}"/>
    <cellStyle name="Vírgula 2 2 2 8 2" xfId="575" xr:uid="{00000000-0005-0000-0000-0000CC020000}"/>
    <cellStyle name="Vírgula 2 2 2 8 2 2" xfId="872" xr:uid="{00000000-0005-0000-0000-0000CD020000}"/>
    <cellStyle name="Vírgula 2 2 2 8 2 2 2" xfId="1461" xr:uid="{00000000-0005-0000-0000-0000CE020000}"/>
    <cellStyle name="Vírgula 2 2 2 8 2 3" xfId="1171" xr:uid="{00000000-0005-0000-0000-0000CF020000}"/>
    <cellStyle name="Vírgula 2 2 2 8 3" xfId="733" xr:uid="{00000000-0005-0000-0000-0000D0020000}"/>
    <cellStyle name="Vírgula 2 2 2 8 3 2" xfId="1322" xr:uid="{00000000-0005-0000-0000-0000D1020000}"/>
    <cellStyle name="Vírgula 2 2 2 8 4" xfId="1032" xr:uid="{00000000-0005-0000-0000-0000D2020000}"/>
    <cellStyle name="Vírgula 2 2 2 9" xfId="357" xr:uid="{00000000-0005-0000-0000-0000D3020000}"/>
    <cellStyle name="Vírgula 2 2 2 9 2" xfId="581" xr:uid="{00000000-0005-0000-0000-0000D4020000}"/>
    <cellStyle name="Vírgula 2 2 2 9 2 2" xfId="878" xr:uid="{00000000-0005-0000-0000-0000D5020000}"/>
    <cellStyle name="Vírgula 2 2 2 9 2 2 2" xfId="1467" xr:uid="{00000000-0005-0000-0000-0000D6020000}"/>
    <cellStyle name="Vírgula 2 2 2 9 2 3" xfId="1177" xr:uid="{00000000-0005-0000-0000-0000D7020000}"/>
    <cellStyle name="Vírgula 2 2 2 9 3" xfId="739" xr:uid="{00000000-0005-0000-0000-0000D8020000}"/>
    <cellStyle name="Vírgula 2 2 2 9 3 2" xfId="1328" xr:uid="{00000000-0005-0000-0000-0000D9020000}"/>
    <cellStyle name="Vírgula 2 2 2 9 4" xfId="1038" xr:uid="{00000000-0005-0000-0000-0000DA020000}"/>
    <cellStyle name="Vírgula 2 2 20" xfId="413" xr:uid="{00000000-0005-0000-0000-0000DB020000}"/>
    <cellStyle name="Vírgula 2 2 20 2" xfId="774" xr:uid="{00000000-0005-0000-0000-0000DC020000}"/>
    <cellStyle name="Vírgula 2 2 20 2 2" xfId="1363" xr:uid="{00000000-0005-0000-0000-0000DD020000}"/>
    <cellStyle name="Vírgula 2 2 20 3" xfId="1073" xr:uid="{00000000-0005-0000-0000-0000DE020000}"/>
    <cellStyle name="Vírgula 2 2 21" xfId="625" xr:uid="{00000000-0005-0000-0000-0000DF020000}"/>
    <cellStyle name="Vírgula 2 2 21 2" xfId="918" xr:uid="{00000000-0005-0000-0000-0000E0020000}"/>
    <cellStyle name="Vírgula 2 2 21 2 2" xfId="1507" xr:uid="{00000000-0005-0000-0000-0000E1020000}"/>
    <cellStyle name="Vírgula 2 2 21 3" xfId="1217" xr:uid="{00000000-0005-0000-0000-0000E2020000}"/>
    <cellStyle name="Vírgula 2 2 22" xfId="945" xr:uid="{00000000-0005-0000-0000-0000E3020000}"/>
    <cellStyle name="Vírgula 2 2 22 2" xfId="1533" xr:uid="{00000000-0005-0000-0000-0000E4020000}"/>
    <cellStyle name="Vírgula 2 2 3" xfId="257" xr:uid="{00000000-0005-0000-0000-0000E5020000}"/>
    <cellStyle name="Vírgula 2 2 3 2" xfId="487" xr:uid="{00000000-0005-0000-0000-0000E6020000}"/>
    <cellStyle name="Vírgula 2 2 3 2 2" xfId="800" xr:uid="{00000000-0005-0000-0000-0000E7020000}"/>
    <cellStyle name="Vírgula 2 2 3 2 2 2" xfId="1389" xr:uid="{00000000-0005-0000-0000-0000E8020000}"/>
    <cellStyle name="Vírgula 2 2 3 2 3" xfId="1099" xr:uid="{00000000-0005-0000-0000-0000E9020000}"/>
    <cellStyle name="Vírgula 2 2 3 3" xfId="628" xr:uid="{00000000-0005-0000-0000-0000EA020000}"/>
    <cellStyle name="Vírgula 2 2 3 3 2" xfId="921" xr:uid="{00000000-0005-0000-0000-0000EB020000}"/>
    <cellStyle name="Vírgula 2 2 3 3 2 2" xfId="1510" xr:uid="{00000000-0005-0000-0000-0000EC020000}"/>
    <cellStyle name="Vírgula 2 2 3 3 3" xfId="1220" xr:uid="{00000000-0005-0000-0000-0000ED020000}"/>
    <cellStyle name="Vírgula 2 2 3 4" xfId="661" xr:uid="{00000000-0005-0000-0000-0000EE020000}"/>
    <cellStyle name="Vírgula 2 2 3 4 2" xfId="1250" xr:uid="{00000000-0005-0000-0000-0000EF020000}"/>
    <cellStyle name="Vírgula 2 2 3 5" xfId="959" xr:uid="{00000000-0005-0000-0000-0000F0020000}"/>
    <cellStyle name="Vírgula 2 2 4" xfId="260" xr:uid="{00000000-0005-0000-0000-0000F1020000}"/>
    <cellStyle name="Vírgula 2 2 4 2" xfId="490" xr:uid="{00000000-0005-0000-0000-0000F2020000}"/>
    <cellStyle name="Vírgula 2 2 4 2 2" xfId="803" xr:uid="{00000000-0005-0000-0000-0000F3020000}"/>
    <cellStyle name="Vírgula 2 2 4 2 2 2" xfId="1392" xr:uid="{00000000-0005-0000-0000-0000F4020000}"/>
    <cellStyle name="Vírgula 2 2 4 2 3" xfId="1102" xr:uid="{00000000-0005-0000-0000-0000F5020000}"/>
    <cellStyle name="Vírgula 2 2 4 3" xfId="664" xr:uid="{00000000-0005-0000-0000-0000F6020000}"/>
    <cellStyle name="Vírgula 2 2 4 3 2" xfId="1253" xr:uid="{00000000-0005-0000-0000-0000F7020000}"/>
    <cellStyle name="Vírgula 2 2 4 4" xfId="962" xr:uid="{00000000-0005-0000-0000-0000F8020000}"/>
    <cellStyle name="Vírgula 2 2 5" xfId="263" xr:uid="{00000000-0005-0000-0000-0000F9020000}"/>
    <cellStyle name="Vírgula 2 2 5 2" xfId="493" xr:uid="{00000000-0005-0000-0000-0000FA020000}"/>
    <cellStyle name="Vírgula 2 2 5 2 2" xfId="806" xr:uid="{00000000-0005-0000-0000-0000FB020000}"/>
    <cellStyle name="Vírgula 2 2 5 2 2 2" xfId="1395" xr:uid="{00000000-0005-0000-0000-0000FC020000}"/>
    <cellStyle name="Vírgula 2 2 5 2 3" xfId="1105" xr:uid="{00000000-0005-0000-0000-0000FD020000}"/>
    <cellStyle name="Vírgula 2 2 5 3" xfId="667" xr:uid="{00000000-0005-0000-0000-0000FE020000}"/>
    <cellStyle name="Vírgula 2 2 5 3 2" xfId="1256" xr:uid="{00000000-0005-0000-0000-0000FF020000}"/>
    <cellStyle name="Vírgula 2 2 5 4" xfId="965" xr:uid="{00000000-0005-0000-0000-000000030000}"/>
    <cellStyle name="Vírgula 2 2 6" xfId="266" xr:uid="{00000000-0005-0000-0000-000001030000}"/>
    <cellStyle name="Vírgula 2 2 6 2" xfId="496" xr:uid="{00000000-0005-0000-0000-000002030000}"/>
    <cellStyle name="Vírgula 2 2 6 2 2" xfId="809" xr:uid="{00000000-0005-0000-0000-000003030000}"/>
    <cellStyle name="Vírgula 2 2 6 2 2 2" xfId="1398" xr:uid="{00000000-0005-0000-0000-000004030000}"/>
    <cellStyle name="Vírgula 2 2 6 2 3" xfId="1108" xr:uid="{00000000-0005-0000-0000-000005030000}"/>
    <cellStyle name="Vírgula 2 2 6 3" xfId="670" xr:uid="{00000000-0005-0000-0000-000006030000}"/>
    <cellStyle name="Vírgula 2 2 6 3 2" xfId="1259" xr:uid="{00000000-0005-0000-0000-000007030000}"/>
    <cellStyle name="Vírgula 2 2 6 4" xfId="968" xr:uid="{00000000-0005-0000-0000-000008030000}"/>
    <cellStyle name="Vírgula 2 2 7" xfId="272" xr:uid="{00000000-0005-0000-0000-000009030000}"/>
    <cellStyle name="Vírgula 2 2 7 2" xfId="502" xr:uid="{00000000-0005-0000-0000-00000A030000}"/>
    <cellStyle name="Vírgula 2 2 7 2 2" xfId="813" xr:uid="{00000000-0005-0000-0000-00000B030000}"/>
    <cellStyle name="Vírgula 2 2 7 2 2 2" xfId="1402" xr:uid="{00000000-0005-0000-0000-00000C030000}"/>
    <cellStyle name="Vírgula 2 2 7 2 3" xfId="1112" xr:uid="{00000000-0005-0000-0000-00000D030000}"/>
    <cellStyle name="Vírgula 2 2 7 3" xfId="674" xr:uid="{00000000-0005-0000-0000-00000E030000}"/>
    <cellStyle name="Vírgula 2 2 7 3 2" xfId="1263" xr:uid="{00000000-0005-0000-0000-00000F030000}"/>
    <cellStyle name="Vírgula 2 2 7 4" xfId="972" xr:uid="{00000000-0005-0000-0000-000010030000}"/>
    <cellStyle name="Vírgula 2 2 8" xfId="279" xr:uid="{00000000-0005-0000-0000-000011030000}"/>
    <cellStyle name="Vírgula 2 2 8 2" xfId="508" xr:uid="{00000000-0005-0000-0000-000012030000}"/>
    <cellStyle name="Vírgula 2 2 8 2 2" xfId="817" xr:uid="{00000000-0005-0000-0000-000013030000}"/>
    <cellStyle name="Vírgula 2 2 8 2 2 2" xfId="1406" xr:uid="{00000000-0005-0000-0000-000014030000}"/>
    <cellStyle name="Vírgula 2 2 8 2 3" xfId="1116" xr:uid="{00000000-0005-0000-0000-000015030000}"/>
    <cellStyle name="Vírgula 2 2 8 3" xfId="678" xr:uid="{00000000-0005-0000-0000-000016030000}"/>
    <cellStyle name="Vírgula 2 2 8 3 2" xfId="1267" xr:uid="{00000000-0005-0000-0000-000017030000}"/>
    <cellStyle name="Vírgula 2 2 8 4" xfId="977" xr:uid="{00000000-0005-0000-0000-000018030000}"/>
    <cellStyle name="Vírgula 2 2 9" xfId="285" xr:uid="{00000000-0005-0000-0000-000019030000}"/>
    <cellStyle name="Vírgula 2 2 9 2" xfId="512" xr:uid="{00000000-0005-0000-0000-00001A030000}"/>
    <cellStyle name="Vírgula 2 2 9 2 2" xfId="821" xr:uid="{00000000-0005-0000-0000-00001B030000}"/>
    <cellStyle name="Vírgula 2 2 9 2 2 2" xfId="1410" xr:uid="{00000000-0005-0000-0000-00001C030000}"/>
    <cellStyle name="Vírgula 2 2 9 2 3" xfId="1120" xr:uid="{00000000-0005-0000-0000-00001D030000}"/>
    <cellStyle name="Vírgula 2 2 9 3" xfId="682" xr:uid="{00000000-0005-0000-0000-00001E030000}"/>
    <cellStyle name="Vírgula 2 2 9 3 2" xfId="1271" xr:uid="{00000000-0005-0000-0000-00001F030000}"/>
    <cellStyle name="Vírgula 2 2 9 4" xfId="981" xr:uid="{00000000-0005-0000-0000-000020030000}"/>
    <cellStyle name="Vírgula 2 20" xfId="284" xr:uid="{00000000-0005-0000-0000-000021030000}"/>
    <cellStyle name="Vírgula 2 20 2" xfId="511" xr:uid="{00000000-0005-0000-0000-000022030000}"/>
    <cellStyle name="Vírgula 2 20 2 2" xfId="820" xr:uid="{00000000-0005-0000-0000-000023030000}"/>
    <cellStyle name="Vírgula 2 20 2 2 2" xfId="1409" xr:uid="{00000000-0005-0000-0000-000024030000}"/>
    <cellStyle name="Vírgula 2 20 2 3" xfId="1119" xr:uid="{00000000-0005-0000-0000-000025030000}"/>
    <cellStyle name="Vírgula 2 20 3" xfId="681" xr:uid="{00000000-0005-0000-0000-000026030000}"/>
    <cellStyle name="Vírgula 2 20 3 2" xfId="1270" xr:uid="{00000000-0005-0000-0000-000027030000}"/>
    <cellStyle name="Vírgula 2 20 4" xfId="980" xr:uid="{00000000-0005-0000-0000-000028030000}"/>
    <cellStyle name="Vírgula 2 21" xfId="290" xr:uid="{00000000-0005-0000-0000-000029030000}"/>
    <cellStyle name="Vírgula 2 21 2" xfId="517" xr:uid="{00000000-0005-0000-0000-00002A030000}"/>
    <cellStyle name="Vírgula 2 21 2 2" xfId="824" xr:uid="{00000000-0005-0000-0000-00002B030000}"/>
    <cellStyle name="Vírgula 2 21 2 2 2" xfId="1413" xr:uid="{00000000-0005-0000-0000-00002C030000}"/>
    <cellStyle name="Vírgula 2 21 2 3" xfId="1123" xr:uid="{00000000-0005-0000-0000-00002D030000}"/>
    <cellStyle name="Vírgula 2 21 3" xfId="685" xr:uid="{00000000-0005-0000-0000-00002E030000}"/>
    <cellStyle name="Vírgula 2 21 3 2" xfId="1274" xr:uid="{00000000-0005-0000-0000-00002F030000}"/>
    <cellStyle name="Vírgula 2 21 4" xfId="984" xr:uid="{00000000-0005-0000-0000-000030030000}"/>
    <cellStyle name="Vírgula 2 22" xfId="293" xr:uid="{00000000-0005-0000-0000-000031030000}"/>
    <cellStyle name="Vírgula 2 22 2" xfId="520" xr:uid="{00000000-0005-0000-0000-000032030000}"/>
    <cellStyle name="Vírgula 2 22 2 2" xfId="825" xr:uid="{00000000-0005-0000-0000-000033030000}"/>
    <cellStyle name="Vírgula 2 22 2 2 2" xfId="1414" xr:uid="{00000000-0005-0000-0000-000034030000}"/>
    <cellStyle name="Vírgula 2 22 2 3" xfId="1124" xr:uid="{00000000-0005-0000-0000-000035030000}"/>
    <cellStyle name="Vírgula 2 22 3" xfId="686" xr:uid="{00000000-0005-0000-0000-000036030000}"/>
    <cellStyle name="Vírgula 2 22 3 2" xfId="1275" xr:uid="{00000000-0005-0000-0000-000037030000}"/>
    <cellStyle name="Vírgula 2 22 4" xfId="985" xr:uid="{00000000-0005-0000-0000-000038030000}"/>
    <cellStyle name="Vírgula 2 23" xfId="298" xr:uid="{00000000-0005-0000-0000-000039030000}"/>
    <cellStyle name="Vírgula 2 23 2" xfId="523" xr:uid="{00000000-0005-0000-0000-00003A030000}"/>
    <cellStyle name="Vírgula 2 23 2 2" xfId="827" xr:uid="{00000000-0005-0000-0000-00003B030000}"/>
    <cellStyle name="Vírgula 2 23 2 2 2" xfId="1416" xr:uid="{00000000-0005-0000-0000-00003C030000}"/>
    <cellStyle name="Vírgula 2 23 2 3" xfId="1126" xr:uid="{00000000-0005-0000-0000-00003D030000}"/>
    <cellStyle name="Vírgula 2 23 3" xfId="688" xr:uid="{00000000-0005-0000-0000-00003E030000}"/>
    <cellStyle name="Vírgula 2 23 3 2" xfId="1277" xr:uid="{00000000-0005-0000-0000-00003F030000}"/>
    <cellStyle name="Vírgula 2 23 4" xfId="987" xr:uid="{00000000-0005-0000-0000-000040030000}"/>
    <cellStyle name="Vírgula 2 24" xfId="301" xr:uid="{00000000-0005-0000-0000-000041030000}"/>
    <cellStyle name="Vírgula 2 24 2" xfId="525" xr:uid="{00000000-0005-0000-0000-000042030000}"/>
    <cellStyle name="Vírgula 2 24 2 2" xfId="829" xr:uid="{00000000-0005-0000-0000-000043030000}"/>
    <cellStyle name="Vírgula 2 24 2 2 2" xfId="1418" xr:uid="{00000000-0005-0000-0000-000044030000}"/>
    <cellStyle name="Vírgula 2 24 2 3" xfId="1128" xr:uid="{00000000-0005-0000-0000-000045030000}"/>
    <cellStyle name="Vírgula 2 24 3" xfId="690" xr:uid="{00000000-0005-0000-0000-000046030000}"/>
    <cellStyle name="Vírgula 2 24 3 2" xfId="1279" xr:uid="{00000000-0005-0000-0000-000047030000}"/>
    <cellStyle name="Vírgula 2 24 4" xfId="989" xr:uid="{00000000-0005-0000-0000-000048030000}"/>
    <cellStyle name="Vírgula 2 25" xfId="307" xr:uid="{00000000-0005-0000-0000-000049030000}"/>
    <cellStyle name="Vírgula 2 25 2" xfId="531" xr:uid="{00000000-0005-0000-0000-00004A030000}"/>
    <cellStyle name="Vírgula 2 25 2 2" xfId="835" xr:uid="{00000000-0005-0000-0000-00004B030000}"/>
    <cellStyle name="Vírgula 2 25 2 2 2" xfId="1424" xr:uid="{00000000-0005-0000-0000-00004C030000}"/>
    <cellStyle name="Vírgula 2 25 2 3" xfId="1134" xr:uid="{00000000-0005-0000-0000-00004D030000}"/>
    <cellStyle name="Vírgula 2 25 3" xfId="696" xr:uid="{00000000-0005-0000-0000-00004E030000}"/>
    <cellStyle name="Vírgula 2 25 3 2" xfId="1285" xr:uid="{00000000-0005-0000-0000-00004F030000}"/>
    <cellStyle name="Vírgula 2 25 4" xfId="995" xr:uid="{00000000-0005-0000-0000-000050030000}"/>
    <cellStyle name="Vírgula 2 26" xfId="313" xr:uid="{00000000-0005-0000-0000-000051030000}"/>
    <cellStyle name="Vírgula 2 26 2" xfId="537" xr:uid="{00000000-0005-0000-0000-000052030000}"/>
    <cellStyle name="Vírgula 2 26 2 2" xfId="841" xr:uid="{00000000-0005-0000-0000-000053030000}"/>
    <cellStyle name="Vírgula 2 26 2 2 2" xfId="1430" xr:uid="{00000000-0005-0000-0000-000054030000}"/>
    <cellStyle name="Vírgula 2 26 2 3" xfId="1140" xr:uid="{00000000-0005-0000-0000-000055030000}"/>
    <cellStyle name="Vírgula 2 26 3" xfId="702" xr:uid="{00000000-0005-0000-0000-000056030000}"/>
    <cellStyle name="Vírgula 2 26 3 2" xfId="1291" xr:uid="{00000000-0005-0000-0000-000057030000}"/>
    <cellStyle name="Vírgula 2 26 4" xfId="1001" xr:uid="{00000000-0005-0000-0000-000058030000}"/>
    <cellStyle name="Vírgula 2 27" xfId="319" xr:uid="{00000000-0005-0000-0000-000059030000}"/>
    <cellStyle name="Vírgula 2 27 2" xfId="543" xr:uid="{00000000-0005-0000-0000-00005A030000}"/>
    <cellStyle name="Vírgula 2 27 2 2" xfId="847" xr:uid="{00000000-0005-0000-0000-00005B030000}"/>
    <cellStyle name="Vírgula 2 27 2 2 2" xfId="1436" xr:uid="{00000000-0005-0000-0000-00005C030000}"/>
    <cellStyle name="Vírgula 2 27 2 3" xfId="1146" xr:uid="{00000000-0005-0000-0000-00005D030000}"/>
    <cellStyle name="Vírgula 2 27 3" xfId="708" xr:uid="{00000000-0005-0000-0000-00005E030000}"/>
    <cellStyle name="Vírgula 2 27 3 2" xfId="1297" xr:uid="{00000000-0005-0000-0000-00005F030000}"/>
    <cellStyle name="Vírgula 2 27 4" xfId="1007" xr:uid="{00000000-0005-0000-0000-000060030000}"/>
    <cellStyle name="Vírgula 2 28" xfId="325" xr:uid="{00000000-0005-0000-0000-000061030000}"/>
    <cellStyle name="Vírgula 2 28 2" xfId="549" xr:uid="{00000000-0005-0000-0000-000062030000}"/>
    <cellStyle name="Vírgula 2 28 2 2" xfId="853" xr:uid="{00000000-0005-0000-0000-000063030000}"/>
    <cellStyle name="Vírgula 2 28 2 2 2" xfId="1442" xr:uid="{00000000-0005-0000-0000-000064030000}"/>
    <cellStyle name="Vírgula 2 28 2 3" xfId="1152" xr:uid="{00000000-0005-0000-0000-000065030000}"/>
    <cellStyle name="Vírgula 2 28 3" xfId="714" xr:uid="{00000000-0005-0000-0000-000066030000}"/>
    <cellStyle name="Vírgula 2 28 3 2" xfId="1303" xr:uid="{00000000-0005-0000-0000-000067030000}"/>
    <cellStyle name="Vírgula 2 28 4" xfId="1013" xr:uid="{00000000-0005-0000-0000-000068030000}"/>
    <cellStyle name="Vírgula 2 29" xfId="331" xr:uid="{00000000-0005-0000-0000-000069030000}"/>
    <cellStyle name="Vírgula 2 29 2" xfId="555" xr:uid="{00000000-0005-0000-0000-00006A030000}"/>
    <cellStyle name="Vírgula 2 29 2 2" xfId="859" xr:uid="{00000000-0005-0000-0000-00006B030000}"/>
    <cellStyle name="Vírgula 2 29 2 2 2" xfId="1448" xr:uid="{00000000-0005-0000-0000-00006C030000}"/>
    <cellStyle name="Vírgula 2 29 2 3" xfId="1158" xr:uid="{00000000-0005-0000-0000-00006D030000}"/>
    <cellStyle name="Vírgula 2 29 3" xfId="720" xr:uid="{00000000-0005-0000-0000-00006E030000}"/>
    <cellStyle name="Vírgula 2 29 3 2" xfId="1309" xr:uid="{00000000-0005-0000-0000-00006F030000}"/>
    <cellStyle name="Vírgula 2 29 4" xfId="1019" xr:uid="{00000000-0005-0000-0000-000070030000}"/>
    <cellStyle name="Vírgula 2 3" xfId="123" xr:uid="{00000000-0005-0000-0000-000071030000}"/>
    <cellStyle name="Vírgula 2 3 10" xfId="352" xr:uid="{00000000-0005-0000-0000-000072030000}"/>
    <cellStyle name="Vírgula 2 3 10 2" xfId="576" xr:uid="{00000000-0005-0000-0000-000073030000}"/>
    <cellStyle name="Vírgula 2 3 10 2 2" xfId="873" xr:uid="{00000000-0005-0000-0000-000074030000}"/>
    <cellStyle name="Vírgula 2 3 10 2 2 2" xfId="1462" xr:uid="{00000000-0005-0000-0000-000075030000}"/>
    <cellStyle name="Vírgula 2 3 10 2 3" xfId="1172" xr:uid="{00000000-0005-0000-0000-000076030000}"/>
    <cellStyle name="Vírgula 2 3 10 3" xfId="734" xr:uid="{00000000-0005-0000-0000-000077030000}"/>
    <cellStyle name="Vírgula 2 3 10 3 2" xfId="1323" xr:uid="{00000000-0005-0000-0000-000078030000}"/>
    <cellStyle name="Vírgula 2 3 10 4" xfId="1033" xr:uid="{00000000-0005-0000-0000-000079030000}"/>
    <cellStyle name="Vírgula 2 3 11" xfId="358" xr:uid="{00000000-0005-0000-0000-00007A030000}"/>
    <cellStyle name="Vírgula 2 3 11 2" xfId="582" xr:uid="{00000000-0005-0000-0000-00007B030000}"/>
    <cellStyle name="Vírgula 2 3 11 2 2" xfId="879" xr:uid="{00000000-0005-0000-0000-00007C030000}"/>
    <cellStyle name="Vírgula 2 3 11 2 2 2" xfId="1468" xr:uid="{00000000-0005-0000-0000-00007D030000}"/>
    <cellStyle name="Vírgula 2 3 11 2 3" xfId="1178" xr:uid="{00000000-0005-0000-0000-00007E030000}"/>
    <cellStyle name="Vírgula 2 3 11 3" xfId="740" xr:uid="{00000000-0005-0000-0000-00007F030000}"/>
    <cellStyle name="Vírgula 2 3 11 3 2" xfId="1329" xr:uid="{00000000-0005-0000-0000-000080030000}"/>
    <cellStyle name="Vírgula 2 3 11 4" xfId="1039" xr:uid="{00000000-0005-0000-0000-000081030000}"/>
    <cellStyle name="Vírgula 2 3 12" xfId="370" xr:uid="{00000000-0005-0000-0000-000082030000}"/>
    <cellStyle name="Vírgula 2 3 12 2" xfId="589" xr:uid="{00000000-0005-0000-0000-000083030000}"/>
    <cellStyle name="Vírgula 2 3 12 2 2" xfId="886" xr:uid="{00000000-0005-0000-0000-000084030000}"/>
    <cellStyle name="Vírgula 2 3 12 2 2 2" xfId="1475" xr:uid="{00000000-0005-0000-0000-000085030000}"/>
    <cellStyle name="Vírgula 2 3 12 2 3" xfId="1185" xr:uid="{00000000-0005-0000-0000-000086030000}"/>
    <cellStyle name="Vírgula 2 3 12 3" xfId="747" xr:uid="{00000000-0005-0000-0000-000087030000}"/>
    <cellStyle name="Vírgula 2 3 12 3 2" xfId="1336" xr:uid="{00000000-0005-0000-0000-000088030000}"/>
    <cellStyle name="Vírgula 2 3 12 4" xfId="1046" xr:uid="{00000000-0005-0000-0000-000089030000}"/>
    <cellStyle name="Vírgula 2 3 13" xfId="391" xr:uid="{00000000-0005-0000-0000-00008A030000}"/>
    <cellStyle name="Vírgula 2 3 13 2" xfId="605" xr:uid="{00000000-0005-0000-0000-00008B030000}"/>
    <cellStyle name="Vírgula 2 3 13 2 2" xfId="899" xr:uid="{00000000-0005-0000-0000-00008C030000}"/>
    <cellStyle name="Vírgula 2 3 13 2 2 2" xfId="1488" xr:uid="{00000000-0005-0000-0000-00008D030000}"/>
    <cellStyle name="Vírgula 2 3 13 2 3" xfId="1198" xr:uid="{00000000-0005-0000-0000-00008E030000}"/>
    <cellStyle name="Vírgula 2 3 13 3" xfId="760" xr:uid="{00000000-0005-0000-0000-00008F030000}"/>
    <cellStyle name="Vírgula 2 3 13 3 2" xfId="1349" xr:uid="{00000000-0005-0000-0000-000090030000}"/>
    <cellStyle name="Vírgula 2 3 13 4" xfId="1059" xr:uid="{00000000-0005-0000-0000-000091030000}"/>
    <cellStyle name="Vírgula 2 3 14" xfId="439" xr:uid="{00000000-0005-0000-0000-000092030000}"/>
    <cellStyle name="Vírgula 2 3 14 2" xfId="775" xr:uid="{00000000-0005-0000-0000-000093030000}"/>
    <cellStyle name="Vírgula 2 3 14 2 2" xfId="1364" xr:uid="{00000000-0005-0000-0000-000094030000}"/>
    <cellStyle name="Vírgula 2 3 14 3" xfId="1074" xr:uid="{00000000-0005-0000-0000-000095030000}"/>
    <cellStyle name="Vírgula 2 3 15" xfId="629" xr:uid="{00000000-0005-0000-0000-000096030000}"/>
    <cellStyle name="Vírgula 2 3 15 2" xfId="922" xr:uid="{00000000-0005-0000-0000-000097030000}"/>
    <cellStyle name="Vírgula 2 3 15 2 2" xfId="1511" xr:uid="{00000000-0005-0000-0000-000098030000}"/>
    <cellStyle name="Vírgula 2 3 15 3" xfId="1221" xr:uid="{00000000-0005-0000-0000-000099030000}"/>
    <cellStyle name="Vírgula 2 3 2" xfId="224" xr:uid="{00000000-0005-0000-0000-00009A030000}"/>
    <cellStyle name="Vírgula 2 3 2 2" xfId="467" xr:uid="{00000000-0005-0000-0000-00009B030000}"/>
    <cellStyle name="Vírgula 2 3 2 2 2" xfId="786" xr:uid="{00000000-0005-0000-0000-00009C030000}"/>
    <cellStyle name="Vírgula 2 3 2 2 2 2" xfId="1375" xr:uid="{00000000-0005-0000-0000-00009D030000}"/>
    <cellStyle name="Vírgula 2 3 2 2 3" xfId="1085" xr:uid="{00000000-0005-0000-0000-00009E030000}"/>
    <cellStyle name="Vírgula 2 3 2 3" xfId="630" xr:uid="{00000000-0005-0000-0000-00009F030000}"/>
    <cellStyle name="Vírgula 2 3 2 3 2" xfId="923" xr:uid="{00000000-0005-0000-0000-0000A0030000}"/>
    <cellStyle name="Vírgula 2 3 2 3 2 2" xfId="1512" xr:uid="{00000000-0005-0000-0000-0000A1030000}"/>
    <cellStyle name="Vírgula 2 3 2 3 3" xfId="1222" xr:uid="{00000000-0005-0000-0000-0000A2030000}"/>
    <cellStyle name="Vírgula 2 3 3" xfId="227" xr:uid="{00000000-0005-0000-0000-0000A3030000}"/>
    <cellStyle name="Vírgula 2 3 3 2" xfId="469" xr:uid="{00000000-0005-0000-0000-0000A4030000}"/>
    <cellStyle name="Vírgula 2 3 3 2 2" xfId="788" xr:uid="{00000000-0005-0000-0000-0000A5030000}"/>
    <cellStyle name="Vírgula 2 3 3 2 2 2" xfId="1377" xr:uid="{00000000-0005-0000-0000-0000A6030000}"/>
    <cellStyle name="Vírgula 2 3 3 2 3" xfId="1087" xr:uid="{00000000-0005-0000-0000-0000A7030000}"/>
    <cellStyle name="Vírgula 2 3 4" xfId="304" xr:uid="{00000000-0005-0000-0000-0000A8030000}"/>
    <cellStyle name="Vírgula 2 3 4 2" xfId="528" xr:uid="{00000000-0005-0000-0000-0000A9030000}"/>
    <cellStyle name="Vírgula 2 3 4 2 2" xfId="832" xr:uid="{00000000-0005-0000-0000-0000AA030000}"/>
    <cellStyle name="Vírgula 2 3 4 2 2 2" xfId="1421" xr:uid="{00000000-0005-0000-0000-0000AB030000}"/>
    <cellStyle name="Vírgula 2 3 4 2 3" xfId="1131" xr:uid="{00000000-0005-0000-0000-0000AC030000}"/>
    <cellStyle name="Vírgula 2 3 4 3" xfId="693" xr:uid="{00000000-0005-0000-0000-0000AD030000}"/>
    <cellStyle name="Vírgula 2 3 4 3 2" xfId="1282" xr:uid="{00000000-0005-0000-0000-0000AE030000}"/>
    <cellStyle name="Vírgula 2 3 4 4" xfId="992" xr:uid="{00000000-0005-0000-0000-0000AF030000}"/>
    <cellStyle name="Vírgula 2 3 5" xfId="310" xr:uid="{00000000-0005-0000-0000-0000B0030000}"/>
    <cellStyle name="Vírgula 2 3 5 2" xfId="534" xr:uid="{00000000-0005-0000-0000-0000B1030000}"/>
    <cellStyle name="Vírgula 2 3 5 2 2" xfId="838" xr:uid="{00000000-0005-0000-0000-0000B2030000}"/>
    <cellStyle name="Vírgula 2 3 5 2 2 2" xfId="1427" xr:uid="{00000000-0005-0000-0000-0000B3030000}"/>
    <cellStyle name="Vírgula 2 3 5 2 3" xfId="1137" xr:uid="{00000000-0005-0000-0000-0000B4030000}"/>
    <cellStyle name="Vírgula 2 3 5 3" xfId="699" xr:uid="{00000000-0005-0000-0000-0000B5030000}"/>
    <cellStyle name="Vírgula 2 3 5 3 2" xfId="1288" xr:uid="{00000000-0005-0000-0000-0000B6030000}"/>
    <cellStyle name="Vírgula 2 3 5 4" xfId="998" xr:uid="{00000000-0005-0000-0000-0000B7030000}"/>
    <cellStyle name="Vírgula 2 3 6" xfId="316" xr:uid="{00000000-0005-0000-0000-0000B8030000}"/>
    <cellStyle name="Vírgula 2 3 6 2" xfId="540" xr:uid="{00000000-0005-0000-0000-0000B9030000}"/>
    <cellStyle name="Vírgula 2 3 6 2 2" xfId="844" xr:uid="{00000000-0005-0000-0000-0000BA030000}"/>
    <cellStyle name="Vírgula 2 3 6 2 2 2" xfId="1433" xr:uid="{00000000-0005-0000-0000-0000BB030000}"/>
    <cellStyle name="Vírgula 2 3 6 2 3" xfId="1143" xr:uid="{00000000-0005-0000-0000-0000BC030000}"/>
    <cellStyle name="Vírgula 2 3 6 3" xfId="705" xr:uid="{00000000-0005-0000-0000-0000BD030000}"/>
    <cellStyle name="Vírgula 2 3 6 3 2" xfId="1294" xr:uid="{00000000-0005-0000-0000-0000BE030000}"/>
    <cellStyle name="Vírgula 2 3 6 4" xfId="1004" xr:uid="{00000000-0005-0000-0000-0000BF030000}"/>
    <cellStyle name="Vírgula 2 3 7" xfId="322" xr:uid="{00000000-0005-0000-0000-0000C0030000}"/>
    <cellStyle name="Vírgula 2 3 7 2" xfId="546" xr:uid="{00000000-0005-0000-0000-0000C1030000}"/>
    <cellStyle name="Vírgula 2 3 7 2 2" xfId="850" xr:uid="{00000000-0005-0000-0000-0000C2030000}"/>
    <cellStyle name="Vírgula 2 3 7 2 2 2" xfId="1439" xr:uid="{00000000-0005-0000-0000-0000C3030000}"/>
    <cellStyle name="Vírgula 2 3 7 2 3" xfId="1149" xr:uid="{00000000-0005-0000-0000-0000C4030000}"/>
    <cellStyle name="Vírgula 2 3 7 3" xfId="711" xr:uid="{00000000-0005-0000-0000-0000C5030000}"/>
    <cellStyle name="Vírgula 2 3 7 3 2" xfId="1300" xr:uid="{00000000-0005-0000-0000-0000C6030000}"/>
    <cellStyle name="Vírgula 2 3 7 4" xfId="1010" xr:uid="{00000000-0005-0000-0000-0000C7030000}"/>
    <cellStyle name="Vírgula 2 3 8" xfId="328" xr:uid="{00000000-0005-0000-0000-0000C8030000}"/>
    <cellStyle name="Vírgula 2 3 8 2" xfId="552" xr:uid="{00000000-0005-0000-0000-0000C9030000}"/>
    <cellStyle name="Vírgula 2 3 8 2 2" xfId="856" xr:uid="{00000000-0005-0000-0000-0000CA030000}"/>
    <cellStyle name="Vírgula 2 3 8 2 2 2" xfId="1445" xr:uid="{00000000-0005-0000-0000-0000CB030000}"/>
    <cellStyle name="Vírgula 2 3 8 2 3" xfId="1155" xr:uid="{00000000-0005-0000-0000-0000CC030000}"/>
    <cellStyle name="Vírgula 2 3 8 3" xfId="717" xr:uid="{00000000-0005-0000-0000-0000CD030000}"/>
    <cellStyle name="Vírgula 2 3 8 3 2" xfId="1306" xr:uid="{00000000-0005-0000-0000-0000CE030000}"/>
    <cellStyle name="Vírgula 2 3 8 4" xfId="1016" xr:uid="{00000000-0005-0000-0000-0000CF030000}"/>
    <cellStyle name="Vírgula 2 3 9" xfId="334" xr:uid="{00000000-0005-0000-0000-0000D0030000}"/>
    <cellStyle name="Vírgula 2 3 9 2" xfId="558" xr:uid="{00000000-0005-0000-0000-0000D1030000}"/>
    <cellStyle name="Vírgula 2 3 9 2 2" xfId="862" xr:uid="{00000000-0005-0000-0000-0000D2030000}"/>
    <cellStyle name="Vírgula 2 3 9 2 2 2" xfId="1451" xr:uid="{00000000-0005-0000-0000-0000D3030000}"/>
    <cellStyle name="Vírgula 2 3 9 2 3" xfId="1161" xr:uid="{00000000-0005-0000-0000-0000D4030000}"/>
    <cellStyle name="Vírgula 2 3 9 3" xfId="723" xr:uid="{00000000-0005-0000-0000-0000D5030000}"/>
    <cellStyle name="Vírgula 2 3 9 3 2" xfId="1312" xr:uid="{00000000-0005-0000-0000-0000D6030000}"/>
    <cellStyle name="Vírgula 2 3 9 4" xfId="1022" xr:uid="{00000000-0005-0000-0000-0000D7030000}"/>
    <cellStyle name="Vírgula 2 30" xfId="339" xr:uid="{00000000-0005-0000-0000-0000D8030000}"/>
    <cellStyle name="Vírgula 2 30 2" xfId="563" xr:uid="{00000000-0005-0000-0000-0000D9030000}"/>
    <cellStyle name="Vírgula 2 30 2 2" xfId="865" xr:uid="{00000000-0005-0000-0000-0000DA030000}"/>
    <cellStyle name="Vírgula 2 30 2 2 2" xfId="1454" xr:uid="{00000000-0005-0000-0000-0000DB030000}"/>
    <cellStyle name="Vírgula 2 30 2 3" xfId="1164" xr:uid="{00000000-0005-0000-0000-0000DC030000}"/>
    <cellStyle name="Vírgula 2 30 3" xfId="726" xr:uid="{00000000-0005-0000-0000-0000DD030000}"/>
    <cellStyle name="Vírgula 2 30 3 2" xfId="1315" xr:uid="{00000000-0005-0000-0000-0000DE030000}"/>
    <cellStyle name="Vírgula 2 30 4" xfId="1025" xr:uid="{00000000-0005-0000-0000-0000DF030000}"/>
    <cellStyle name="Vírgula 2 31" xfId="342" xr:uid="{00000000-0005-0000-0000-0000E0030000}"/>
    <cellStyle name="Vírgula 2 31 2" xfId="566" xr:uid="{00000000-0005-0000-0000-0000E1030000}"/>
    <cellStyle name="Vírgula 2 31 2 2" xfId="867" xr:uid="{00000000-0005-0000-0000-0000E2030000}"/>
    <cellStyle name="Vírgula 2 31 2 2 2" xfId="1456" xr:uid="{00000000-0005-0000-0000-0000E3030000}"/>
    <cellStyle name="Vírgula 2 31 2 3" xfId="1166" xr:uid="{00000000-0005-0000-0000-0000E4030000}"/>
    <cellStyle name="Vírgula 2 31 3" xfId="728" xr:uid="{00000000-0005-0000-0000-0000E5030000}"/>
    <cellStyle name="Vírgula 2 31 3 2" xfId="1317" xr:uid="{00000000-0005-0000-0000-0000E6030000}"/>
    <cellStyle name="Vírgula 2 31 4" xfId="1027" xr:uid="{00000000-0005-0000-0000-0000E7030000}"/>
    <cellStyle name="Vírgula 2 32" xfId="345" xr:uid="{00000000-0005-0000-0000-0000E8030000}"/>
    <cellStyle name="Vírgula 2 32 2" xfId="569" xr:uid="{00000000-0005-0000-0000-0000E9030000}"/>
    <cellStyle name="Vírgula 2 32 2 2" xfId="868" xr:uid="{00000000-0005-0000-0000-0000EA030000}"/>
    <cellStyle name="Vírgula 2 32 2 2 2" xfId="1457" xr:uid="{00000000-0005-0000-0000-0000EB030000}"/>
    <cellStyle name="Vírgula 2 32 2 3" xfId="1167" xr:uid="{00000000-0005-0000-0000-0000EC030000}"/>
    <cellStyle name="Vírgula 2 32 3" xfId="729" xr:uid="{00000000-0005-0000-0000-0000ED030000}"/>
    <cellStyle name="Vírgula 2 32 3 2" xfId="1318" xr:uid="{00000000-0005-0000-0000-0000EE030000}"/>
    <cellStyle name="Vírgula 2 32 4" xfId="1028" xr:uid="{00000000-0005-0000-0000-0000EF030000}"/>
    <cellStyle name="Vírgula 2 33" xfId="348" xr:uid="{00000000-0005-0000-0000-0000F0030000}"/>
    <cellStyle name="Vírgula 2 33 2" xfId="572" xr:uid="{00000000-0005-0000-0000-0000F1030000}"/>
    <cellStyle name="Vírgula 2 33 2 2" xfId="869" xr:uid="{00000000-0005-0000-0000-0000F2030000}"/>
    <cellStyle name="Vírgula 2 33 2 2 2" xfId="1458" xr:uid="{00000000-0005-0000-0000-0000F3030000}"/>
    <cellStyle name="Vírgula 2 33 2 3" xfId="1168" xr:uid="{00000000-0005-0000-0000-0000F4030000}"/>
    <cellStyle name="Vírgula 2 33 3" xfId="730" xr:uid="{00000000-0005-0000-0000-0000F5030000}"/>
    <cellStyle name="Vírgula 2 33 3 2" xfId="1319" xr:uid="{00000000-0005-0000-0000-0000F6030000}"/>
    <cellStyle name="Vírgula 2 33 4" xfId="1029" xr:uid="{00000000-0005-0000-0000-0000F7030000}"/>
    <cellStyle name="Vírgula 2 34" xfId="349" xr:uid="{00000000-0005-0000-0000-0000F8030000}"/>
    <cellStyle name="Vírgula 2 34 2" xfId="573" xr:uid="{00000000-0005-0000-0000-0000F9030000}"/>
    <cellStyle name="Vírgula 2 34 2 2" xfId="870" xr:uid="{00000000-0005-0000-0000-0000FA030000}"/>
    <cellStyle name="Vírgula 2 34 2 2 2" xfId="1459" xr:uid="{00000000-0005-0000-0000-0000FB030000}"/>
    <cellStyle name="Vírgula 2 34 2 3" xfId="1169" xr:uid="{00000000-0005-0000-0000-0000FC030000}"/>
    <cellStyle name="Vírgula 2 34 3" xfId="731" xr:uid="{00000000-0005-0000-0000-0000FD030000}"/>
    <cellStyle name="Vírgula 2 34 3 2" xfId="1320" xr:uid="{00000000-0005-0000-0000-0000FE030000}"/>
    <cellStyle name="Vírgula 2 34 4" xfId="1030" xr:uid="{00000000-0005-0000-0000-0000FF030000}"/>
    <cellStyle name="Vírgula 2 35" xfId="355" xr:uid="{00000000-0005-0000-0000-000000040000}"/>
    <cellStyle name="Vírgula 2 35 2" xfId="579" xr:uid="{00000000-0005-0000-0000-000001040000}"/>
    <cellStyle name="Vírgula 2 35 2 2" xfId="876" xr:uid="{00000000-0005-0000-0000-000002040000}"/>
    <cellStyle name="Vírgula 2 35 2 2 2" xfId="1465" xr:uid="{00000000-0005-0000-0000-000003040000}"/>
    <cellStyle name="Vírgula 2 35 2 3" xfId="1175" xr:uid="{00000000-0005-0000-0000-000004040000}"/>
    <cellStyle name="Vírgula 2 35 3" xfId="737" xr:uid="{00000000-0005-0000-0000-000005040000}"/>
    <cellStyle name="Vírgula 2 35 3 2" xfId="1326" xr:uid="{00000000-0005-0000-0000-000006040000}"/>
    <cellStyle name="Vírgula 2 35 4" xfId="1036" xr:uid="{00000000-0005-0000-0000-000007040000}"/>
    <cellStyle name="Vírgula 2 36" xfId="361" xr:uid="{00000000-0005-0000-0000-000008040000}"/>
    <cellStyle name="Vírgula 2 36 2" xfId="585" xr:uid="{00000000-0005-0000-0000-000009040000}"/>
    <cellStyle name="Vírgula 2 36 2 2" xfId="882" xr:uid="{00000000-0005-0000-0000-00000A040000}"/>
    <cellStyle name="Vírgula 2 36 2 2 2" xfId="1471" xr:uid="{00000000-0005-0000-0000-00000B040000}"/>
    <cellStyle name="Vírgula 2 36 2 3" xfId="1181" xr:uid="{00000000-0005-0000-0000-00000C040000}"/>
    <cellStyle name="Vírgula 2 36 3" xfId="743" xr:uid="{00000000-0005-0000-0000-00000D040000}"/>
    <cellStyle name="Vírgula 2 36 3 2" xfId="1332" xr:uid="{00000000-0005-0000-0000-00000E040000}"/>
    <cellStyle name="Vírgula 2 36 4" xfId="1042" xr:uid="{00000000-0005-0000-0000-00000F040000}"/>
    <cellStyle name="Vírgula 2 37" xfId="367" xr:uid="{00000000-0005-0000-0000-000010040000}"/>
    <cellStyle name="Vírgula 2 37 2" xfId="586" xr:uid="{00000000-0005-0000-0000-000011040000}"/>
    <cellStyle name="Vírgula 2 37 2 2" xfId="883" xr:uid="{00000000-0005-0000-0000-000012040000}"/>
    <cellStyle name="Vírgula 2 37 2 2 2" xfId="1472" xr:uid="{00000000-0005-0000-0000-000013040000}"/>
    <cellStyle name="Vírgula 2 37 2 3" xfId="1182" xr:uid="{00000000-0005-0000-0000-000014040000}"/>
    <cellStyle name="Vírgula 2 37 3" xfId="744" xr:uid="{00000000-0005-0000-0000-000015040000}"/>
    <cellStyle name="Vírgula 2 37 3 2" xfId="1333" xr:uid="{00000000-0005-0000-0000-000016040000}"/>
    <cellStyle name="Vírgula 2 37 4" xfId="1043" xr:uid="{00000000-0005-0000-0000-000017040000}"/>
    <cellStyle name="Vírgula 2 38" xfId="379" xr:uid="{00000000-0005-0000-0000-000018040000}"/>
    <cellStyle name="Vírgula 2 38 2" xfId="598" xr:uid="{00000000-0005-0000-0000-000019040000}"/>
    <cellStyle name="Vírgula 2 38 2 2" xfId="893" xr:uid="{00000000-0005-0000-0000-00001A040000}"/>
    <cellStyle name="Vírgula 2 38 2 2 2" xfId="1482" xr:uid="{00000000-0005-0000-0000-00001B040000}"/>
    <cellStyle name="Vírgula 2 38 2 3" xfId="1192" xr:uid="{00000000-0005-0000-0000-00001C040000}"/>
    <cellStyle name="Vírgula 2 38 3" xfId="754" xr:uid="{00000000-0005-0000-0000-00001D040000}"/>
    <cellStyle name="Vírgula 2 38 3 2" xfId="1343" xr:uid="{00000000-0005-0000-0000-00001E040000}"/>
    <cellStyle name="Vírgula 2 38 4" xfId="1053" xr:uid="{00000000-0005-0000-0000-00001F040000}"/>
    <cellStyle name="Vírgula 2 39" xfId="388" xr:uid="{00000000-0005-0000-0000-000020040000}"/>
    <cellStyle name="Vírgula 2 39 2" xfId="602" xr:uid="{00000000-0005-0000-0000-000021040000}"/>
    <cellStyle name="Vírgula 2 39 2 2" xfId="896" xr:uid="{00000000-0005-0000-0000-000022040000}"/>
    <cellStyle name="Vírgula 2 39 2 2 2" xfId="1485" xr:uid="{00000000-0005-0000-0000-000023040000}"/>
    <cellStyle name="Vírgula 2 39 2 3" xfId="1195" xr:uid="{00000000-0005-0000-0000-000024040000}"/>
    <cellStyle name="Vírgula 2 39 3" xfId="757" xr:uid="{00000000-0005-0000-0000-000025040000}"/>
    <cellStyle name="Vírgula 2 39 3 2" xfId="1346" xr:uid="{00000000-0005-0000-0000-000026040000}"/>
    <cellStyle name="Vírgula 2 39 4" xfId="1056" xr:uid="{00000000-0005-0000-0000-000027040000}"/>
    <cellStyle name="Vírgula 2 4" xfId="165" xr:uid="{00000000-0005-0000-0000-000028040000}"/>
    <cellStyle name="Vírgula 2 4 2" xfId="371" xr:uid="{00000000-0005-0000-0000-000029040000}"/>
    <cellStyle name="Vírgula 2 4 2 2" xfId="590" xr:uid="{00000000-0005-0000-0000-00002A040000}"/>
    <cellStyle name="Vírgula 2 4 2 2 2" xfId="887" xr:uid="{00000000-0005-0000-0000-00002B040000}"/>
    <cellStyle name="Vírgula 2 4 2 2 2 2" xfId="1476" xr:uid="{00000000-0005-0000-0000-00002C040000}"/>
    <cellStyle name="Vírgula 2 4 2 2 3" xfId="1186" xr:uid="{00000000-0005-0000-0000-00002D040000}"/>
    <cellStyle name="Vírgula 2 4 2 3" xfId="632" xr:uid="{00000000-0005-0000-0000-00002E040000}"/>
    <cellStyle name="Vírgula 2 4 2 3 2" xfId="925" xr:uid="{00000000-0005-0000-0000-00002F040000}"/>
    <cellStyle name="Vírgula 2 4 2 3 2 2" xfId="1514" xr:uid="{00000000-0005-0000-0000-000030040000}"/>
    <cellStyle name="Vírgula 2 4 2 3 3" xfId="1224" xr:uid="{00000000-0005-0000-0000-000031040000}"/>
    <cellStyle name="Vírgula 2 4 2 4" xfId="748" xr:uid="{00000000-0005-0000-0000-000032040000}"/>
    <cellStyle name="Vírgula 2 4 2 4 2" xfId="1337" xr:uid="{00000000-0005-0000-0000-000033040000}"/>
    <cellStyle name="Vírgula 2 4 2 5" xfId="1047" xr:uid="{00000000-0005-0000-0000-000034040000}"/>
    <cellStyle name="Vírgula 2 4 3" xfId="392" xr:uid="{00000000-0005-0000-0000-000035040000}"/>
    <cellStyle name="Vírgula 2 4 3 2" xfId="606" xr:uid="{00000000-0005-0000-0000-000036040000}"/>
    <cellStyle name="Vírgula 2 4 3 2 2" xfId="900" xr:uid="{00000000-0005-0000-0000-000037040000}"/>
    <cellStyle name="Vírgula 2 4 3 2 2 2" xfId="1489" xr:uid="{00000000-0005-0000-0000-000038040000}"/>
    <cellStyle name="Vírgula 2 4 3 2 3" xfId="1199" xr:uid="{00000000-0005-0000-0000-000039040000}"/>
    <cellStyle name="Vírgula 2 4 3 3" xfId="761" xr:uid="{00000000-0005-0000-0000-00003A040000}"/>
    <cellStyle name="Vírgula 2 4 3 3 2" xfId="1350" xr:uid="{00000000-0005-0000-0000-00003B040000}"/>
    <cellStyle name="Vírgula 2 4 3 4" xfId="1060" xr:uid="{00000000-0005-0000-0000-00003C040000}"/>
    <cellStyle name="Vírgula 2 4 4" xfId="446" xr:uid="{00000000-0005-0000-0000-00003D040000}"/>
    <cellStyle name="Vírgula 2 4 4 2" xfId="778" xr:uid="{00000000-0005-0000-0000-00003E040000}"/>
    <cellStyle name="Vírgula 2 4 4 2 2" xfId="1367" xr:uid="{00000000-0005-0000-0000-00003F040000}"/>
    <cellStyle name="Vírgula 2 4 4 3" xfId="1077" xr:uid="{00000000-0005-0000-0000-000040040000}"/>
    <cellStyle name="Vírgula 2 4 5" xfId="631" xr:uid="{00000000-0005-0000-0000-000041040000}"/>
    <cellStyle name="Vírgula 2 4 5 2" xfId="924" xr:uid="{00000000-0005-0000-0000-000042040000}"/>
    <cellStyle name="Vírgula 2 4 5 2 2" xfId="1513" xr:uid="{00000000-0005-0000-0000-000043040000}"/>
    <cellStyle name="Vírgula 2 4 5 3" xfId="1223" xr:uid="{00000000-0005-0000-0000-000044040000}"/>
    <cellStyle name="Vírgula 2 40" xfId="624" xr:uid="{00000000-0005-0000-0000-000045040000}"/>
    <cellStyle name="Vírgula 2 40 2" xfId="917" xr:uid="{00000000-0005-0000-0000-000046040000}"/>
    <cellStyle name="Vírgula 2 40 2 2" xfId="1506" xr:uid="{00000000-0005-0000-0000-000047040000}"/>
    <cellStyle name="Vírgula 2 40 3" xfId="1216" xr:uid="{00000000-0005-0000-0000-000048040000}"/>
    <cellStyle name="Vírgula 2 5" xfId="201" xr:uid="{00000000-0005-0000-0000-000049040000}"/>
    <cellStyle name="Vírgula 2 5 10" xfId="311" xr:uid="{00000000-0005-0000-0000-00004A040000}"/>
    <cellStyle name="Vírgula 2 5 10 2" xfId="535" xr:uid="{00000000-0005-0000-0000-00004B040000}"/>
    <cellStyle name="Vírgula 2 5 10 2 2" xfId="839" xr:uid="{00000000-0005-0000-0000-00004C040000}"/>
    <cellStyle name="Vírgula 2 5 10 2 2 2" xfId="1428" xr:uid="{00000000-0005-0000-0000-00004D040000}"/>
    <cellStyle name="Vírgula 2 5 10 2 3" xfId="1138" xr:uid="{00000000-0005-0000-0000-00004E040000}"/>
    <cellStyle name="Vírgula 2 5 10 3" xfId="700" xr:uid="{00000000-0005-0000-0000-00004F040000}"/>
    <cellStyle name="Vírgula 2 5 10 3 2" xfId="1289" xr:uid="{00000000-0005-0000-0000-000050040000}"/>
    <cellStyle name="Vírgula 2 5 10 4" xfId="999" xr:uid="{00000000-0005-0000-0000-000051040000}"/>
    <cellStyle name="Vírgula 2 5 11" xfId="317" xr:uid="{00000000-0005-0000-0000-000052040000}"/>
    <cellStyle name="Vírgula 2 5 11 2" xfId="541" xr:uid="{00000000-0005-0000-0000-000053040000}"/>
    <cellStyle name="Vírgula 2 5 11 2 2" xfId="845" xr:uid="{00000000-0005-0000-0000-000054040000}"/>
    <cellStyle name="Vírgula 2 5 11 2 2 2" xfId="1434" xr:uid="{00000000-0005-0000-0000-000055040000}"/>
    <cellStyle name="Vírgula 2 5 11 2 3" xfId="1144" xr:uid="{00000000-0005-0000-0000-000056040000}"/>
    <cellStyle name="Vírgula 2 5 11 3" xfId="706" xr:uid="{00000000-0005-0000-0000-000057040000}"/>
    <cellStyle name="Vírgula 2 5 11 3 2" xfId="1295" xr:uid="{00000000-0005-0000-0000-000058040000}"/>
    <cellStyle name="Vírgula 2 5 11 4" xfId="1005" xr:uid="{00000000-0005-0000-0000-000059040000}"/>
    <cellStyle name="Vírgula 2 5 12" xfId="323" xr:uid="{00000000-0005-0000-0000-00005A040000}"/>
    <cellStyle name="Vírgula 2 5 12 2" xfId="547" xr:uid="{00000000-0005-0000-0000-00005B040000}"/>
    <cellStyle name="Vírgula 2 5 12 2 2" xfId="851" xr:uid="{00000000-0005-0000-0000-00005C040000}"/>
    <cellStyle name="Vírgula 2 5 12 2 2 2" xfId="1440" xr:uid="{00000000-0005-0000-0000-00005D040000}"/>
    <cellStyle name="Vírgula 2 5 12 2 3" xfId="1150" xr:uid="{00000000-0005-0000-0000-00005E040000}"/>
    <cellStyle name="Vírgula 2 5 12 3" xfId="712" xr:uid="{00000000-0005-0000-0000-00005F040000}"/>
    <cellStyle name="Vírgula 2 5 12 3 2" xfId="1301" xr:uid="{00000000-0005-0000-0000-000060040000}"/>
    <cellStyle name="Vírgula 2 5 12 4" xfId="1011" xr:uid="{00000000-0005-0000-0000-000061040000}"/>
    <cellStyle name="Vírgula 2 5 13" xfId="329" xr:uid="{00000000-0005-0000-0000-000062040000}"/>
    <cellStyle name="Vírgula 2 5 13 2" xfId="553" xr:uid="{00000000-0005-0000-0000-000063040000}"/>
    <cellStyle name="Vírgula 2 5 13 2 2" xfId="857" xr:uid="{00000000-0005-0000-0000-000064040000}"/>
    <cellStyle name="Vírgula 2 5 13 2 2 2" xfId="1446" xr:uid="{00000000-0005-0000-0000-000065040000}"/>
    <cellStyle name="Vírgula 2 5 13 2 3" xfId="1156" xr:uid="{00000000-0005-0000-0000-000066040000}"/>
    <cellStyle name="Vírgula 2 5 13 3" xfId="718" xr:uid="{00000000-0005-0000-0000-000067040000}"/>
    <cellStyle name="Vírgula 2 5 13 3 2" xfId="1307" xr:uid="{00000000-0005-0000-0000-000068040000}"/>
    <cellStyle name="Vírgula 2 5 13 4" xfId="1017" xr:uid="{00000000-0005-0000-0000-000069040000}"/>
    <cellStyle name="Vírgula 2 5 14" xfId="335" xr:uid="{00000000-0005-0000-0000-00006A040000}"/>
    <cellStyle name="Vírgula 2 5 14 2" xfId="559" xr:uid="{00000000-0005-0000-0000-00006B040000}"/>
    <cellStyle name="Vírgula 2 5 14 2 2" xfId="863" xr:uid="{00000000-0005-0000-0000-00006C040000}"/>
    <cellStyle name="Vírgula 2 5 14 2 2 2" xfId="1452" xr:uid="{00000000-0005-0000-0000-00006D040000}"/>
    <cellStyle name="Vírgula 2 5 14 2 3" xfId="1162" xr:uid="{00000000-0005-0000-0000-00006E040000}"/>
    <cellStyle name="Vírgula 2 5 14 3" xfId="724" xr:uid="{00000000-0005-0000-0000-00006F040000}"/>
    <cellStyle name="Vírgula 2 5 14 3 2" xfId="1313" xr:uid="{00000000-0005-0000-0000-000070040000}"/>
    <cellStyle name="Vírgula 2 5 14 4" xfId="1023" xr:uid="{00000000-0005-0000-0000-000071040000}"/>
    <cellStyle name="Vírgula 2 5 15" xfId="353" xr:uid="{00000000-0005-0000-0000-000072040000}"/>
    <cellStyle name="Vírgula 2 5 15 2" xfId="577" xr:uid="{00000000-0005-0000-0000-000073040000}"/>
    <cellStyle name="Vírgula 2 5 15 2 2" xfId="874" xr:uid="{00000000-0005-0000-0000-000074040000}"/>
    <cellStyle name="Vírgula 2 5 15 2 2 2" xfId="1463" xr:uid="{00000000-0005-0000-0000-000075040000}"/>
    <cellStyle name="Vírgula 2 5 15 2 3" xfId="1173" xr:uid="{00000000-0005-0000-0000-000076040000}"/>
    <cellStyle name="Vírgula 2 5 15 3" xfId="735" xr:uid="{00000000-0005-0000-0000-000077040000}"/>
    <cellStyle name="Vírgula 2 5 15 3 2" xfId="1324" xr:uid="{00000000-0005-0000-0000-000078040000}"/>
    <cellStyle name="Vírgula 2 5 15 4" xfId="1034" xr:uid="{00000000-0005-0000-0000-000079040000}"/>
    <cellStyle name="Vírgula 2 5 16" xfId="359" xr:uid="{00000000-0005-0000-0000-00007A040000}"/>
    <cellStyle name="Vírgula 2 5 16 2" xfId="583" xr:uid="{00000000-0005-0000-0000-00007B040000}"/>
    <cellStyle name="Vírgula 2 5 16 2 2" xfId="880" xr:uid="{00000000-0005-0000-0000-00007C040000}"/>
    <cellStyle name="Vírgula 2 5 16 2 2 2" xfId="1469" xr:uid="{00000000-0005-0000-0000-00007D040000}"/>
    <cellStyle name="Vírgula 2 5 16 2 3" xfId="1179" xr:uid="{00000000-0005-0000-0000-00007E040000}"/>
    <cellStyle name="Vírgula 2 5 16 3" xfId="741" xr:uid="{00000000-0005-0000-0000-00007F040000}"/>
    <cellStyle name="Vírgula 2 5 16 3 2" xfId="1330" xr:uid="{00000000-0005-0000-0000-000080040000}"/>
    <cellStyle name="Vírgula 2 5 16 4" xfId="1040" xr:uid="{00000000-0005-0000-0000-000081040000}"/>
    <cellStyle name="Vírgula 2 5 17" xfId="372" xr:uid="{00000000-0005-0000-0000-000082040000}"/>
    <cellStyle name="Vírgula 2 5 17 2" xfId="591" xr:uid="{00000000-0005-0000-0000-000083040000}"/>
    <cellStyle name="Vírgula 2 5 17 2 2" xfId="888" xr:uid="{00000000-0005-0000-0000-000084040000}"/>
    <cellStyle name="Vírgula 2 5 17 2 2 2" xfId="1477" xr:uid="{00000000-0005-0000-0000-000085040000}"/>
    <cellStyle name="Vírgula 2 5 17 2 3" xfId="1187" xr:uid="{00000000-0005-0000-0000-000086040000}"/>
    <cellStyle name="Vírgula 2 5 17 3" xfId="749" xr:uid="{00000000-0005-0000-0000-000087040000}"/>
    <cellStyle name="Vírgula 2 5 17 3 2" xfId="1338" xr:uid="{00000000-0005-0000-0000-000088040000}"/>
    <cellStyle name="Vírgula 2 5 17 4" xfId="1048" xr:uid="{00000000-0005-0000-0000-000089040000}"/>
    <cellStyle name="Vírgula 2 5 18" xfId="393" xr:uid="{00000000-0005-0000-0000-00008A040000}"/>
    <cellStyle name="Vírgula 2 5 18 2" xfId="607" xr:uid="{00000000-0005-0000-0000-00008B040000}"/>
    <cellStyle name="Vírgula 2 5 18 2 2" xfId="901" xr:uid="{00000000-0005-0000-0000-00008C040000}"/>
    <cellStyle name="Vírgula 2 5 18 2 2 2" xfId="1490" xr:uid="{00000000-0005-0000-0000-00008D040000}"/>
    <cellStyle name="Vírgula 2 5 18 2 3" xfId="1200" xr:uid="{00000000-0005-0000-0000-00008E040000}"/>
    <cellStyle name="Vírgula 2 5 18 3" xfId="762" xr:uid="{00000000-0005-0000-0000-00008F040000}"/>
    <cellStyle name="Vírgula 2 5 18 3 2" xfId="1351" xr:uid="{00000000-0005-0000-0000-000090040000}"/>
    <cellStyle name="Vírgula 2 5 18 4" xfId="1061" xr:uid="{00000000-0005-0000-0000-000091040000}"/>
    <cellStyle name="Vírgula 2 5 19" xfId="456" xr:uid="{00000000-0005-0000-0000-000092040000}"/>
    <cellStyle name="Vírgula 2 5 19 2" xfId="779" xr:uid="{00000000-0005-0000-0000-000093040000}"/>
    <cellStyle name="Vírgula 2 5 19 2 2" xfId="1368" xr:uid="{00000000-0005-0000-0000-000094040000}"/>
    <cellStyle name="Vírgula 2 5 19 3" xfId="1078" xr:uid="{00000000-0005-0000-0000-000095040000}"/>
    <cellStyle name="Vírgula 2 5 2" xfId="258" xr:uid="{00000000-0005-0000-0000-000096040000}"/>
    <cellStyle name="Vírgula 2 5 2 2" xfId="488" xr:uid="{00000000-0005-0000-0000-000097040000}"/>
    <cellStyle name="Vírgula 2 5 2 2 2" xfId="801" xr:uid="{00000000-0005-0000-0000-000098040000}"/>
    <cellStyle name="Vírgula 2 5 2 2 2 2" xfId="1390" xr:uid="{00000000-0005-0000-0000-000099040000}"/>
    <cellStyle name="Vírgula 2 5 2 2 3" xfId="1100" xr:uid="{00000000-0005-0000-0000-00009A040000}"/>
    <cellStyle name="Vírgula 2 5 2 3" xfId="634" xr:uid="{00000000-0005-0000-0000-00009B040000}"/>
    <cellStyle name="Vírgula 2 5 2 3 2" xfId="927" xr:uid="{00000000-0005-0000-0000-00009C040000}"/>
    <cellStyle name="Vírgula 2 5 2 3 2 2" xfId="1516" xr:uid="{00000000-0005-0000-0000-00009D040000}"/>
    <cellStyle name="Vírgula 2 5 2 3 3" xfId="1226" xr:uid="{00000000-0005-0000-0000-00009E040000}"/>
    <cellStyle name="Vírgula 2 5 2 4" xfId="662" xr:uid="{00000000-0005-0000-0000-00009F040000}"/>
    <cellStyle name="Vírgula 2 5 2 4 2" xfId="1251" xr:uid="{00000000-0005-0000-0000-0000A0040000}"/>
    <cellStyle name="Vírgula 2 5 2 5" xfId="960" xr:uid="{00000000-0005-0000-0000-0000A1040000}"/>
    <cellStyle name="Vírgula 2 5 20" xfId="633" xr:uid="{00000000-0005-0000-0000-0000A2040000}"/>
    <cellStyle name="Vírgula 2 5 20 2" xfId="926" xr:uid="{00000000-0005-0000-0000-0000A3040000}"/>
    <cellStyle name="Vírgula 2 5 20 2 2" xfId="1515" xr:uid="{00000000-0005-0000-0000-0000A4040000}"/>
    <cellStyle name="Vírgula 2 5 20 3" xfId="1225" xr:uid="{00000000-0005-0000-0000-0000A5040000}"/>
    <cellStyle name="Vírgula 2 5 3" xfId="261" xr:uid="{00000000-0005-0000-0000-0000A6040000}"/>
    <cellStyle name="Vírgula 2 5 3 2" xfId="491" xr:uid="{00000000-0005-0000-0000-0000A7040000}"/>
    <cellStyle name="Vírgula 2 5 3 2 2" xfId="804" xr:uid="{00000000-0005-0000-0000-0000A8040000}"/>
    <cellStyle name="Vírgula 2 5 3 2 2 2" xfId="1393" xr:uid="{00000000-0005-0000-0000-0000A9040000}"/>
    <cellStyle name="Vírgula 2 5 3 2 3" xfId="1103" xr:uid="{00000000-0005-0000-0000-0000AA040000}"/>
    <cellStyle name="Vírgula 2 5 3 3" xfId="665" xr:uid="{00000000-0005-0000-0000-0000AB040000}"/>
    <cellStyle name="Vírgula 2 5 3 3 2" xfId="1254" xr:uid="{00000000-0005-0000-0000-0000AC040000}"/>
    <cellStyle name="Vírgula 2 5 3 4" xfId="963" xr:uid="{00000000-0005-0000-0000-0000AD040000}"/>
    <cellStyle name="Vírgula 2 5 4" xfId="264" xr:uid="{00000000-0005-0000-0000-0000AE040000}"/>
    <cellStyle name="Vírgula 2 5 4 2" xfId="494" xr:uid="{00000000-0005-0000-0000-0000AF040000}"/>
    <cellStyle name="Vírgula 2 5 4 2 2" xfId="807" xr:uid="{00000000-0005-0000-0000-0000B0040000}"/>
    <cellStyle name="Vírgula 2 5 4 2 2 2" xfId="1396" xr:uid="{00000000-0005-0000-0000-0000B1040000}"/>
    <cellStyle name="Vírgula 2 5 4 2 3" xfId="1106" xr:uid="{00000000-0005-0000-0000-0000B2040000}"/>
    <cellStyle name="Vírgula 2 5 4 3" xfId="668" xr:uid="{00000000-0005-0000-0000-0000B3040000}"/>
    <cellStyle name="Vírgula 2 5 4 3 2" xfId="1257" xr:uid="{00000000-0005-0000-0000-0000B4040000}"/>
    <cellStyle name="Vírgula 2 5 4 4" xfId="966" xr:uid="{00000000-0005-0000-0000-0000B5040000}"/>
    <cellStyle name="Vírgula 2 5 5" xfId="267" xr:uid="{00000000-0005-0000-0000-0000B6040000}"/>
    <cellStyle name="Vírgula 2 5 5 2" xfId="497" xr:uid="{00000000-0005-0000-0000-0000B7040000}"/>
    <cellStyle name="Vírgula 2 5 5 2 2" xfId="810" xr:uid="{00000000-0005-0000-0000-0000B8040000}"/>
    <cellStyle name="Vírgula 2 5 5 2 2 2" xfId="1399" xr:uid="{00000000-0005-0000-0000-0000B9040000}"/>
    <cellStyle name="Vírgula 2 5 5 2 3" xfId="1109" xr:uid="{00000000-0005-0000-0000-0000BA040000}"/>
    <cellStyle name="Vírgula 2 5 5 3" xfId="671" xr:uid="{00000000-0005-0000-0000-0000BB040000}"/>
    <cellStyle name="Vírgula 2 5 5 3 2" xfId="1260" xr:uid="{00000000-0005-0000-0000-0000BC040000}"/>
    <cellStyle name="Vírgula 2 5 5 4" xfId="969" xr:uid="{00000000-0005-0000-0000-0000BD040000}"/>
    <cellStyle name="Vírgula 2 5 6" xfId="273" xr:uid="{00000000-0005-0000-0000-0000BE040000}"/>
    <cellStyle name="Vírgula 2 5 6 2" xfId="503" xr:uid="{00000000-0005-0000-0000-0000BF040000}"/>
    <cellStyle name="Vírgula 2 5 6 2 2" xfId="814" xr:uid="{00000000-0005-0000-0000-0000C0040000}"/>
    <cellStyle name="Vírgula 2 5 6 2 2 2" xfId="1403" xr:uid="{00000000-0005-0000-0000-0000C1040000}"/>
    <cellStyle name="Vírgula 2 5 6 2 3" xfId="1113" xr:uid="{00000000-0005-0000-0000-0000C2040000}"/>
    <cellStyle name="Vírgula 2 5 6 3" xfId="675" xr:uid="{00000000-0005-0000-0000-0000C3040000}"/>
    <cellStyle name="Vírgula 2 5 6 3 2" xfId="1264" xr:uid="{00000000-0005-0000-0000-0000C4040000}"/>
    <cellStyle name="Vírgula 2 5 6 4" xfId="973" xr:uid="{00000000-0005-0000-0000-0000C5040000}"/>
    <cellStyle name="Vírgula 2 5 7" xfId="280" xr:uid="{00000000-0005-0000-0000-0000C6040000}"/>
    <cellStyle name="Vírgula 2 5 7 2" xfId="509" xr:uid="{00000000-0005-0000-0000-0000C7040000}"/>
    <cellStyle name="Vírgula 2 5 7 2 2" xfId="818" xr:uid="{00000000-0005-0000-0000-0000C8040000}"/>
    <cellStyle name="Vírgula 2 5 7 2 2 2" xfId="1407" xr:uid="{00000000-0005-0000-0000-0000C9040000}"/>
    <cellStyle name="Vírgula 2 5 7 2 3" xfId="1117" xr:uid="{00000000-0005-0000-0000-0000CA040000}"/>
    <cellStyle name="Vírgula 2 5 7 3" xfId="679" xr:uid="{00000000-0005-0000-0000-0000CB040000}"/>
    <cellStyle name="Vírgula 2 5 7 3 2" xfId="1268" xr:uid="{00000000-0005-0000-0000-0000CC040000}"/>
    <cellStyle name="Vírgula 2 5 7 4" xfId="978" xr:uid="{00000000-0005-0000-0000-0000CD040000}"/>
    <cellStyle name="Vírgula 2 5 8" xfId="286" xr:uid="{00000000-0005-0000-0000-0000CE040000}"/>
    <cellStyle name="Vírgula 2 5 8 2" xfId="513" xr:uid="{00000000-0005-0000-0000-0000CF040000}"/>
    <cellStyle name="Vírgula 2 5 8 2 2" xfId="822" xr:uid="{00000000-0005-0000-0000-0000D0040000}"/>
    <cellStyle name="Vírgula 2 5 8 2 2 2" xfId="1411" xr:uid="{00000000-0005-0000-0000-0000D1040000}"/>
    <cellStyle name="Vírgula 2 5 8 2 3" xfId="1121" xr:uid="{00000000-0005-0000-0000-0000D2040000}"/>
    <cellStyle name="Vírgula 2 5 8 3" xfId="683" xr:uid="{00000000-0005-0000-0000-0000D3040000}"/>
    <cellStyle name="Vírgula 2 5 8 3 2" xfId="1272" xr:uid="{00000000-0005-0000-0000-0000D4040000}"/>
    <cellStyle name="Vírgula 2 5 8 4" xfId="982" xr:uid="{00000000-0005-0000-0000-0000D5040000}"/>
    <cellStyle name="Vírgula 2 5 9" xfId="305" xr:uid="{00000000-0005-0000-0000-0000D6040000}"/>
    <cellStyle name="Vírgula 2 5 9 2" xfId="529" xr:uid="{00000000-0005-0000-0000-0000D7040000}"/>
    <cellStyle name="Vírgula 2 5 9 2 2" xfId="833" xr:uid="{00000000-0005-0000-0000-0000D8040000}"/>
    <cellStyle name="Vírgula 2 5 9 2 2 2" xfId="1422" xr:uid="{00000000-0005-0000-0000-0000D9040000}"/>
    <cellStyle name="Vírgula 2 5 9 2 3" xfId="1132" xr:uid="{00000000-0005-0000-0000-0000DA040000}"/>
    <cellStyle name="Vírgula 2 5 9 3" xfId="694" xr:uid="{00000000-0005-0000-0000-0000DB040000}"/>
    <cellStyle name="Vírgula 2 5 9 3 2" xfId="1283" xr:uid="{00000000-0005-0000-0000-0000DC040000}"/>
    <cellStyle name="Vírgula 2 5 9 4" xfId="993" xr:uid="{00000000-0005-0000-0000-0000DD040000}"/>
    <cellStyle name="Vírgula 2 58" xfId="282" xr:uid="{00000000-0005-0000-0000-0000DE040000}"/>
    <cellStyle name="Vírgula 2 58 2" xfId="510" xr:uid="{00000000-0005-0000-0000-0000DF040000}"/>
    <cellStyle name="Vírgula 2 58 2 2" xfId="819" xr:uid="{00000000-0005-0000-0000-0000E0040000}"/>
    <cellStyle name="Vírgula 2 58 2 2 2" xfId="1408" xr:uid="{00000000-0005-0000-0000-0000E1040000}"/>
    <cellStyle name="Vírgula 2 58 2 3" xfId="1118" xr:uid="{00000000-0005-0000-0000-0000E2040000}"/>
    <cellStyle name="Vírgula 2 58 3" xfId="680" xr:uid="{00000000-0005-0000-0000-0000E3040000}"/>
    <cellStyle name="Vírgula 2 58 3 2" xfId="1269" xr:uid="{00000000-0005-0000-0000-0000E4040000}"/>
    <cellStyle name="Vírgula 2 58 4" xfId="979" xr:uid="{00000000-0005-0000-0000-0000E5040000}"/>
    <cellStyle name="Vírgula 2 6" xfId="221" xr:uid="{00000000-0005-0000-0000-0000E6040000}"/>
    <cellStyle name="Vírgula 2 6 2" xfId="394" xr:uid="{00000000-0005-0000-0000-0000E7040000}"/>
    <cellStyle name="Vírgula 2 6 2 2" xfId="608" xr:uid="{00000000-0005-0000-0000-0000E8040000}"/>
    <cellStyle name="Vírgula 2 6 2 2 2" xfId="902" xr:uid="{00000000-0005-0000-0000-0000E9040000}"/>
    <cellStyle name="Vírgula 2 6 2 2 2 2" xfId="1491" xr:uid="{00000000-0005-0000-0000-0000EA040000}"/>
    <cellStyle name="Vírgula 2 6 2 2 3" xfId="1201" xr:uid="{00000000-0005-0000-0000-0000EB040000}"/>
    <cellStyle name="Vírgula 2 6 2 3" xfId="636" xr:uid="{00000000-0005-0000-0000-0000EC040000}"/>
    <cellStyle name="Vírgula 2 6 2 3 2" xfId="929" xr:uid="{00000000-0005-0000-0000-0000ED040000}"/>
    <cellStyle name="Vírgula 2 6 2 3 2 2" xfId="1518" xr:uid="{00000000-0005-0000-0000-0000EE040000}"/>
    <cellStyle name="Vírgula 2 6 2 3 3" xfId="1228" xr:uid="{00000000-0005-0000-0000-0000EF040000}"/>
    <cellStyle name="Vírgula 2 6 2 4" xfId="763" xr:uid="{00000000-0005-0000-0000-0000F0040000}"/>
    <cellStyle name="Vírgula 2 6 2 4 2" xfId="1352" xr:uid="{00000000-0005-0000-0000-0000F1040000}"/>
    <cellStyle name="Vírgula 2 6 2 5" xfId="1062" xr:uid="{00000000-0005-0000-0000-0000F2040000}"/>
    <cellStyle name="Vírgula 2 6 3" xfId="465" xr:uid="{00000000-0005-0000-0000-0000F3040000}"/>
    <cellStyle name="Vírgula 2 6 3 2" xfId="784" xr:uid="{00000000-0005-0000-0000-0000F4040000}"/>
    <cellStyle name="Vírgula 2 6 3 2 2" xfId="1373" xr:uid="{00000000-0005-0000-0000-0000F5040000}"/>
    <cellStyle name="Vírgula 2 6 3 3" xfId="1083" xr:uid="{00000000-0005-0000-0000-0000F6040000}"/>
    <cellStyle name="Vírgula 2 6 4" xfId="635" xr:uid="{00000000-0005-0000-0000-0000F7040000}"/>
    <cellStyle name="Vírgula 2 6 4 2" xfId="928" xr:uid="{00000000-0005-0000-0000-0000F8040000}"/>
    <cellStyle name="Vírgula 2 6 4 2 2" xfId="1517" xr:uid="{00000000-0005-0000-0000-0000F9040000}"/>
    <cellStyle name="Vírgula 2 6 4 3" xfId="1227" xr:uid="{00000000-0005-0000-0000-0000FA040000}"/>
    <cellStyle name="Vírgula 2 65" xfId="294" xr:uid="{00000000-0005-0000-0000-0000FB040000}"/>
    <cellStyle name="Vírgula 2 65 2" xfId="521" xr:uid="{00000000-0005-0000-0000-0000FC040000}"/>
    <cellStyle name="Vírgula 2 65 2 2" xfId="826" xr:uid="{00000000-0005-0000-0000-0000FD040000}"/>
    <cellStyle name="Vírgula 2 65 2 2 2" xfId="1415" xr:uid="{00000000-0005-0000-0000-0000FE040000}"/>
    <cellStyle name="Vírgula 2 65 2 3" xfId="1125" xr:uid="{00000000-0005-0000-0000-0000FF040000}"/>
    <cellStyle name="Vírgula 2 65 3" xfId="687" xr:uid="{00000000-0005-0000-0000-000000050000}"/>
    <cellStyle name="Vírgula 2 65 3 2" xfId="1276" xr:uid="{00000000-0005-0000-0000-000001050000}"/>
    <cellStyle name="Vírgula 2 65 4" xfId="986" xr:uid="{00000000-0005-0000-0000-000002050000}"/>
    <cellStyle name="Vírgula 2 68" xfId="340" xr:uid="{00000000-0005-0000-0000-000003050000}"/>
    <cellStyle name="Vírgula 2 68 2" xfId="564" xr:uid="{00000000-0005-0000-0000-000004050000}"/>
    <cellStyle name="Vírgula 2 68 2 2" xfId="866" xr:uid="{00000000-0005-0000-0000-000005050000}"/>
    <cellStyle name="Vírgula 2 68 2 2 2" xfId="1455" xr:uid="{00000000-0005-0000-0000-000006050000}"/>
    <cellStyle name="Vírgula 2 68 2 3" xfId="1165" xr:uid="{00000000-0005-0000-0000-000007050000}"/>
    <cellStyle name="Vírgula 2 68 3" xfId="727" xr:uid="{00000000-0005-0000-0000-000008050000}"/>
    <cellStyle name="Vírgula 2 68 3 2" xfId="1316" xr:uid="{00000000-0005-0000-0000-000009050000}"/>
    <cellStyle name="Vírgula 2 68 4" xfId="1026" xr:uid="{00000000-0005-0000-0000-00000A050000}"/>
    <cellStyle name="Vírgula 2 7" xfId="223" xr:uid="{00000000-0005-0000-0000-00000B050000}"/>
    <cellStyle name="Vírgula 2 7 2" xfId="395" xr:uid="{00000000-0005-0000-0000-00000C050000}"/>
    <cellStyle name="Vírgula 2 7 2 2" xfId="609" xr:uid="{00000000-0005-0000-0000-00000D050000}"/>
    <cellStyle name="Vírgula 2 7 2 2 2" xfId="903" xr:uid="{00000000-0005-0000-0000-00000E050000}"/>
    <cellStyle name="Vírgula 2 7 2 2 2 2" xfId="1492" xr:uid="{00000000-0005-0000-0000-00000F050000}"/>
    <cellStyle name="Vírgula 2 7 2 2 3" xfId="1202" xr:uid="{00000000-0005-0000-0000-000010050000}"/>
    <cellStyle name="Vírgula 2 7 2 3" xfId="638" xr:uid="{00000000-0005-0000-0000-000011050000}"/>
    <cellStyle name="Vírgula 2 7 2 3 2" xfId="931" xr:uid="{00000000-0005-0000-0000-000012050000}"/>
    <cellStyle name="Vírgula 2 7 2 3 2 2" xfId="1520" xr:uid="{00000000-0005-0000-0000-000013050000}"/>
    <cellStyle name="Vírgula 2 7 2 3 3" xfId="1230" xr:uid="{00000000-0005-0000-0000-000014050000}"/>
    <cellStyle name="Vírgula 2 7 2 4" xfId="764" xr:uid="{00000000-0005-0000-0000-000015050000}"/>
    <cellStyle name="Vírgula 2 7 2 4 2" xfId="1353" xr:uid="{00000000-0005-0000-0000-000016050000}"/>
    <cellStyle name="Vírgula 2 7 2 5" xfId="1063" xr:uid="{00000000-0005-0000-0000-000017050000}"/>
    <cellStyle name="Vírgula 2 7 3" xfId="466" xr:uid="{00000000-0005-0000-0000-000018050000}"/>
    <cellStyle name="Vírgula 2 7 3 2" xfId="785" xr:uid="{00000000-0005-0000-0000-000019050000}"/>
    <cellStyle name="Vírgula 2 7 3 2 2" xfId="1374" xr:uid="{00000000-0005-0000-0000-00001A050000}"/>
    <cellStyle name="Vírgula 2 7 3 3" xfId="1084" xr:uid="{00000000-0005-0000-0000-00001B050000}"/>
    <cellStyle name="Vírgula 2 7 4" xfId="637" xr:uid="{00000000-0005-0000-0000-00001C050000}"/>
    <cellStyle name="Vírgula 2 7 4 2" xfId="930" xr:uid="{00000000-0005-0000-0000-00001D050000}"/>
    <cellStyle name="Vírgula 2 7 4 2 2" xfId="1519" xr:uid="{00000000-0005-0000-0000-00001E050000}"/>
    <cellStyle name="Vírgula 2 7 4 3" xfId="1229" xr:uid="{00000000-0005-0000-0000-00001F050000}"/>
    <cellStyle name="Vírgula 2 8" xfId="226" xr:uid="{00000000-0005-0000-0000-000020050000}"/>
    <cellStyle name="Vírgula 2 8 2" xfId="468" xr:uid="{00000000-0005-0000-0000-000021050000}"/>
    <cellStyle name="Vírgula 2 8 2 2" xfId="787" xr:uid="{00000000-0005-0000-0000-000022050000}"/>
    <cellStyle name="Vírgula 2 8 2 2 2" xfId="1376" xr:uid="{00000000-0005-0000-0000-000023050000}"/>
    <cellStyle name="Vírgula 2 8 2 3" xfId="1086" xr:uid="{00000000-0005-0000-0000-000024050000}"/>
    <cellStyle name="Vírgula 2 8 3" xfId="639" xr:uid="{00000000-0005-0000-0000-000025050000}"/>
    <cellStyle name="Vírgula 2 8 3 2" xfId="932" xr:uid="{00000000-0005-0000-0000-000026050000}"/>
    <cellStyle name="Vírgula 2 8 3 2 2" xfId="1521" xr:uid="{00000000-0005-0000-0000-000027050000}"/>
    <cellStyle name="Vírgula 2 8 3 3" xfId="1231" xr:uid="{00000000-0005-0000-0000-000028050000}"/>
    <cellStyle name="Vírgula 2 9" xfId="230" xr:uid="{00000000-0005-0000-0000-000029050000}"/>
    <cellStyle name="Vírgula 2 9 2" xfId="470" xr:uid="{00000000-0005-0000-0000-00002A050000}"/>
    <cellStyle name="Vírgula 2 9 2 2" xfId="789" xr:uid="{00000000-0005-0000-0000-00002B050000}"/>
    <cellStyle name="Vírgula 2 9 2 2 2" xfId="1378" xr:uid="{00000000-0005-0000-0000-00002C050000}"/>
    <cellStyle name="Vírgula 2 9 2 3" xfId="1088" xr:uid="{00000000-0005-0000-0000-00002D050000}"/>
    <cellStyle name="Vírgula 2_Inserir D+1" xfId="136" xr:uid="{00000000-0005-0000-0000-00002E050000}"/>
    <cellStyle name="Vírgula 3" xfId="124" xr:uid="{00000000-0005-0000-0000-00002F050000}"/>
    <cellStyle name="Vírgula 3 10" xfId="360" xr:uid="{00000000-0005-0000-0000-000030050000}"/>
    <cellStyle name="Vírgula 3 10 2" xfId="584" xr:uid="{00000000-0005-0000-0000-000031050000}"/>
    <cellStyle name="Vírgula 3 10 2 2" xfId="881" xr:uid="{00000000-0005-0000-0000-000032050000}"/>
    <cellStyle name="Vírgula 3 10 2 2 2" xfId="1470" xr:uid="{00000000-0005-0000-0000-000033050000}"/>
    <cellStyle name="Vírgula 3 10 2 3" xfId="1180" xr:uid="{00000000-0005-0000-0000-000034050000}"/>
    <cellStyle name="Vírgula 3 10 3" xfId="742" xr:uid="{00000000-0005-0000-0000-000035050000}"/>
    <cellStyle name="Vírgula 3 10 3 2" xfId="1331" xr:uid="{00000000-0005-0000-0000-000036050000}"/>
    <cellStyle name="Vírgula 3 10 4" xfId="1041" xr:uid="{00000000-0005-0000-0000-000037050000}"/>
    <cellStyle name="Vírgula 3 11" xfId="373" xr:uid="{00000000-0005-0000-0000-000038050000}"/>
    <cellStyle name="Vírgula 3 11 2" xfId="592" xr:uid="{00000000-0005-0000-0000-000039050000}"/>
    <cellStyle name="Vírgula 3 11 2 2" xfId="889" xr:uid="{00000000-0005-0000-0000-00003A050000}"/>
    <cellStyle name="Vírgula 3 11 2 2 2" xfId="1478" xr:uid="{00000000-0005-0000-0000-00003B050000}"/>
    <cellStyle name="Vírgula 3 11 2 3" xfId="1188" xr:uid="{00000000-0005-0000-0000-00003C050000}"/>
    <cellStyle name="Vírgula 3 11 3" xfId="750" xr:uid="{00000000-0005-0000-0000-00003D050000}"/>
    <cellStyle name="Vírgula 3 11 3 2" xfId="1339" xr:uid="{00000000-0005-0000-0000-00003E050000}"/>
    <cellStyle name="Vírgula 3 11 4" xfId="1049" xr:uid="{00000000-0005-0000-0000-00003F050000}"/>
    <cellStyle name="Vírgula 3 12" xfId="396" xr:uid="{00000000-0005-0000-0000-000040050000}"/>
    <cellStyle name="Vírgula 3 12 2" xfId="610" xr:uid="{00000000-0005-0000-0000-000041050000}"/>
    <cellStyle name="Vírgula 3 12 2 2" xfId="904" xr:uid="{00000000-0005-0000-0000-000042050000}"/>
    <cellStyle name="Vírgula 3 12 2 2 2" xfId="1493" xr:uid="{00000000-0005-0000-0000-000043050000}"/>
    <cellStyle name="Vírgula 3 12 2 3" xfId="1203" xr:uid="{00000000-0005-0000-0000-000044050000}"/>
    <cellStyle name="Vírgula 3 12 3" xfId="765" xr:uid="{00000000-0005-0000-0000-000045050000}"/>
    <cellStyle name="Vírgula 3 12 3 2" xfId="1354" xr:uid="{00000000-0005-0000-0000-000046050000}"/>
    <cellStyle name="Vírgula 3 12 4" xfId="1064" xr:uid="{00000000-0005-0000-0000-000047050000}"/>
    <cellStyle name="Vírgula 3 13" xfId="440" xr:uid="{00000000-0005-0000-0000-000048050000}"/>
    <cellStyle name="Vírgula 3 13 2" xfId="776" xr:uid="{00000000-0005-0000-0000-000049050000}"/>
    <cellStyle name="Vírgula 3 13 2 2" xfId="1365" xr:uid="{00000000-0005-0000-0000-00004A050000}"/>
    <cellStyle name="Vírgula 3 13 3" xfId="1075" xr:uid="{00000000-0005-0000-0000-00004B050000}"/>
    <cellStyle name="Vírgula 3 14" xfId="640" xr:uid="{00000000-0005-0000-0000-00004C050000}"/>
    <cellStyle name="Vírgula 3 14 2" xfId="933" xr:uid="{00000000-0005-0000-0000-00004D050000}"/>
    <cellStyle name="Vírgula 3 14 2 2" xfId="1522" xr:uid="{00000000-0005-0000-0000-00004E050000}"/>
    <cellStyle name="Vírgula 3 14 3" xfId="1232" xr:uid="{00000000-0005-0000-0000-00004F050000}"/>
    <cellStyle name="Vírgula 3 15" xfId="947" xr:uid="{00000000-0005-0000-0000-000050050000}"/>
    <cellStyle name="Vírgula 3 15 2" xfId="1534" xr:uid="{00000000-0005-0000-0000-000051050000}"/>
    <cellStyle name="Vírgula 3 2" xfId="299" xr:uid="{00000000-0005-0000-0000-000052050000}"/>
    <cellStyle name="Vírgula 3 2 2" xfId="374" xr:uid="{00000000-0005-0000-0000-000053050000}"/>
    <cellStyle name="Vírgula 3 2 2 2" xfId="593" xr:uid="{00000000-0005-0000-0000-000054050000}"/>
    <cellStyle name="Vírgula 3 2 2 2 2" xfId="890" xr:uid="{00000000-0005-0000-0000-000055050000}"/>
    <cellStyle name="Vírgula 3 2 2 2 2 2" xfId="1479" xr:uid="{00000000-0005-0000-0000-000056050000}"/>
    <cellStyle name="Vírgula 3 2 2 2 3" xfId="1189" xr:uid="{00000000-0005-0000-0000-000057050000}"/>
    <cellStyle name="Vírgula 3 2 2 3" xfId="642" xr:uid="{00000000-0005-0000-0000-000058050000}"/>
    <cellStyle name="Vírgula 3 2 2 3 2" xfId="935" xr:uid="{00000000-0005-0000-0000-000059050000}"/>
    <cellStyle name="Vírgula 3 2 2 3 2 2" xfId="1524" xr:uid="{00000000-0005-0000-0000-00005A050000}"/>
    <cellStyle name="Vírgula 3 2 2 3 3" xfId="1234" xr:uid="{00000000-0005-0000-0000-00005B050000}"/>
    <cellStyle name="Vírgula 3 2 2 4" xfId="751" xr:uid="{00000000-0005-0000-0000-00005C050000}"/>
    <cellStyle name="Vírgula 3 2 2 4 2" xfId="1340" xr:uid="{00000000-0005-0000-0000-00005D050000}"/>
    <cellStyle name="Vírgula 3 2 2 5" xfId="1050" xr:uid="{00000000-0005-0000-0000-00005E050000}"/>
    <cellStyle name="Vírgula 3 2 3" xfId="397" xr:uid="{00000000-0005-0000-0000-00005F050000}"/>
    <cellStyle name="Vírgula 3 2 3 2" xfId="611" xr:uid="{00000000-0005-0000-0000-000060050000}"/>
    <cellStyle name="Vírgula 3 2 3 2 2" xfId="905" xr:uid="{00000000-0005-0000-0000-000061050000}"/>
    <cellStyle name="Vírgula 3 2 3 2 2 2" xfId="1494" xr:uid="{00000000-0005-0000-0000-000062050000}"/>
    <cellStyle name="Vírgula 3 2 3 2 3" xfId="1204" xr:uid="{00000000-0005-0000-0000-000063050000}"/>
    <cellStyle name="Vírgula 3 2 3 3" xfId="766" xr:uid="{00000000-0005-0000-0000-000064050000}"/>
    <cellStyle name="Vírgula 3 2 3 3 2" xfId="1355" xr:uid="{00000000-0005-0000-0000-000065050000}"/>
    <cellStyle name="Vírgula 3 2 3 4" xfId="1065" xr:uid="{00000000-0005-0000-0000-000066050000}"/>
    <cellStyle name="Vírgula 3 2 4" xfId="524" xr:uid="{00000000-0005-0000-0000-000067050000}"/>
    <cellStyle name="Vírgula 3 2 4 2" xfId="828" xr:uid="{00000000-0005-0000-0000-000068050000}"/>
    <cellStyle name="Vírgula 3 2 4 2 2" xfId="1417" xr:uid="{00000000-0005-0000-0000-000069050000}"/>
    <cellStyle name="Vírgula 3 2 4 3" xfId="1127" xr:uid="{00000000-0005-0000-0000-00006A050000}"/>
    <cellStyle name="Vírgula 3 2 5" xfId="641" xr:uid="{00000000-0005-0000-0000-00006B050000}"/>
    <cellStyle name="Vírgula 3 2 5 2" xfId="934" xr:uid="{00000000-0005-0000-0000-00006C050000}"/>
    <cellStyle name="Vírgula 3 2 5 2 2" xfId="1523" xr:uid="{00000000-0005-0000-0000-00006D050000}"/>
    <cellStyle name="Vírgula 3 2 5 3" xfId="1233" xr:uid="{00000000-0005-0000-0000-00006E050000}"/>
    <cellStyle name="Vírgula 3 2 6" xfId="689" xr:uid="{00000000-0005-0000-0000-00006F050000}"/>
    <cellStyle name="Vírgula 3 2 6 2" xfId="1278" xr:uid="{00000000-0005-0000-0000-000070050000}"/>
    <cellStyle name="Vírgula 3 2 7" xfId="988" xr:uid="{00000000-0005-0000-0000-000071050000}"/>
    <cellStyle name="Vírgula 3 3" xfId="306" xr:uid="{00000000-0005-0000-0000-000072050000}"/>
    <cellStyle name="Vírgula 3 3 2" xfId="398" xr:uid="{00000000-0005-0000-0000-000073050000}"/>
    <cellStyle name="Vírgula 3 3 2 2" xfId="612" xr:uid="{00000000-0005-0000-0000-000074050000}"/>
    <cellStyle name="Vírgula 3 3 2 2 2" xfId="906" xr:uid="{00000000-0005-0000-0000-000075050000}"/>
    <cellStyle name="Vírgula 3 3 2 2 2 2" xfId="1495" xr:uid="{00000000-0005-0000-0000-000076050000}"/>
    <cellStyle name="Vírgula 3 3 2 2 3" xfId="1205" xr:uid="{00000000-0005-0000-0000-000077050000}"/>
    <cellStyle name="Vírgula 3 3 2 3" xfId="644" xr:uid="{00000000-0005-0000-0000-000078050000}"/>
    <cellStyle name="Vírgula 3 3 2 3 2" xfId="937" xr:uid="{00000000-0005-0000-0000-000079050000}"/>
    <cellStyle name="Vírgula 3 3 2 3 2 2" xfId="1526" xr:uid="{00000000-0005-0000-0000-00007A050000}"/>
    <cellStyle name="Vírgula 3 3 2 3 3" xfId="1236" xr:uid="{00000000-0005-0000-0000-00007B050000}"/>
    <cellStyle name="Vírgula 3 3 2 4" xfId="767" xr:uid="{00000000-0005-0000-0000-00007C050000}"/>
    <cellStyle name="Vírgula 3 3 2 4 2" xfId="1356" xr:uid="{00000000-0005-0000-0000-00007D050000}"/>
    <cellStyle name="Vírgula 3 3 2 5" xfId="1066" xr:uid="{00000000-0005-0000-0000-00007E050000}"/>
    <cellStyle name="Vírgula 3 3 3" xfId="530" xr:uid="{00000000-0005-0000-0000-00007F050000}"/>
    <cellStyle name="Vírgula 3 3 3 2" xfId="834" xr:uid="{00000000-0005-0000-0000-000080050000}"/>
    <cellStyle name="Vírgula 3 3 3 2 2" xfId="1423" xr:uid="{00000000-0005-0000-0000-000081050000}"/>
    <cellStyle name="Vírgula 3 3 3 3" xfId="1133" xr:uid="{00000000-0005-0000-0000-000082050000}"/>
    <cellStyle name="Vírgula 3 3 4" xfId="643" xr:uid="{00000000-0005-0000-0000-000083050000}"/>
    <cellStyle name="Vírgula 3 3 4 2" xfId="936" xr:uid="{00000000-0005-0000-0000-000084050000}"/>
    <cellStyle name="Vírgula 3 3 4 2 2" xfId="1525" xr:uid="{00000000-0005-0000-0000-000085050000}"/>
    <cellStyle name="Vírgula 3 3 4 3" xfId="1235" xr:uid="{00000000-0005-0000-0000-000086050000}"/>
    <cellStyle name="Vírgula 3 3 5" xfId="695" xr:uid="{00000000-0005-0000-0000-000087050000}"/>
    <cellStyle name="Vírgula 3 3 5 2" xfId="1284" xr:uid="{00000000-0005-0000-0000-000088050000}"/>
    <cellStyle name="Vírgula 3 3 6" xfId="994" xr:uid="{00000000-0005-0000-0000-000089050000}"/>
    <cellStyle name="Vírgula 3 4" xfId="312" xr:uid="{00000000-0005-0000-0000-00008A050000}"/>
    <cellStyle name="Vírgula 3 4 2" xfId="536" xr:uid="{00000000-0005-0000-0000-00008B050000}"/>
    <cellStyle name="Vírgula 3 4 2 2" xfId="840" xr:uid="{00000000-0005-0000-0000-00008C050000}"/>
    <cellStyle name="Vírgula 3 4 2 2 2" xfId="1429" xr:uid="{00000000-0005-0000-0000-00008D050000}"/>
    <cellStyle name="Vírgula 3 4 2 3" xfId="1139" xr:uid="{00000000-0005-0000-0000-00008E050000}"/>
    <cellStyle name="Vírgula 3 4 3" xfId="645" xr:uid="{00000000-0005-0000-0000-00008F050000}"/>
    <cellStyle name="Vírgula 3 4 3 2" xfId="938" xr:uid="{00000000-0005-0000-0000-000090050000}"/>
    <cellStyle name="Vírgula 3 4 3 2 2" xfId="1527" xr:uid="{00000000-0005-0000-0000-000091050000}"/>
    <cellStyle name="Vírgula 3 4 3 3" xfId="1237" xr:uid="{00000000-0005-0000-0000-000092050000}"/>
    <cellStyle name="Vírgula 3 4 4" xfId="701" xr:uid="{00000000-0005-0000-0000-000093050000}"/>
    <cellStyle name="Vírgula 3 4 4 2" xfId="1290" xr:uid="{00000000-0005-0000-0000-000094050000}"/>
    <cellStyle name="Vírgula 3 4 5" xfId="1000" xr:uid="{00000000-0005-0000-0000-000095050000}"/>
    <cellStyle name="Vírgula 3 5" xfId="318" xr:uid="{00000000-0005-0000-0000-000096050000}"/>
    <cellStyle name="Vírgula 3 5 2" xfId="542" xr:uid="{00000000-0005-0000-0000-000097050000}"/>
    <cellStyle name="Vírgula 3 5 2 2" xfId="846" xr:uid="{00000000-0005-0000-0000-000098050000}"/>
    <cellStyle name="Vírgula 3 5 2 2 2" xfId="1435" xr:uid="{00000000-0005-0000-0000-000099050000}"/>
    <cellStyle name="Vírgula 3 5 2 3" xfId="1145" xr:uid="{00000000-0005-0000-0000-00009A050000}"/>
    <cellStyle name="Vírgula 3 5 3" xfId="707" xr:uid="{00000000-0005-0000-0000-00009B050000}"/>
    <cellStyle name="Vírgula 3 5 3 2" xfId="1296" xr:uid="{00000000-0005-0000-0000-00009C050000}"/>
    <cellStyle name="Vírgula 3 5 4" xfId="1006" xr:uid="{00000000-0005-0000-0000-00009D050000}"/>
    <cellStyle name="Vírgula 3 6" xfId="324" xr:uid="{00000000-0005-0000-0000-00009E050000}"/>
    <cellStyle name="Vírgula 3 6 2" xfId="548" xr:uid="{00000000-0005-0000-0000-00009F050000}"/>
    <cellStyle name="Vírgula 3 6 2 2" xfId="852" xr:uid="{00000000-0005-0000-0000-0000A0050000}"/>
    <cellStyle name="Vírgula 3 6 2 2 2" xfId="1441" xr:uid="{00000000-0005-0000-0000-0000A1050000}"/>
    <cellStyle name="Vírgula 3 6 2 3" xfId="1151" xr:uid="{00000000-0005-0000-0000-0000A2050000}"/>
    <cellStyle name="Vírgula 3 6 3" xfId="713" xr:uid="{00000000-0005-0000-0000-0000A3050000}"/>
    <cellStyle name="Vírgula 3 6 3 2" xfId="1302" xr:uid="{00000000-0005-0000-0000-0000A4050000}"/>
    <cellStyle name="Vírgula 3 6 4" xfId="1012" xr:uid="{00000000-0005-0000-0000-0000A5050000}"/>
    <cellStyle name="Vírgula 3 7" xfId="330" xr:uid="{00000000-0005-0000-0000-0000A6050000}"/>
    <cellStyle name="Vírgula 3 7 2" xfId="554" xr:uid="{00000000-0005-0000-0000-0000A7050000}"/>
    <cellStyle name="Vírgula 3 7 2 2" xfId="858" xr:uid="{00000000-0005-0000-0000-0000A8050000}"/>
    <cellStyle name="Vírgula 3 7 2 2 2" xfId="1447" xr:uid="{00000000-0005-0000-0000-0000A9050000}"/>
    <cellStyle name="Vírgula 3 7 2 3" xfId="1157" xr:uid="{00000000-0005-0000-0000-0000AA050000}"/>
    <cellStyle name="Vírgula 3 7 3" xfId="719" xr:uid="{00000000-0005-0000-0000-0000AB050000}"/>
    <cellStyle name="Vírgula 3 7 3 2" xfId="1308" xr:uid="{00000000-0005-0000-0000-0000AC050000}"/>
    <cellStyle name="Vírgula 3 7 4" xfId="1018" xr:uid="{00000000-0005-0000-0000-0000AD050000}"/>
    <cellStyle name="Vírgula 3 8" xfId="336" xr:uid="{00000000-0005-0000-0000-0000AE050000}"/>
    <cellStyle name="Vírgula 3 8 2" xfId="560" xr:uid="{00000000-0005-0000-0000-0000AF050000}"/>
    <cellStyle name="Vírgula 3 8 2 2" xfId="864" xr:uid="{00000000-0005-0000-0000-0000B0050000}"/>
    <cellStyle name="Vírgula 3 8 2 2 2" xfId="1453" xr:uid="{00000000-0005-0000-0000-0000B1050000}"/>
    <cellStyle name="Vírgula 3 8 2 3" xfId="1163" xr:uid="{00000000-0005-0000-0000-0000B2050000}"/>
    <cellStyle name="Vírgula 3 8 3" xfId="725" xr:uid="{00000000-0005-0000-0000-0000B3050000}"/>
    <cellStyle name="Vírgula 3 8 3 2" xfId="1314" xr:uid="{00000000-0005-0000-0000-0000B4050000}"/>
    <cellStyle name="Vírgula 3 8 4" xfId="1024" xr:uid="{00000000-0005-0000-0000-0000B5050000}"/>
    <cellStyle name="Vírgula 3 9" xfId="354" xr:uid="{00000000-0005-0000-0000-0000B6050000}"/>
    <cellStyle name="Vírgula 3 9 2" xfId="578" xr:uid="{00000000-0005-0000-0000-0000B7050000}"/>
    <cellStyle name="Vírgula 3 9 2 2" xfId="875" xr:uid="{00000000-0005-0000-0000-0000B8050000}"/>
    <cellStyle name="Vírgula 3 9 2 2 2" xfId="1464" xr:uid="{00000000-0005-0000-0000-0000B9050000}"/>
    <cellStyle name="Vírgula 3 9 2 3" xfId="1174" xr:uid="{00000000-0005-0000-0000-0000BA050000}"/>
    <cellStyle name="Vírgula 3 9 3" xfId="736" xr:uid="{00000000-0005-0000-0000-0000BB050000}"/>
    <cellStyle name="Vírgula 3 9 3 2" xfId="1325" xr:uid="{00000000-0005-0000-0000-0000BC050000}"/>
    <cellStyle name="Vírgula 3 9 4" xfId="1035" xr:uid="{00000000-0005-0000-0000-0000BD050000}"/>
    <cellStyle name="Vírgula 32" xfId="401" xr:uid="{00000000-0005-0000-0000-0000BE050000}"/>
    <cellStyle name="Vírgula 32 2" xfId="615" xr:uid="{00000000-0005-0000-0000-0000BF050000}"/>
    <cellStyle name="Vírgula 32 2 2" xfId="909" xr:uid="{00000000-0005-0000-0000-0000C0050000}"/>
    <cellStyle name="Vírgula 32 2 2 2" xfId="1498" xr:uid="{00000000-0005-0000-0000-0000C1050000}"/>
    <cellStyle name="Vírgula 32 2 3" xfId="1208" xr:uid="{00000000-0005-0000-0000-0000C2050000}"/>
    <cellStyle name="Vírgula 32 3" xfId="770" xr:uid="{00000000-0005-0000-0000-0000C3050000}"/>
    <cellStyle name="Vírgula 32 3 2" xfId="1359" xr:uid="{00000000-0005-0000-0000-0000C4050000}"/>
    <cellStyle name="Vírgula 32 4" xfId="1069" xr:uid="{00000000-0005-0000-0000-0000C5050000}"/>
    <cellStyle name="Vírgula 4" xfId="215" xr:uid="{00000000-0005-0000-0000-0000C6050000}"/>
    <cellStyle name="Vírgula 4 2" xfId="375" xr:uid="{00000000-0005-0000-0000-0000C7050000}"/>
    <cellStyle name="Vírgula 4 2 2" xfId="594" xr:uid="{00000000-0005-0000-0000-0000C8050000}"/>
    <cellStyle name="Vírgula 4 2 2 2" xfId="891" xr:uid="{00000000-0005-0000-0000-0000C9050000}"/>
    <cellStyle name="Vírgula 4 2 2 2 2" xfId="1480" xr:uid="{00000000-0005-0000-0000-0000CA050000}"/>
    <cellStyle name="Vírgula 4 2 2 3" xfId="1190" xr:uid="{00000000-0005-0000-0000-0000CB050000}"/>
    <cellStyle name="Vírgula 4 2 3" xfId="647" xr:uid="{00000000-0005-0000-0000-0000CC050000}"/>
    <cellStyle name="Vírgula 4 2 3 2" xfId="940" xr:uid="{00000000-0005-0000-0000-0000CD050000}"/>
    <cellStyle name="Vírgula 4 2 3 2 2" xfId="1529" xr:uid="{00000000-0005-0000-0000-0000CE050000}"/>
    <cellStyle name="Vírgula 4 2 3 3" xfId="1239" xr:uid="{00000000-0005-0000-0000-0000CF050000}"/>
    <cellStyle name="Vírgula 4 2 4" xfId="752" xr:uid="{00000000-0005-0000-0000-0000D0050000}"/>
    <cellStyle name="Vírgula 4 2 4 2" xfId="1341" xr:uid="{00000000-0005-0000-0000-0000D1050000}"/>
    <cellStyle name="Vírgula 4 2 5" xfId="1051" xr:uid="{00000000-0005-0000-0000-0000D2050000}"/>
    <cellStyle name="Vírgula 4 3" xfId="399" xr:uid="{00000000-0005-0000-0000-0000D3050000}"/>
    <cellStyle name="Vírgula 4 3 2" xfId="613" xr:uid="{00000000-0005-0000-0000-0000D4050000}"/>
    <cellStyle name="Vírgula 4 3 2 2" xfId="907" xr:uid="{00000000-0005-0000-0000-0000D5050000}"/>
    <cellStyle name="Vírgula 4 3 2 2 2" xfId="1496" xr:uid="{00000000-0005-0000-0000-0000D6050000}"/>
    <cellStyle name="Vírgula 4 3 2 3" xfId="1206" xr:uid="{00000000-0005-0000-0000-0000D7050000}"/>
    <cellStyle name="Vírgula 4 3 3" xfId="768" xr:uid="{00000000-0005-0000-0000-0000D8050000}"/>
    <cellStyle name="Vírgula 4 3 3 2" xfId="1357" xr:uid="{00000000-0005-0000-0000-0000D9050000}"/>
    <cellStyle name="Vírgula 4 3 4" xfId="1067" xr:uid="{00000000-0005-0000-0000-0000DA050000}"/>
    <cellStyle name="Vírgula 4 4" xfId="646" xr:uid="{00000000-0005-0000-0000-0000DB050000}"/>
    <cellStyle name="Vírgula 4 4 2" xfId="939" xr:uid="{00000000-0005-0000-0000-0000DC050000}"/>
    <cellStyle name="Vírgula 4 4 2 2" xfId="1528" xr:uid="{00000000-0005-0000-0000-0000DD050000}"/>
    <cellStyle name="Vírgula 4 4 3" xfId="1238" xr:uid="{00000000-0005-0000-0000-0000DE050000}"/>
    <cellStyle name="Vírgula 5" xfId="216" xr:uid="{00000000-0005-0000-0000-0000DF050000}"/>
    <cellStyle name="Vírgula 5 2" xfId="400" xr:uid="{00000000-0005-0000-0000-0000E0050000}"/>
    <cellStyle name="Vírgula 5 2 2" xfId="614" xr:uid="{00000000-0005-0000-0000-0000E1050000}"/>
    <cellStyle name="Vírgula 5 2 2 2" xfId="908" xr:uid="{00000000-0005-0000-0000-0000E2050000}"/>
    <cellStyle name="Vírgula 5 2 2 2 2" xfId="1497" xr:uid="{00000000-0005-0000-0000-0000E3050000}"/>
    <cellStyle name="Vírgula 5 2 2 3" xfId="1207" xr:uid="{00000000-0005-0000-0000-0000E4050000}"/>
    <cellStyle name="Vírgula 5 2 3" xfId="649" xr:uid="{00000000-0005-0000-0000-0000E5050000}"/>
    <cellStyle name="Vírgula 5 2 3 2" xfId="942" xr:uid="{00000000-0005-0000-0000-0000E6050000}"/>
    <cellStyle name="Vírgula 5 2 3 2 2" xfId="1531" xr:uid="{00000000-0005-0000-0000-0000E7050000}"/>
    <cellStyle name="Vírgula 5 2 3 3" xfId="1241" xr:uid="{00000000-0005-0000-0000-0000E8050000}"/>
    <cellStyle name="Vírgula 5 2 4" xfId="769" xr:uid="{00000000-0005-0000-0000-0000E9050000}"/>
    <cellStyle name="Vírgula 5 2 4 2" xfId="1358" xr:uid="{00000000-0005-0000-0000-0000EA050000}"/>
    <cellStyle name="Vírgula 5 2 5" xfId="1068" xr:uid="{00000000-0005-0000-0000-0000EB050000}"/>
    <cellStyle name="Vírgula 5 3" xfId="648" xr:uid="{00000000-0005-0000-0000-0000EC050000}"/>
    <cellStyle name="Vírgula 5 3 2" xfId="941" xr:uid="{00000000-0005-0000-0000-0000ED050000}"/>
    <cellStyle name="Vírgula 5 3 2 2" xfId="1530" xr:uid="{00000000-0005-0000-0000-0000EE050000}"/>
    <cellStyle name="Vírgula 5 3 3" xfId="1240" xr:uid="{00000000-0005-0000-0000-0000EF050000}"/>
    <cellStyle name="Vírgula 6" xfId="217" xr:uid="{00000000-0005-0000-0000-0000F0050000}"/>
    <cellStyle name="Vírgula 6 2" xfId="462" xr:uid="{00000000-0005-0000-0000-0000F1050000}"/>
    <cellStyle name="Vírgula 6 2 2" xfId="781" xr:uid="{00000000-0005-0000-0000-0000F2050000}"/>
    <cellStyle name="Vírgula 6 2 2 2" xfId="1370" xr:uid="{00000000-0005-0000-0000-0000F3050000}"/>
    <cellStyle name="Vírgula 6 2 3" xfId="1080" xr:uid="{00000000-0005-0000-0000-0000F4050000}"/>
    <cellStyle name="Vírgula 7" xfId="218" xr:uid="{00000000-0005-0000-0000-0000F5050000}"/>
    <cellStyle name="Vírgula 7 2" xfId="463" xr:uid="{00000000-0005-0000-0000-0000F6050000}"/>
    <cellStyle name="Vírgula 7 2 2" xfId="782" xr:uid="{00000000-0005-0000-0000-0000F7050000}"/>
    <cellStyle name="Vírgula 7 2 2 2" xfId="1371" xr:uid="{00000000-0005-0000-0000-0000F8050000}"/>
    <cellStyle name="Vírgula 7 2 3" xfId="1081" xr:uid="{00000000-0005-0000-0000-0000F9050000}"/>
    <cellStyle name="Vírgula 8" xfId="232" xr:uid="{00000000-0005-0000-0000-0000FA050000}"/>
    <cellStyle name="Vírgula 8 2" xfId="472" xr:uid="{00000000-0005-0000-0000-0000FB050000}"/>
    <cellStyle name="Vírgula 8 2 2" xfId="790" xr:uid="{00000000-0005-0000-0000-0000FC050000}"/>
    <cellStyle name="Vírgula 8 2 2 2" xfId="1379" xr:uid="{00000000-0005-0000-0000-0000FD050000}"/>
    <cellStyle name="Vírgula 8 2 3" xfId="1089" xr:uid="{00000000-0005-0000-0000-0000FE050000}"/>
    <cellStyle name="Vírgula 9" xfId="235" xr:uid="{00000000-0005-0000-0000-0000FF050000}"/>
    <cellStyle name="Vírgula 9 2" xfId="475" xr:uid="{00000000-0005-0000-0000-000000060000}"/>
    <cellStyle name="Vírgula 9 2 2" xfId="792" xr:uid="{00000000-0005-0000-0000-000001060000}"/>
    <cellStyle name="Vírgula 9 2 2 2" xfId="1381" xr:uid="{00000000-0005-0000-0000-000002060000}"/>
    <cellStyle name="Vírgula 9 2 3" xfId="1091" xr:uid="{00000000-0005-0000-0000-000003060000}"/>
  </cellStyles>
  <dxfs count="217"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009A46"/>
      </font>
    </dxf>
    <dxf>
      <font>
        <b/>
        <i val="0"/>
        <color rgb="FF009A46"/>
      </font>
    </dxf>
    <dxf>
      <font>
        <b/>
        <i val="0"/>
        <color rgb="FF009A46"/>
      </font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A46"/>
      <color rgb="FF01BB8A"/>
      <color rgb="FF00CC66"/>
      <color rgb="FF008080"/>
      <color rgb="FFFBFDFD"/>
      <color rgb="FFC0305E"/>
      <color rgb="FFE191C5"/>
      <color rgb="FFFF7979"/>
      <color rgb="FF000000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3.png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1.xml"/><Relationship Id="rId1" Type="http://schemas.microsoft.com/office/2011/relationships/chartStyle" Target="style11.xml"/><Relationship Id="rId4" Type="http://schemas.openxmlformats.org/officeDocument/2006/relationships/image" Target="../media/image3.png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image" Target="../media/image3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image" Target="../media/image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4" Type="http://schemas.openxmlformats.org/officeDocument/2006/relationships/image" Target="../media/image3.png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6.xml"/><Relationship Id="rId1" Type="http://schemas.microsoft.com/office/2011/relationships/chartStyle" Target="style16.xml"/><Relationship Id="rId4" Type="http://schemas.openxmlformats.org/officeDocument/2006/relationships/image" Target="../media/image3.png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7.xml"/><Relationship Id="rId1" Type="http://schemas.microsoft.com/office/2011/relationships/chartStyle" Target="style17.xml"/><Relationship Id="rId4" Type="http://schemas.openxmlformats.org/officeDocument/2006/relationships/image" Target="../media/image3.png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8.xml"/><Relationship Id="rId1" Type="http://schemas.microsoft.com/office/2011/relationships/chartStyle" Target="style18.xml"/><Relationship Id="rId4" Type="http://schemas.openxmlformats.org/officeDocument/2006/relationships/image" Target="../media/image3.png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9.xml"/><Relationship Id="rId1" Type="http://schemas.microsoft.com/office/2011/relationships/chartStyle" Target="style19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20.xml"/><Relationship Id="rId1" Type="http://schemas.microsoft.com/office/2011/relationships/chartStyle" Target="style20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3.xml"/><Relationship Id="rId1" Type="http://schemas.microsoft.com/office/2011/relationships/chartStyle" Target="style23.xml"/><Relationship Id="rId4" Type="http://schemas.openxmlformats.org/officeDocument/2006/relationships/image" Target="../media/image3.png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8.xml"/><Relationship Id="rId1" Type="http://schemas.microsoft.com/office/2011/relationships/chartStyle" Target="style28.xml"/><Relationship Id="rId4" Type="http://schemas.openxmlformats.org/officeDocument/2006/relationships/image" Target="../media/image3.png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9.xml"/><Relationship Id="rId1" Type="http://schemas.microsoft.com/office/2011/relationships/chartStyle" Target="style29.xml"/><Relationship Id="rId4" Type="http://schemas.openxmlformats.org/officeDocument/2006/relationships/image" Target="../media/image3.png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0.xml"/><Relationship Id="rId1" Type="http://schemas.microsoft.com/office/2011/relationships/chartStyle" Target="style30.xml"/><Relationship Id="rId4" Type="http://schemas.openxmlformats.org/officeDocument/2006/relationships/image" Target="../media/image3.png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31.xml"/><Relationship Id="rId1" Type="http://schemas.microsoft.com/office/2011/relationships/chartStyle" Target="style31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0465501893703361E-2"/>
          <c:y val="0.10186873980269912"/>
          <c:w val="0.91047443630949643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5</c:v>
                </c:pt>
                <c:pt idx="1">
                  <c:v>4</c:v>
                </c:pt>
                <c:pt idx="2">
                  <c:v>1</c:v>
                </c:pt>
                <c:pt idx="3">
                  <c:v>8</c:v>
                </c:pt>
                <c:pt idx="4">
                  <c:v>6h</c:v>
                </c:pt>
              </c:strCache>
            </c:str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3423.580984978129</c:v>
                </c:pt>
                <c:pt idx="1">
                  <c:v>2818.4020612842723</c:v>
                </c:pt>
                <c:pt idx="2">
                  <c:v>1949.091271546873</c:v>
                </c:pt>
                <c:pt idx="3">
                  <c:v>1637.4499407134854</c:v>
                </c:pt>
                <c:pt idx="4">
                  <c:v>1502.2755464859456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5-41D8-A602-D2D446E05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3510264900292389E-2"/>
          <c:y val="0.12407972124871675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19</c:v>
                </c:pt>
                <c:pt idx="3">
                  <c:v>15</c:v>
                </c:pt>
                <c:pt idx="4">
                  <c:v>14</c:v>
                </c:pt>
              </c:numCache>
            </c:num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3994.5599999999995</c:v>
                </c:pt>
                <c:pt idx="1">
                  <c:v>3770.84</c:v>
                </c:pt>
                <c:pt idx="2">
                  <c:v>3758.24</c:v>
                </c:pt>
                <c:pt idx="3">
                  <c:v>3463.2799999999997</c:v>
                </c:pt>
                <c:pt idx="4">
                  <c:v>3178.76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E-4DEF-9C37-065EA47DF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13</c:v>
                </c:pt>
                <c:pt idx="2">
                  <c:v>9</c:v>
                </c:pt>
                <c:pt idx="3">
                  <c:v>8</c:v>
                </c:pt>
                <c:pt idx="4">
                  <c:v>6h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1600.4984000000004</c:v>
                </c:pt>
                <c:pt idx="1">
                  <c:v>1119.8703999999998</c:v>
                </c:pt>
                <c:pt idx="2">
                  <c:v>1012.7639999999997</c:v>
                </c:pt>
                <c:pt idx="3">
                  <c:v>962.08439999999973</c:v>
                </c:pt>
                <c:pt idx="4">
                  <c:v>908.91240000000016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8A7-AC63-921DBB2AF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158.75000000000003</c:v>
                </c:pt>
                <c:pt idx="1">
                  <c:v>158.75000000000003</c:v>
                </c:pt>
                <c:pt idx="2">
                  <c:v>158.75000000000003</c:v>
                </c:pt>
                <c:pt idx="3">
                  <c:v>158.75000000000003</c:v>
                </c:pt>
                <c:pt idx="4">
                  <c:v>158.75000000000003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C-4DE0-9CAA-1F3F69A2F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158.75000000000003</c:v>
                </c:pt>
                <c:pt idx="1">
                  <c:v>158.75000000000003</c:v>
                </c:pt>
                <c:pt idx="2">
                  <c:v>158.75000000000003</c:v>
                </c:pt>
                <c:pt idx="3">
                  <c:v>158.75000000000003</c:v>
                </c:pt>
                <c:pt idx="4">
                  <c:v>158.75000000000003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2-4D67-8DB4-A6DA99EA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>
                <a:effectLst/>
              </a:defRPr>
            </a:pPr>
            <a:r>
              <a:rPr lang="pt-BR" sz="24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8.6047022657347091E-3"/>
          <c:y val="0.15572320624672295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225528</c:v>
                </c:pt>
                <c:pt idx="1">
                  <c:v>249684</c:v>
                </c:pt>
                <c:pt idx="2">
                  <c:v>260648</c:v>
                </c:pt>
                <c:pt idx="3">
                  <c:v>248826</c:v>
                </c:pt>
                <c:pt idx="4">
                  <c:v>244060.80000000002</c:v>
                </c:pt>
                <c:pt idx="5">
                  <c:v>249560</c:v>
                </c:pt>
                <c:pt idx="6">
                  <c:v>249498.17142857143</c:v>
                </c:pt>
                <c:pt idx="7">
                  <c:v>248059.5</c:v>
                </c:pt>
                <c:pt idx="8">
                  <c:v>247683.73333333334</c:v>
                </c:pt>
                <c:pt idx="9">
                  <c:v>251097.12</c:v>
                </c:pt>
                <c:pt idx="10">
                  <c:v>251555.7818181818</c:v>
                </c:pt>
                <c:pt idx="11">
                  <c:v>255397</c:v>
                </c:pt>
                <c:pt idx="12">
                  <c:v>255763.93846153843</c:v>
                </c:pt>
                <c:pt idx="13">
                  <c:v>257923.0285714285</c:v>
                </c:pt>
                <c:pt idx="14">
                  <c:v>261225.12</c:v>
                </c:pt>
                <c:pt idx="15">
                  <c:v>265773.74999999994</c:v>
                </c:pt>
                <c:pt idx="16">
                  <c:v>271821.59999999998</c:v>
                </c:pt>
                <c:pt idx="17">
                  <c:v>276124.66666666663</c:v>
                </c:pt>
                <c:pt idx="18">
                  <c:v>275914.73684210522</c:v>
                </c:pt>
                <c:pt idx="19">
                  <c:v>275327.39999999997</c:v>
                </c:pt>
                <c:pt idx="20">
                  <c:v>277225.71428571426</c:v>
                </c:pt>
                <c:pt idx="21">
                  <c:v>280232.18181818177</c:v>
                </c:pt>
                <c:pt idx="22">
                  <c:v>280504.17391304346</c:v>
                </c:pt>
                <c:pt idx="23">
                  <c:v>290326.4347826087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B-4CB0-9738-D44EBF54A4E6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346227.37131712498</c:v>
                </c:pt>
                <c:pt idx="1">
                  <c:v>339927.18224283238</c:v>
                </c:pt>
                <c:pt idx="2">
                  <c:v>343689.83197790792</c:v>
                </c:pt>
                <c:pt idx="3">
                  <c:v>350639.98715113662</c:v>
                </c:pt>
                <c:pt idx="4">
                  <c:v>346011.69812880433</c:v>
                </c:pt>
                <c:pt idx="5">
                  <c:v>353404.11355994735</c:v>
                </c:pt>
                <c:pt idx="6">
                  <c:v>358645.72185103124</c:v>
                </c:pt>
                <c:pt idx="7">
                  <c:v>360792.73964179278</c:v>
                </c:pt>
                <c:pt idx="8">
                  <c:v>358930.14528595709</c:v>
                </c:pt>
                <c:pt idx="9">
                  <c:v>354670.55688795983</c:v>
                </c:pt>
                <c:pt idx="10">
                  <c:v>347722.26589926222</c:v>
                </c:pt>
                <c:pt idx="11">
                  <c:v>341941.0834397251</c:v>
                </c:pt>
                <c:pt idx="12">
                  <c:v>342365.18538516271</c:v>
                </c:pt>
                <c:pt idx="13">
                  <c:v>335177.61218110035</c:v>
                </c:pt>
                <c:pt idx="14">
                  <c:v>329336.36868995707</c:v>
                </c:pt>
                <c:pt idx="15">
                  <c:v>316922.57396471017</c:v>
                </c:pt>
                <c:pt idx="16">
                  <c:v>315131.71968228172</c:v>
                </c:pt>
                <c:pt idx="17">
                  <c:v>313967.55225208023</c:v>
                </c:pt>
                <c:pt idx="18">
                  <c:v>312326.07129897154</c:v>
                </c:pt>
                <c:pt idx="19">
                  <c:v>311040.4683639385</c:v>
                </c:pt>
                <c:pt idx="20">
                  <c:v>311606.74131151347</c:v>
                </c:pt>
                <c:pt idx="21">
                  <c:v>312484.89759850991</c:v>
                </c:pt>
                <c:pt idx="22">
                  <c:v>312243.16413019662</c:v>
                </c:pt>
                <c:pt idx="23">
                  <c:v>311610.99267092388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346227.37131712498</c:v>
                </c:pt>
                <c:pt idx="1">
                  <c:v>339927.18224283238</c:v>
                </c:pt>
                <c:pt idx="2">
                  <c:v>343689.83197790792</c:v>
                </c:pt>
                <c:pt idx="3">
                  <c:v>350639.98715113662</c:v>
                </c:pt>
                <c:pt idx="4">
                  <c:v>346011.69812880433</c:v>
                </c:pt>
                <c:pt idx="5">
                  <c:v>353404.11355994735</c:v>
                </c:pt>
                <c:pt idx="6">
                  <c:v>358645.72185103124</c:v>
                </c:pt>
                <c:pt idx="7">
                  <c:v>360792.73964179278</c:v>
                </c:pt>
                <c:pt idx="8">
                  <c:v>358930.14528595709</c:v>
                </c:pt>
                <c:pt idx="9">
                  <c:v>354670.55688795983</c:v>
                </c:pt>
                <c:pt idx="10">
                  <c:v>347722.26589926222</c:v>
                </c:pt>
                <c:pt idx="11">
                  <c:v>341941.0834397251</c:v>
                </c:pt>
                <c:pt idx="12">
                  <c:v>342365.18538516271</c:v>
                </c:pt>
                <c:pt idx="13">
                  <c:v>335177.61218110035</c:v>
                </c:pt>
                <c:pt idx="14">
                  <c:v>329336.36868995707</c:v>
                </c:pt>
                <c:pt idx="15">
                  <c:v>316922.57396471017</c:v>
                </c:pt>
                <c:pt idx="16">
                  <c:v>315131.71968228172</c:v>
                </c:pt>
                <c:pt idx="17">
                  <c:v>313967.55225208023</c:v>
                </c:pt>
                <c:pt idx="18">
                  <c:v>312326.07129897154</c:v>
                </c:pt>
                <c:pt idx="19">
                  <c:v>311040.4683639385</c:v>
                </c:pt>
                <c:pt idx="20">
                  <c:v>311606.74131151347</c:v>
                </c:pt>
                <c:pt idx="21">
                  <c:v>312484.89759850991</c:v>
                </c:pt>
                <c:pt idx="22">
                  <c:v>312243.16413019662</c:v>
                </c:pt>
                <c:pt idx="23">
                  <c:v>311610.99267092388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B-4CB0-9738-D44EBF54A4E6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225528</c:v>
                </c:pt>
                <c:pt idx="1">
                  <c:v>249684</c:v>
                </c:pt>
                <c:pt idx="2">
                  <c:v>260648</c:v>
                </c:pt>
                <c:pt idx="3">
                  <c:v>248826</c:v>
                </c:pt>
                <c:pt idx="4">
                  <c:v>244060.80000000002</c:v>
                </c:pt>
                <c:pt idx="5">
                  <c:v>249560</c:v>
                </c:pt>
                <c:pt idx="6">
                  <c:v>249498.17142857143</c:v>
                </c:pt>
                <c:pt idx="7">
                  <c:v>248059.5</c:v>
                </c:pt>
                <c:pt idx="8">
                  <c:v>247683.73333333334</c:v>
                </c:pt>
                <c:pt idx="9">
                  <c:v>251097.12</c:v>
                </c:pt>
                <c:pt idx="10">
                  <c:v>251555.7818181818</c:v>
                </c:pt>
                <c:pt idx="11">
                  <c:v>255397</c:v>
                </c:pt>
                <c:pt idx="12">
                  <c:v>255763.93846153843</c:v>
                </c:pt>
                <c:pt idx="13">
                  <c:v>257923.0285714285</c:v>
                </c:pt>
                <c:pt idx="14">
                  <c:v>261225.12</c:v>
                </c:pt>
                <c:pt idx="15">
                  <c:v>265773.74999999994</c:v>
                </c:pt>
                <c:pt idx="16">
                  <c:v>271821.59999999998</c:v>
                </c:pt>
                <c:pt idx="17">
                  <c:v>276124.66666666663</c:v>
                </c:pt>
                <c:pt idx="18">
                  <c:v>275914.73684210522</c:v>
                </c:pt>
                <c:pt idx="19">
                  <c:v>275327.39999999997</c:v>
                </c:pt>
                <c:pt idx="20">
                  <c:v>277225.71428571426</c:v>
                </c:pt>
                <c:pt idx="21">
                  <c:v>280232.18181818177</c:v>
                </c:pt>
                <c:pt idx="22">
                  <c:v>280504.17391304346</c:v>
                </c:pt>
                <c:pt idx="23">
                  <c:v>290326.4347826087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32B-4CB0-9738-D44EBF54A4E6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pt-BR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81-44ED-A448-853B658B25AA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203042.19051712495</c:v>
                </c:pt>
                <c:pt idx="1">
                  <c:v>206058.81584283238</c:v>
                </c:pt>
                <c:pt idx="2">
                  <c:v>199698.57757790788</c:v>
                </c:pt>
                <c:pt idx="3">
                  <c:v>204034.34555113653</c:v>
                </c:pt>
                <c:pt idx="4">
                  <c:v>203353.46516880428</c:v>
                </c:pt>
                <c:pt idx="5">
                  <c:v>206450.32315994732</c:v>
                </c:pt>
                <c:pt idx="6">
                  <c:v>207337.73556531692</c:v>
                </c:pt>
                <c:pt idx="7">
                  <c:v>205848.46844179276</c:v>
                </c:pt>
                <c:pt idx="8">
                  <c:v>203279.78688595706</c:v>
                </c:pt>
                <c:pt idx="9">
                  <c:v>201548.75688795984</c:v>
                </c:pt>
                <c:pt idx="10">
                  <c:v>198167.18226289854</c:v>
                </c:pt>
                <c:pt idx="11">
                  <c:v>194157.78343972508</c:v>
                </c:pt>
                <c:pt idx="12">
                  <c:v>192578.24926208577</c:v>
                </c:pt>
                <c:pt idx="13">
                  <c:v>184720.66383824317</c:v>
                </c:pt>
                <c:pt idx="14">
                  <c:v>180535.43556995707</c:v>
                </c:pt>
                <c:pt idx="15">
                  <c:v>173438.6741647101</c:v>
                </c:pt>
                <c:pt idx="16">
                  <c:v>171920.30208228168</c:v>
                </c:pt>
                <c:pt idx="17">
                  <c:v>169722.22585208016</c:v>
                </c:pt>
                <c:pt idx="18">
                  <c:v>167651.98961476103</c:v>
                </c:pt>
                <c:pt idx="19">
                  <c:v>166196.17284393846</c:v>
                </c:pt>
                <c:pt idx="20">
                  <c:v>165737.63776865631</c:v>
                </c:pt>
                <c:pt idx="21">
                  <c:v>165778.29105305535</c:v>
                </c:pt>
                <c:pt idx="22">
                  <c:v>164749.77505193575</c:v>
                </c:pt>
                <c:pt idx="23">
                  <c:v>163866.87987092385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81-44ED-A448-853B658B25AA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156264</c:v>
                </c:pt>
                <c:pt idx="1">
                  <c:v>190128</c:v>
                </c:pt>
                <c:pt idx="2">
                  <c:v>203592</c:v>
                </c:pt>
                <c:pt idx="3">
                  <c:v>190044</c:v>
                </c:pt>
                <c:pt idx="4">
                  <c:v>175728</c:v>
                </c:pt>
                <c:pt idx="5">
                  <c:v>177420</c:v>
                </c:pt>
                <c:pt idx="6">
                  <c:v>177594.17142857146</c:v>
                </c:pt>
                <c:pt idx="7">
                  <c:v>174910.5</c:v>
                </c:pt>
                <c:pt idx="8">
                  <c:v>172545.06666666665</c:v>
                </c:pt>
                <c:pt idx="9">
                  <c:v>175026.72000000003</c:v>
                </c:pt>
                <c:pt idx="10">
                  <c:v>175628.50909090912</c:v>
                </c:pt>
                <c:pt idx="11">
                  <c:v>175833.00000000003</c:v>
                </c:pt>
                <c:pt idx="12">
                  <c:v>175485.78461538465</c:v>
                </c:pt>
                <c:pt idx="13">
                  <c:v>177451.02857142861</c:v>
                </c:pt>
                <c:pt idx="14">
                  <c:v>179378.72000000006</c:v>
                </c:pt>
                <c:pt idx="15">
                  <c:v>178470.75000000006</c:v>
                </c:pt>
                <c:pt idx="16">
                  <c:v>178996.65882352946</c:v>
                </c:pt>
                <c:pt idx="17">
                  <c:v>180704.66666666672</c:v>
                </c:pt>
                <c:pt idx="18">
                  <c:v>182259.15789473688</c:v>
                </c:pt>
                <c:pt idx="19">
                  <c:v>181021.80000000005</c:v>
                </c:pt>
                <c:pt idx="20">
                  <c:v>181070.28571428574</c:v>
                </c:pt>
                <c:pt idx="21">
                  <c:v>181722.00000000003</c:v>
                </c:pt>
                <c:pt idx="22">
                  <c:v>181648.17391304352</c:v>
                </c:pt>
                <c:pt idx="23">
                  <c:v>187295.4782608696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581-44ED-A448-853B658B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pt-BR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86777.279999999999</c:v>
                </c:pt>
                <c:pt idx="1">
                  <c:v>78065.279999999999</c:v>
                </c:pt>
                <c:pt idx="2">
                  <c:v>86952</c:v>
                </c:pt>
                <c:pt idx="3">
                  <c:v>90329.040000000008</c:v>
                </c:pt>
                <c:pt idx="4">
                  <c:v>86737.535999999993</c:v>
                </c:pt>
                <c:pt idx="5">
                  <c:v>90922.559999999998</c:v>
                </c:pt>
                <c:pt idx="6">
                  <c:v>94952.365714285712</c:v>
                </c:pt>
                <c:pt idx="7">
                  <c:v>98130.599999999991</c:v>
                </c:pt>
                <c:pt idx="8">
                  <c:v>98825.279999999984</c:v>
                </c:pt>
                <c:pt idx="9">
                  <c:v>99648.575999999986</c:v>
                </c:pt>
                <c:pt idx="10">
                  <c:v>99060.218181818171</c:v>
                </c:pt>
                <c:pt idx="11">
                  <c:v>99770.4</c:v>
                </c:pt>
                <c:pt idx="12">
                  <c:v>101685.26769230768</c:v>
                </c:pt>
                <c:pt idx="13">
                  <c:v>103313.62285714285</c:v>
                </c:pt>
                <c:pt idx="14">
                  <c:v>104546.49600000001</c:v>
                </c:pt>
                <c:pt idx="15">
                  <c:v>101757.24</c:v>
                </c:pt>
                <c:pt idx="16">
                  <c:v>102863.26588235296</c:v>
                </c:pt>
                <c:pt idx="17">
                  <c:v>103915.68000000002</c:v>
                </c:pt>
                <c:pt idx="18">
                  <c:v>104922.94736842107</c:v>
                </c:pt>
                <c:pt idx="19">
                  <c:v>105829.48800000001</c:v>
                </c:pt>
                <c:pt idx="20">
                  <c:v>106649.69142857146</c:v>
                </c:pt>
                <c:pt idx="21">
                  <c:v>107419.1563636364</c:v>
                </c:pt>
                <c:pt idx="22">
                  <c:v>108121.71130434785</c:v>
                </c:pt>
                <c:pt idx="23">
                  <c:v>108618.12000000002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D-4672-970A-FF5D3434C0BF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17424</c:v>
                </c:pt>
                <c:pt idx="1">
                  <c:v>14556</c:v>
                </c:pt>
                <c:pt idx="2">
                  <c:v>12656</c:v>
                </c:pt>
                <c:pt idx="3">
                  <c:v>11982</c:v>
                </c:pt>
                <c:pt idx="4">
                  <c:v>21868.800000000003</c:v>
                </c:pt>
                <c:pt idx="5">
                  <c:v>28260</c:v>
                </c:pt>
                <c:pt idx="6">
                  <c:v>31995.428571428572</c:v>
                </c:pt>
                <c:pt idx="7">
                  <c:v>34089</c:v>
                </c:pt>
                <c:pt idx="8">
                  <c:v>37218.666666666672</c:v>
                </c:pt>
                <c:pt idx="9">
                  <c:v>37598.399999999994</c:v>
                </c:pt>
                <c:pt idx="10">
                  <c:v>37570.909090909088</c:v>
                </c:pt>
                <c:pt idx="11">
                  <c:v>40884</c:v>
                </c:pt>
                <c:pt idx="12">
                  <c:v>43152</c:v>
                </c:pt>
                <c:pt idx="13">
                  <c:v>43512</c:v>
                </c:pt>
                <c:pt idx="14">
                  <c:v>43190.399999999994</c:v>
                </c:pt>
                <c:pt idx="15">
                  <c:v>48423</c:v>
                </c:pt>
                <c:pt idx="16">
                  <c:v>53154.352941176476</c:v>
                </c:pt>
                <c:pt idx="17">
                  <c:v>54513.333333333328</c:v>
                </c:pt>
                <c:pt idx="18">
                  <c:v>53373.473684210534</c:v>
                </c:pt>
                <c:pt idx="19">
                  <c:v>54057.600000000006</c:v>
                </c:pt>
                <c:pt idx="20">
                  <c:v>55012.571428571428</c:v>
                </c:pt>
                <c:pt idx="21">
                  <c:v>56870.181818181816</c:v>
                </c:pt>
                <c:pt idx="22">
                  <c:v>57398.608695652176</c:v>
                </c:pt>
                <c:pt idx="23">
                  <c:v>60384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D-4672-970A-FF5D3434C0BF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4D-4672-970A-FF5D3434C0B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86777.279999999999</c:v>
                </c:pt>
                <c:pt idx="1">
                  <c:v>78065.279999999999</c:v>
                </c:pt>
                <c:pt idx="2">
                  <c:v>86952</c:v>
                </c:pt>
                <c:pt idx="3">
                  <c:v>90329.040000000008</c:v>
                </c:pt>
                <c:pt idx="4">
                  <c:v>86737.535999999993</c:v>
                </c:pt>
                <c:pt idx="5">
                  <c:v>90922.559999999998</c:v>
                </c:pt>
                <c:pt idx="6">
                  <c:v>94952.365714285712</c:v>
                </c:pt>
                <c:pt idx="7">
                  <c:v>98130.599999999991</c:v>
                </c:pt>
                <c:pt idx="8">
                  <c:v>98825.279999999984</c:v>
                </c:pt>
                <c:pt idx="9">
                  <c:v>99648.575999999986</c:v>
                </c:pt>
                <c:pt idx="10">
                  <c:v>99060.218181818171</c:v>
                </c:pt>
                <c:pt idx="11">
                  <c:v>99770.4</c:v>
                </c:pt>
                <c:pt idx="12">
                  <c:v>101685.26769230768</c:v>
                </c:pt>
                <c:pt idx="13">
                  <c:v>103313.62285714285</c:v>
                </c:pt>
                <c:pt idx="14">
                  <c:v>104546.49600000001</c:v>
                </c:pt>
                <c:pt idx="15">
                  <c:v>101757.24</c:v>
                </c:pt>
                <c:pt idx="16">
                  <c:v>102863.26588235296</c:v>
                </c:pt>
                <c:pt idx="17">
                  <c:v>103915.68000000002</c:v>
                </c:pt>
                <c:pt idx="18">
                  <c:v>104922.94736842107</c:v>
                </c:pt>
                <c:pt idx="19">
                  <c:v>105829.48800000001</c:v>
                </c:pt>
                <c:pt idx="20">
                  <c:v>106649.69142857146</c:v>
                </c:pt>
                <c:pt idx="21">
                  <c:v>107419.1563636364</c:v>
                </c:pt>
                <c:pt idx="22">
                  <c:v>108121.71130434785</c:v>
                </c:pt>
                <c:pt idx="23">
                  <c:v>108618.12000000002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D-4672-970A-FF5D3434C0BF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17424</c:v>
                </c:pt>
                <c:pt idx="1">
                  <c:v>14556</c:v>
                </c:pt>
                <c:pt idx="2">
                  <c:v>12656</c:v>
                </c:pt>
                <c:pt idx="3">
                  <c:v>11982</c:v>
                </c:pt>
                <c:pt idx="4">
                  <c:v>21868.800000000003</c:v>
                </c:pt>
                <c:pt idx="5">
                  <c:v>28260</c:v>
                </c:pt>
                <c:pt idx="6">
                  <c:v>31995.428571428572</c:v>
                </c:pt>
                <c:pt idx="7">
                  <c:v>34089</c:v>
                </c:pt>
                <c:pt idx="8">
                  <c:v>37218.666666666672</c:v>
                </c:pt>
                <c:pt idx="9">
                  <c:v>37598.399999999994</c:v>
                </c:pt>
                <c:pt idx="10">
                  <c:v>37570.909090909088</c:v>
                </c:pt>
                <c:pt idx="11">
                  <c:v>40884</c:v>
                </c:pt>
                <c:pt idx="12">
                  <c:v>43152</c:v>
                </c:pt>
                <c:pt idx="13">
                  <c:v>43512</c:v>
                </c:pt>
                <c:pt idx="14">
                  <c:v>43190.399999999994</c:v>
                </c:pt>
                <c:pt idx="15">
                  <c:v>48423</c:v>
                </c:pt>
                <c:pt idx="16">
                  <c:v>53154.352941176476</c:v>
                </c:pt>
                <c:pt idx="17">
                  <c:v>54513.333333333328</c:v>
                </c:pt>
                <c:pt idx="18">
                  <c:v>53373.473684210534</c:v>
                </c:pt>
                <c:pt idx="19">
                  <c:v>54057.600000000006</c:v>
                </c:pt>
                <c:pt idx="20">
                  <c:v>55012.571428571428</c:v>
                </c:pt>
                <c:pt idx="21">
                  <c:v>56870.181818181816</c:v>
                </c:pt>
                <c:pt idx="22">
                  <c:v>57398.608695652176</c:v>
                </c:pt>
                <c:pt idx="23">
                  <c:v>60384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94D-4672-970A-FF5D3434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D-440B-ABEF-87812DF345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51993.0864</c:v>
                </c:pt>
                <c:pt idx="2">
                  <c:v>53229.254400000005</c:v>
                </c:pt>
                <c:pt idx="3">
                  <c:v>52466.601600000002</c:v>
                </c:pt>
                <c:pt idx="4">
                  <c:v>52110.696960000008</c:v>
                </c:pt>
                <c:pt idx="5">
                  <c:v>52221.2304</c:v>
                </c:pt>
                <c:pt idx="6">
                  <c:v>52545.620571428575</c:v>
                </c:pt>
                <c:pt idx="7">
                  <c:v>53003.671199999997</c:v>
                </c:pt>
                <c:pt idx="8">
                  <c:v>53015.078399999999</c:v>
                </c:pt>
                <c:pt idx="9">
                  <c:v>49663.224000000002</c:v>
                </c:pt>
                <c:pt idx="10">
                  <c:v>46684.865454545456</c:v>
                </c:pt>
                <c:pt idx="11">
                  <c:v>44202.9</c:v>
                </c:pt>
                <c:pt idx="12">
                  <c:v>44291.668430769234</c:v>
                </c:pt>
                <c:pt idx="13">
                  <c:v>43333.325485714289</c:v>
                </c:pt>
                <c:pt idx="14">
                  <c:v>40444.437120000002</c:v>
                </c:pt>
                <c:pt idx="15">
                  <c:v>37916.659800000001</c:v>
                </c:pt>
                <c:pt idx="16">
                  <c:v>36538.151717647059</c:v>
                </c:pt>
                <c:pt idx="17">
                  <c:v>36519.646400000005</c:v>
                </c:pt>
                <c:pt idx="18">
                  <c:v>35941.134315789473</c:v>
                </c:pt>
                <c:pt idx="19">
                  <c:v>35204.807520000002</c:v>
                </c:pt>
                <c:pt idx="20">
                  <c:v>35409.412114285711</c:v>
                </c:pt>
                <c:pt idx="21">
                  <c:v>35477.450181818182</c:v>
                </c:pt>
                <c:pt idx="22">
                  <c:v>35561.677773913041</c:v>
                </c:pt>
                <c:pt idx="23">
                  <c:v>35315.9928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D-440B-ABEF-87812DF345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51840</c:v>
                </c:pt>
                <c:pt idx="1">
                  <c:v>45000</c:v>
                </c:pt>
                <c:pt idx="2">
                  <c:v>44400</c:v>
                </c:pt>
                <c:pt idx="3">
                  <c:v>46800</c:v>
                </c:pt>
                <c:pt idx="4">
                  <c:v>46464</c:v>
                </c:pt>
                <c:pt idx="5">
                  <c:v>43880</c:v>
                </c:pt>
                <c:pt idx="6">
                  <c:v>39908.571428571428</c:v>
                </c:pt>
                <c:pt idx="7">
                  <c:v>39060</c:v>
                </c:pt>
                <c:pt idx="8">
                  <c:v>37920</c:v>
                </c:pt>
                <c:pt idx="9">
                  <c:v>38472</c:v>
                </c:pt>
                <c:pt idx="10">
                  <c:v>38356.36363636364</c:v>
                </c:pt>
                <c:pt idx="11">
                  <c:v>38680</c:v>
                </c:pt>
                <c:pt idx="12">
                  <c:v>37126.153846153844</c:v>
                </c:pt>
                <c:pt idx="13">
                  <c:v>36960</c:v>
                </c:pt>
                <c:pt idx="14">
                  <c:v>38656</c:v>
                </c:pt>
                <c:pt idx="15">
                  <c:v>38880</c:v>
                </c:pt>
                <c:pt idx="16">
                  <c:v>39670.588235294119</c:v>
                </c:pt>
                <c:pt idx="17">
                  <c:v>40906.666666666664</c:v>
                </c:pt>
                <c:pt idx="18">
                  <c:v>40282.105263157893</c:v>
                </c:pt>
                <c:pt idx="19">
                  <c:v>40248</c:v>
                </c:pt>
                <c:pt idx="20">
                  <c:v>41142.857142857145</c:v>
                </c:pt>
                <c:pt idx="21">
                  <c:v>41640</c:v>
                </c:pt>
                <c:pt idx="22">
                  <c:v>41457.391304347824</c:v>
                </c:pt>
                <c:pt idx="23">
                  <c:v>42646.956521739135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CD-440B-ABEF-87812DF3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49-4462-A839-4183FB1DAA05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3810.0000000000009</c:v>
                </c:pt>
                <c:pt idx="1">
                  <c:v>3810.0000000000009</c:v>
                </c:pt>
                <c:pt idx="2">
                  <c:v>3810.0000000000009</c:v>
                </c:pt>
                <c:pt idx="3">
                  <c:v>3810.0000000000009</c:v>
                </c:pt>
                <c:pt idx="4">
                  <c:v>3810.0000000000009</c:v>
                </c:pt>
                <c:pt idx="5">
                  <c:v>3810.0000000000009</c:v>
                </c:pt>
                <c:pt idx="6">
                  <c:v>3810.0000000000009</c:v>
                </c:pt>
                <c:pt idx="7">
                  <c:v>3810.0000000000009</c:v>
                </c:pt>
                <c:pt idx="8">
                  <c:v>3810.0000000000009</c:v>
                </c:pt>
                <c:pt idx="9">
                  <c:v>3810.0000000000009</c:v>
                </c:pt>
                <c:pt idx="10">
                  <c:v>3810.0000000000009</c:v>
                </c:pt>
                <c:pt idx="11">
                  <c:v>3810.0000000000009</c:v>
                </c:pt>
                <c:pt idx="12">
                  <c:v>3810.0000000000009</c:v>
                </c:pt>
                <c:pt idx="13">
                  <c:v>3810.0000000000009</c:v>
                </c:pt>
                <c:pt idx="14">
                  <c:v>3810.0000000000009</c:v>
                </c:pt>
                <c:pt idx="15">
                  <c:v>3810.0000000000009</c:v>
                </c:pt>
                <c:pt idx="16">
                  <c:v>3810.0000000000009</c:v>
                </c:pt>
                <c:pt idx="17">
                  <c:v>3810.0000000000009</c:v>
                </c:pt>
                <c:pt idx="18">
                  <c:v>3810.0000000000009</c:v>
                </c:pt>
                <c:pt idx="19">
                  <c:v>3810.0000000000009</c:v>
                </c:pt>
                <c:pt idx="20">
                  <c:v>3810.0000000000009</c:v>
                </c:pt>
                <c:pt idx="21">
                  <c:v>3810.0000000000009</c:v>
                </c:pt>
                <c:pt idx="22">
                  <c:v>3810.0000000000009</c:v>
                </c:pt>
                <c:pt idx="23">
                  <c:v>3810.0000000000009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462-A839-4183FB1DAA05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949-4462-A839-4183FB1DA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14426.140471546874</c:v>
                </c:pt>
                <c:pt idx="1">
                  <c:v>13901.124715355825</c:v>
                </c:pt>
                <c:pt idx="2">
                  <c:v>14633.963810335788</c:v>
                </c:pt>
                <c:pt idx="3">
                  <c:v>15478.768861284272</c:v>
                </c:pt>
                <c:pt idx="4">
                  <c:v>13645.772584978129</c:v>
                </c:pt>
                <c:pt idx="5">
                  <c:v>16265.257946485945</c:v>
                </c:pt>
                <c:pt idx="6">
                  <c:v>16253.973816563939</c:v>
                </c:pt>
                <c:pt idx="7">
                  <c:v>15659.244340713485</c:v>
                </c:pt>
                <c:pt idx="8">
                  <c:v>14334.557934969642</c:v>
                </c:pt>
                <c:pt idx="9">
                  <c:v>13180.5942210827</c:v>
                </c:pt>
                <c:pt idx="10">
                  <c:v>11593.306500511912</c:v>
                </c:pt>
                <c:pt idx="11">
                  <c:v>11597.836516034047</c:v>
                </c:pt>
                <c:pt idx="12">
                  <c:v>14477.267030433915</c:v>
                </c:pt>
                <c:pt idx="13">
                  <c:v>10072.465022012067</c:v>
                </c:pt>
                <c:pt idx="14">
                  <c:v>10314.956658914645</c:v>
                </c:pt>
                <c:pt idx="15">
                  <c:v>5446.4855452502288</c:v>
                </c:pt>
                <c:pt idx="16">
                  <c:v>11936.585465142796</c:v>
                </c:pt>
                <c:pt idx="17">
                  <c:v>12257.362747443929</c:v>
                </c:pt>
                <c:pt idx="18">
                  <c:v>11782.475589292339</c:v>
                </c:pt>
                <c:pt idx="19">
                  <c:v>11942.25052492957</c:v>
                </c:pt>
                <c:pt idx="20">
                  <c:v>13455.508344292244</c:v>
                </c:pt>
                <c:pt idx="21">
                  <c:v>13788.590817726468</c:v>
                </c:pt>
                <c:pt idx="22">
                  <c:v>12788.542826137686</c:v>
                </c:pt>
                <c:pt idx="23">
                  <c:v>12377.960379485432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E26-4CE7-B0BD-7E6F8A19DE4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9397</c:v>
                </c:pt>
                <c:pt idx="1">
                  <c:v>11410</c:v>
                </c:pt>
                <c:pt idx="2">
                  <c:v>11774</c:v>
                </c:pt>
                <c:pt idx="3">
                  <c:v>8890</c:v>
                </c:pt>
                <c:pt idx="4">
                  <c:v>9375</c:v>
                </c:pt>
                <c:pt idx="5">
                  <c:v>11544</c:v>
                </c:pt>
                <c:pt idx="6">
                  <c:v>10380.299999999999</c:v>
                </c:pt>
                <c:pt idx="7">
                  <c:v>9916.2000000000007</c:v>
                </c:pt>
                <c:pt idx="8">
                  <c:v>10194.900000000001</c:v>
                </c:pt>
                <c:pt idx="9">
                  <c:v>11742.400000000001</c:v>
                </c:pt>
                <c:pt idx="10">
                  <c:v>10672.6</c:v>
                </c:pt>
                <c:pt idx="11">
                  <c:v>12402.1</c:v>
                </c:pt>
                <c:pt idx="12">
                  <c:v>10840.3</c:v>
                </c:pt>
                <c:pt idx="13">
                  <c:v>11916.3</c:v>
                </c:pt>
                <c:pt idx="14">
                  <c:v>12810.6</c:v>
                </c:pt>
                <c:pt idx="15">
                  <c:v>13916.8</c:v>
                </c:pt>
                <c:pt idx="16">
                  <c:v>15357.8</c:v>
                </c:pt>
                <c:pt idx="17">
                  <c:v>14553.2</c:v>
                </c:pt>
                <c:pt idx="18">
                  <c:v>11339</c:v>
                </c:pt>
                <c:pt idx="19">
                  <c:v>11007</c:v>
                </c:pt>
                <c:pt idx="20">
                  <c:v>13133</c:v>
                </c:pt>
                <c:pt idx="21">
                  <c:v>14307</c:v>
                </c:pt>
                <c:pt idx="22">
                  <c:v>11937</c:v>
                </c:pt>
                <c:pt idx="23">
                  <c:v>9413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3-CE26-4CE7-B0BD-7E6F8A19DE4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5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7-CE26-4CE7-B0BD-7E6F8A19DE49}"/>
              </c:ext>
            </c:extLst>
          </c:dPt>
          <c:dLbls>
            <c:dLbl>
              <c:idx val="25"/>
              <c:layout>
                <c:manualLayout>
                  <c:x val="-6.5750060835060783E-4"/>
                  <c:y val="-0.22934687527546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E26-4CE7-B0BD-7E6F8A19DE49}"/>
                </c:ext>
              </c:extLst>
            </c:dLbl>
            <c:dLbl>
              <c:idx val="26"/>
              <c:layout>
                <c:manualLayout>
                  <c:x val="-2.0005550630956879E-5"/>
                  <c:y val="-5.94269467995462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CE26-4CE7-B0BD-7E6F8A19DE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298822.4498447862</c:v>
                </c:pt>
                <c:pt idx="26">
                  <c:v>311610.99267092388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E26-4CE7-B0BD-7E6F8A19DE4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B-CE26-4CE7-B0BD-7E6F8A19DE4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D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F-CE26-4CE7-B0BD-7E6F8A19DE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278229.5</c:v>
                </c:pt>
                <c:pt idx="26">
                  <c:v>293000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5</c:v>
                </c:pt>
                <c:pt idx="1">
                  <c:v>4</c:v>
                </c:pt>
                <c:pt idx="2">
                  <c:v>1</c:v>
                </c:pt>
                <c:pt idx="3">
                  <c:v>8</c:v>
                </c:pt>
                <c:pt idx="4">
                  <c:v>6h</c:v>
                </c:pt>
              </c:strCache>
            </c:str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3423.580984978129</c:v>
                </c:pt>
                <c:pt idx="1">
                  <c:v>2818.4020612842723</c:v>
                </c:pt>
                <c:pt idx="2">
                  <c:v>1949.091271546873</c:v>
                </c:pt>
                <c:pt idx="3">
                  <c:v>1637.4499407134854</c:v>
                </c:pt>
                <c:pt idx="4">
                  <c:v>1502.2755464859456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C-4F0A-931E-9C7A415C9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19</c:v>
                </c:pt>
                <c:pt idx="3">
                  <c:v>15</c:v>
                </c:pt>
                <c:pt idx="4">
                  <c:v>14</c:v>
                </c:pt>
              </c:numCache>
            </c:num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3994.5599999999995</c:v>
                </c:pt>
                <c:pt idx="1">
                  <c:v>3770.84</c:v>
                </c:pt>
                <c:pt idx="2">
                  <c:v>3758.24</c:v>
                </c:pt>
                <c:pt idx="3">
                  <c:v>3463.2799999999997</c:v>
                </c:pt>
                <c:pt idx="4">
                  <c:v>3178.76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7-4AD0-8B6E-FE6F6D22A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13</c:v>
                </c:pt>
                <c:pt idx="2">
                  <c:v>9</c:v>
                </c:pt>
                <c:pt idx="3">
                  <c:v>8</c:v>
                </c:pt>
                <c:pt idx="4">
                  <c:v>6h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1600.4984000000004</c:v>
                </c:pt>
                <c:pt idx="1">
                  <c:v>1119.8703999999998</c:v>
                </c:pt>
                <c:pt idx="2">
                  <c:v>1012.7639999999997</c:v>
                </c:pt>
                <c:pt idx="3">
                  <c:v>962.08439999999973</c:v>
                </c:pt>
                <c:pt idx="4">
                  <c:v>908.91240000000016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52B-AA53-7921D9E6E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158.75000000000003</c:v>
                </c:pt>
                <c:pt idx="1">
                  <c:v>158.75000000000003</c:v>
                </c:pt>
                <c:pt idx="2">
                  <c:v>158.75000000000003</c:v>
                </c:pt>
                <c:pt idx="3">
                  <c:v>158.75000000000003</c:v>
                </c:pt>
                <c:pt idx="4">
                  <c:v>158.75000000000003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D-4E26-B52B-83120A385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8460.091271546873</c:v>
                </c:pt>
                <c:pt idx="1">
                  <c:v>8711.4767153558241</c:v>
                </c:pt>
                <c:pt idx="2">
                  <c:v>7790.7542103357882</c:v>
                </c:pt>
                <c:pt idx="3">
                  <c:v>9043.4020612842723</c:v>
                </c:pt>
                <c:pt idx="4">
                  <c:v>8359.580984978129</c:v>
                </c:pt>
                <c:pt idx="5">
                  <c:v>9247.2755464859456</c:v>
                </c:pt>
                <c:pt idx="6">
                  <c:v>8860.9254165639395</c:v>
                </c:pt>
                <c:pt idx="7">
                  <c:v>8142.6499407134852</c:v>
                </c:pt>
                <c:pt idx="8">
                  <c:v>7613.7639349696437</c:v>
                </c:pt>
                <c:pt idx="9">
                  <c:v>7748.7286210826987</c:v>
                </c:pt>
                <c:pt idx="10">
                  <c:v>6847.9765005119116</c:v>
                </c:pt>
                <c:pt idx="11">
                  <c:v>6252.2665160340457</c:v>
                </c:pt>
                <c:pt idx="12">
                  <c:v>7234.3266304339168</c:v>
                </c:pt>
                <c:pt idx="13">
                  <c:v>3440.5022220120659</c:v>
                </c:pt>
                <c:pt idx="14">
                  <c:v>5080.9266589146446</c:v>
                </c:pt>
                <c:pt idx="15">
                  <c:v>2791.1355452502285</c:v>
                </c:pt>
                <c:pt idx="16">
                  <c:v>6151.0978651427959</c:v>
                </c:pt>
                <c:pt idx="17">
                  <c:v>5514.7887474439294</c:v>
                </c:pt>
                <c:pt idx="18">
                  <c:v>5432.8223892923406</c:v>
                </c:pt>
                <c:pt idx="19">
                  <c:v>5772.318924929571</c:v>
                </c:pt>
                <c:pt idx="20">
                  <c:v>6523.6223442922437</c:v>
                </c:pt>
                <c:pt idx="21">
                  <c:v>6943.0004177264691</c:v>
                </c:pt>
                <c:pt idx="22">
                  <c:v>5921.7676261376855</c:v>
                </c:pt>
                <c:pt idx="23">
                  <c:v>5981.6787794854317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78-4AB8-8A8D-D732419562A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6511</c:v>
                </c:pt>
                <c:pt idx="1">
                  <c:v>9333</c:v>
                </c:pt>
                <c:pt idx="2">
                  <c:v>9605</c:v>
                </c:pt>
                <c:pt idx="3">
                  <c:v>6225</c:v>
                </c:pt>
                <c:pt idx="4">
                  <c:v>4936</c:v>
                </c:pt>
                <c:pt idx="5">
                  <c:v>7745</c:v>
                </c:pt>
                <c:pt idx="6">
                  <c:v>7443.3</c:v>
                </c:pt>
                <c:pt idx="7">
                  <c:v>6505.2</c:v>
                </c:pt>
                <c:pt idx="8">
                  <c:v>6400.9000000000005</c:v>
                </c:pt>
                <c:pt idx="9">
                  <c:v>8223.4000000000015</c:v>
                </c:pt>
                <c:pt idx="10">
                  <c:v>7568.6</c:v>
                </c:pt>
                <c:pt idx="11">
                  <c:v>7420.1</c:v>
                </c:pt>
                <c:pt idx="12">
                  <c:v>7138.3</c:v>
                </c:pt>
                <c:pt idx="13">
                  <c:v>8458.2999999999993</c:v>
                </c:pt>
                <c:pt idx="14">
                  <c:v>8598.6</c:v>
                </c:pt>
                <c:pt idx="15">
                  <c:v>6868.7999999999993</c:v>
                </c:pt>
                <c:pt idx="16">
                  <c:v>7808.7999999999993</c:v>
                </c:pt>
                <c:pt idx="17">
                  <c:v>8739.2000000000007</c:v>
                </c:pt>
                <c:pt idx="18">
                  <c:v>8760</c:v>
                </c:pt>
                <c:pt idx="19">
                  <c:v>6563</c:v>
                </c:pt>
                <c:pt idx="20">
                  <c:v>7585</c:v>
                </c:pt>
                <c:pt idx="21">
                  <c:v>8142</c:v>
                </c:pt>
                <c:pt idx="22">
                  <c:v>7501</c:v>
                </c:pt>
                <c:pt idx="23">
                  <c:v>5412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8378-4AB8-8A8D-D732419562A4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8378-4AB8-8A8D-D732419562A4}"/>
              </c:ext>
            </c:extLst>
          </c:dPt>
          <c:dLbls>
            <c:dLbl>
              <c:idx val="25"/>
              <c:layout>
                <c:manualLayout>
                  <c:x val="-9.3426526819987571E-4"/>
                  <c:y val="-2.4901364033765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378-4AB8-8A8D-D732419562A4}"/>
                </c:ext>
              </c:extLst>
            </c:dLbl>
            <c:dLbl>
              <c:idx val="26"/>
              <c:layout>
                <c:manualLayout>
                  <c:x val="-9.9239698712925246E-4"/>
                  <c:y val="-2.5752090807660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378-4AB8-8A8D-D732419562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163866.87987092385</c:v>
                </c:pt>
                <c:pt idx="26">
                  <c:v>163866.87987092385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78-4AB8-8A8D-D732419562A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8378-4AB8-8A8D-D732419562A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8378-4AB8-8A8D-D732419562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179491.50000000003</c:v>
                </c:pt>
                <c:pt idx="26">
                  <c:v>195000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3615.7200000000003</c:v>
                </c:pt>
                <c:pt idx="1">
                  <c:v>2889.7200000000003</c:v>
                </c:pt>
                <c:pt idx="2">
                  <c:v>4363.5599999999995</c:v>
                </c:pt>
                <c:pt idx="3">
                  <c:v>4185.84</c:v>
                </c:pt>
                <c:pt idx="4">
                  <c:v>3015.48</c:v>
                </c:pt>
                <c:pt idx="5">
                  <c:v>4660.32</c:v>
                </c:pt>
                <c:pt idx="6">
                  <c:v>4963.8</c:v>
                </c:pt>
                <c:pt idx="7">
                  <c:v>5015.76</c:v>
                </c:pt>
                <c:pt idx="8">
                  <c:v>4349.28</c:v>
                </c:pt>
                <c:pt idx="9">
                  <c:v>4460.76</c:v>
                </c:pt>
                <c:pt idx="10">
                  <c:v>3882.3599999999997</c:v>
                </c:pt>
                <c:pt idx="11">
                  <c:v>4482.6000000000004</c:v>
                </c:pt>
                <c:pt idx="12">
                  <c:v>5194.32</c:v>
                </c:pt>
                <c:pt idx="13">
                  <c:v>5186.76</c:v>
                </c:pt>
                <c:pt idx="14">
                  <c:v>5075.28</c:v>
                </c:pt>
                <c:pt idx="15">
                  <c:v>2496.6</c:v>
                </c:pt>
                <c:pt idx="16">
                  <c:v>5023.32</c:v>
                </c:pt>
                <c:pt idx="17">
                  <c:v>5075.28</c:v>
                </c:pt>
                <c:pt idx="18">
                  <c:v>5127.24</c:v>
                </c:pt>
                <c:pt idx="19">
                  <c:v>5127.24</c:v>
                </c:pt>
                <c:pt idx="20">
                  <c:v>5127.24</c:v>
                </c:pt>
                <c:pt idx="21">
                  <c:v>5149.08</c:v>
                </c:pt>
                <c:pt idx="22">
                  <c:v>5149.08</c:v>
                </c:pt>
                <c:pt idx="23">
                  <c:v>5001.4800000000005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1F-4AD7-9BE2-02AE4DEFFCC2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726</c:v>
                </c:pt>
                <c:pt idx="1">
                  <c:v>487</c:v>
                </c:pt>
                <c:pt idx="2">
                  <c:v>369</c:v>
                </c:pt>
                <c:pt idx="3">
                  <c:v>415</c:v>
                </c:pt>
                <c:pt idx="4">
                  <c:v>2559</c:v>
                </c:pt>
                <c:pt idx="5">
                  <c:v>2509</c:v>
                </c:pt>
                <c:pt idx="6">
                  <c:v>2267</c:v>
                </c:pt>
                <c:pt idx="7">
                  <c:v>2031</c:v>
                </c:pt>
                <c:pt idx="8">
                  <c:v>2594</c:v>
                </c:pt>
                <c:pt idx="9">
                  <c:v>1709</c:v>
                </c:pt>
                <c:pt idx="10">
                  <c:v>1554</c:v>
                </c:pt>
                <c:pt idx="11">
                  <c:v>3222</c:v>
                </c:pt>
                <c:pt idx="12">
                  <c:v>2932</c:v>
                </c:pt>
                <c:pt idx="13">
                  <c:v>2008</c:v>
                </c:pt>
                <c:pt idx="14">
                  <c:v>1612</c:v>
                </c:pt>
                <c:pt idx="15">
                  <c:v>5288</c:v>
                </c:pt>
                <c:pt idx="16">
                  <c:v>5369</c:v>
                </c:pt>
                <c:pt idx="17">
                  <c:v>3234</c:v>
                </c:pt>
                <c:pt idx="18">
                  <c:v>1369</c:v>
                </c:pt>
                <c:pt idx="19">
                  <c:v>2794</c:v>
                </c:pt>
                <c:pt idx="20">
                  <c:v>3088</c:v>
                </c:pt>
                <c:pt idx="21">
                  <c:v>3995</c:v>
                </c:pt>
                <c:pt idx="22">
                  <c:v>2876</c:v>
                </c:pt>
                <c:pt idx="23">
                  <c:v>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741F-4AD7-9BE2-02AE4DEFFCC2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741F-4AD7-9BE2-02AE4DEFFCC2}"/>
              </c:ext>
            </c:extLst>
          </c:dPt>
          <c:dLbls>
            <c:dLbl>
              <c:idx val="25"/>
              <c:layout>
                <c:manualLayout>
                  <c:x val="-1.3429310977132966E-3"/>
                  <c:y val="-5.40054322367055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41F-4AD7-9BE2-02AE4DEFFCC2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41F-4AD7-9BE2-02AE4DEFF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108618.12000000002</c:v>
                </c:pt>
                <c:pt idx="26">
                  <c:v>108618.12000000002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41F-4AD7-9BE2-02AE4DEFFCC2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741F-4AD7-9BE2-02AE4DEFFCC2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741F-4AD7-9BE2-02AE4DEFFC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57868</c:v>
                </c:pt>
                <c:pt idx="26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2191.5791999999997</c:v>
                </c:pt>
                <c:pt idx="1">
                  <c:v>2141.1779999999999</c:v>
                </c:pt>
                <c:pt idx="2">
                  <c:v>2320.8996000000002</c:v>
                </c:pt>
                <c:pt idx="3">
                  <c:v>2090.7768000000001</c:v>
                </c:pt>
                <c:pt idx="4">
                  <c:v>2111.9616000000001</c:v>
                </c:pt>
                <c:pt idx="5">
                  <c:v>2198.9124000000002</c:v>
                </c:pt>
                <c:pt idx="6">
                  <c:v>2270.4984000000004</c:v>
                </c:pt>
                <c:pt idx="7">
                  <c:v>2342.0843999999997</c:v>
                </c:pt>
                <c:pt idx="8">
                  <c:v>2212.7639999999997</c:v>
                </c:pt>
                <c:pt idx="9">
                  <c:v>812.35560000000009</c:v>
                </c:pt>
                <c:pt idx="10">
                  <c:v>704.2199999999998</c:v>
                </c:pt>
                <c:pt idx="11">
                  <c:v>704.22000000000025</c:v>
                </c:pt>
                <c:pt idx="12">
                  <c:v>1889.8703999999998</c:v>
                </c:pt>
                <c:pt idx="13">
                  <c:v>1286.4528</c:v>
                </c:pt>
                <c:pt idx="14">
                  <c:v>0</c:v>
                </c:pt>
                <c:pt idx="15">
                  <c:v>0</c:v>
                </c:pt>
                <c:pt idx="16">
                  <c:v>603.41759999999999</c:v>
                </c:pt>
                <c:pt idx="17">
                  <c:v>1508.5440000000001</c:v>
                </c:pt>
                <c:pt idx="18">
                  <c:v>1063.6632</c:v>
                </c:pt>
                <c:pt idx="19">
                  <c:v>883.94159999999999</c:v>
                </c:pt>
                <c:pt idx="20">
                  <c:v>1645.896</c:v>
                </c:pt>
                <c:pt idx="21">
                  <c:v>1537.7603999999999</c:v>
                </c:pt>
                <c:pt idx="22">
                  <c:v>1558.9452000000001</c:v>
                </c:pt>
                <c:pt idx="23">
                  <c:v>1236.0516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87-46B4-9367-BCEC274863BE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2160</c:v>
                </c:pt>
                <c:pt idx="1">
                  <c:v>1590</c:v>
                </c:pt>
                <c:pt idx="2">
                  <c:v>1800</c:v>
                </c:pt>
                <c:pt idx="3">
                  <c:v>2250</c:v>
                </c:pt>
                <c:pt idx="4">
                  <c:v>1880</c:v>
                </c:pt>
                <c:pt idx="5">
                  <c:v>1290</c:v>
                </c:pt>
                <c:pt idx="6">
                  <c:v>670</c:v>
                </c:pt>
                <c:pt idx="7">
                  <c:v>1380</c:v>
                </c:pt>
                <c:pt idx="8">
                  <c:v>1200</c:v>
                </c:pt>
                <c:pt idx="9">
                  <c:v>1810</c:v>
                </c:pt>
                <c:pt idx="10">
                  <c:v>1550</c:v>
                </c:pt>
                <c:pt idx="11">
                  <c:v>1760</c:v>
                </c:pt>
                <c:pt idx="12">
                  <c:v>770</c:v>
                </c:pt>
                <c:pt idx="13">
                  <c:v>1450</c:v>
                </c:pt>
                <c:pt idx="14">
                  <c:v>2600</c:v>
                </c:pt>
                <c:pt idx="15">
                  <c:v>1760</c:v>
                </c:pt>
                <c:pt idx="16">
                  <c:v>2180</c:v>
                </c:pt>
                <c:pt idx="17">
                  <c:v>2580</c:v>
                </c:pt>
                <c:pt idx="18">
                  <c:v>1210</c:v>
                </c:pt>
                <c:pt idx="19">
                  <c:v>1650</c:v>
                </c:pt>
                <c:pt idx="20">
                  <c:v>2460</c:v>
                </c:pt>
                <c:pt idx="21">
                  <c:v>2170</c:v>
                </c:pt>
                <c:pt idx="22">
                  <c:v>1560</c:v>
                </c:pt>
                <c:pt idx="23">
                  <c:v>1140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C587-46B4-9367-BCEC274863BE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C587-46B4-9367-BCEC274863BE}"/>
              </c:ext>
            </c:extLst>
          </c:dPt>
          <c:dLbls>
            <c:dLbl>
              <c:idx val="25"/>
              <c:layout>
                <c:manualLayout>
                  <c:x val="-1.2311934070713998E-3"/>
                  <c:y val="-0.11259507555391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587-46B4-9367-BCEC274863BE}"/>
                </c:ext>
              </c:extLst>
            </c:dLbl>
            <c:dLbl>
              <c:idx val="26"/>
              <c:layout>
                <c:manualLayout>
                  <c:x val="6.7719104237266788E-5"/>
                  <c:y val="-8.058089386777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587-46B4-9367-BCEC274863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35315.9928</c:v>
                </c:pt>
                <c:pt idx="26">
                  <c:v>35315.9928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87-46B4-9367-BCEC274863BE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587-46B4-9367-BCEC274863BE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587-46B4-9367-BCEC27486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40870</c:v>
                </c:pt>
                <c:pt idx="26">
                  <c:v>38000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158.75000000000003</c:v>
                </c:pt>
                <c:pt idx="1">
                  <c:v>158.75000000000003</c:v>
                </c:pt>
                <c:pt idx="2">
                  <c:v>158.75000000000003</c:v>
                </c:pt>
                <c:pt idx="3">
                  <c:v>158.75000000000003</c:v>
                </c:pt>
                <c:pt idx="4">
                  <c:v>158.75000000000003</c:v>
                </c:pt>
                <c:pt idx="5">
                  <c:v>158.75000000000003</c:v>
                </c:pt>
                <c:pt idx="6">
                  <c:v>158.75000000000003</c:v>
                </c:pt>
                <c:pt idx="7">
                  <c:v>158.75000000000003</c:v>
                </c:pt>
                <c:pt idx="8">
                  <c:v>158.75000000000003</c:v>
                </c:pt>
                <c:pt idx="9">
                  <c:v>158.75000000000003</c:v>
                </c:pt>
                <c:pt idx="10">
                  <c:v>158.75000000000003</c:v>
                </c:pt>
                <c:pt idx="11">
                  <c:v>158.75000000000003</c:v>
                </c:pt>
                <c:pt idx="12">
                  <c:v>158.75000000000003</c:v>
                </c:pt>
                <c:pt idx="13">
                  <c:v>158.75000000000003</c:v>
                </c:pt>
                <c:pt idx="14">
                  <c:v>158.75000000000003</c:v>
                </c:pt>
                <c:pt idx="15">
                  <c:v>158.75000000000003</c:v>
                </c:pt>
                <c:pt idx="16">
                  <c:v>158.75000000000003</c:v>
                </c:pt>
                <c:pt idx="17">
                  <c:v>158.75000000000003</c:v>
                </c:pt>
                <c:pt idx="18">
                  <c:v>158.75000000000003</c:v>
                </c:pt>
                <c:pt idx="19">
                  <c:v>158.75000000000003</c:v>
                </c:pt>
                <c:pt idx="20">
                  <c:v>158.75000000000003</c:v>
                </c:pt>
                <c:pt idx="21">
                  <c:v>158.75000000000003</c:v>
                </c:pt>
                <c:pt idx="22">
                  <c:v>158.75000000000003</c:v>
                </c:pt>
                <c:pt idx="23">
                  <c:v>158.75000000000003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8A7-4F89-B14C-7E832BEC565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7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9-C8A7-4F89-B14C-7E832BEC5656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B-C8A7-4F89-B14C-7E832BEC5656}"/>
              </c:ext>
            </c:extLst>
          </c:dPt>
          <c:dLbls>
            <c:dLbl>
              <c:idx val="25"/>
              <c:layout>
                <c:manualLayout>
                  <c:x val="-4.8246069236984237E-3"/>
                  <c:y val="-0.39382742042210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A7-4F89-B14C-7E832BEC5656}"/>
                </c:ext>
              </c:extLst>
            </c:dLbl>
            <c:dLbl>
              <c:idx val="26"/>
              <c:layout>
                <c:manualLayout>
                  <c:x val="-2.8947641542190544E-3"/>
                  <c:y val="-0.208165092615300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A7-4F89-B14C-7E832BEC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3810.0000000000005</c:v>
                </c:pt>
                <c:pt idx="26">
                  <c:v>3810.0000000000005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A7-4F89-B14C-7E832BEC565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8A7-4F89-B14C-7E832BEC565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8A7-4F89-B14C-7E832BEC5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14426.140471546874</c:v>
                </c:pt>
                <c:pt idx="1">
                  <c:v>13901.124715355825</c:v>
                </c:pt>
                <c:pt idx="2">
                  <c:v>14633.963810335788</c:v>
                </c:pt>
                <c:pt idx="3">
                  <c:v>15478.768861284272</c:v>
                </c:pt>
                <c:pt idx="4">
                  <c:v>13645.772584978129</c:v>
                </c:pt>
                <c:pt idx="5">
                  <c:v>16265.257946485945</c:v>
                </c:pt>
                <c:pt idx="6">
                  <c:v>16253.973816563939</c:v>
                </c:pt>
                <c:pt idx="7">
                  <c:v>15659.244340713485</c:v>
                </c:pt>
                <c:pt idx="8">
                  <c:v>14334.557934969642</c:v>
                </c:pt>
                <c:pt idx="9">
                  <c:v>13180.5942210827</c:v>
                </c:pt>
                <c:pt idx="10">
                  <c:v>11593.306500511912</c:v>
                </c:pt>
                <c:pt idx="11">
                  <c:v>11597.836516034047</c:v>
                </c:pt>
                <c:pt idx="12">
                  <c:v>14477.267030433915</c:v>
                </c:pt>
                <c:pt idx="13">
                  <c:v>10072.465022012067</c:v>
                </c:pt>
                <c:pt idx="14">
                  <c:v>10314.956658914645</c:v>
                </c:pt>
                <c:pt idx="15">
                  <c:v>5446.4855452502288</c:v>
                </c:pt>
                <c:pt idx="16">
                  <c:v>11936.585465142796</c:v>
                </c:pt>
                <c:pt idx="17">
                  <c:v>12257.362747443929</c:v>
                </c:pt>
                <c:pt idx="18">
                  <c:v>11782.475589292339</c:v>
                </c:pt>
                <c:pt idx="19">
                  <c:v>11942.25052492957</c:v>
                </c:pt>
                <c:pt idx="20">
                  <c:v>13455.508344292244</c:v>
                </c:pt>
                <c:pt idx="21">
                  <c:v>13788.590817726468</c:v>
                </c:pt>
                <c:pt idx="22">
                  <c:v>12788.542826137686</c:v>
                </c:pt>
                <c:pt idx="23">
                  <c:v>12377.960379485432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D-47BB-A65A-F48F1EE4D548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9397</c:v>
                </c:pt>
                <c:pt idx="1">
                  <c:v>11410</c:v>
                </c:pt>
                <c:pt idx="2">
                  <c:v>11774</c:v>
                </c:pt>
                <c:pt idx="3">
                  <c:v>8890</c:v>
                </c:pt>
                <c:pt idx="4">
                  <c:v>9375</c:v>
                </c:pt>
                <c:pt idx="5">
                  <c:v>11544</c:v>
                </c:pt>
                <c:pt idx="6">
                  <c:v>10380.299999999999</c:v>
                </c:pt>
                <c:pt idx="7">
                  <c:v>9916.2000000000007</c:v>
                </c:pt>
                <c:pt idx="8">
                  <c:v>10194.900000000001</c:v>
                </c:pt>
                <c:pt idx="9">
                  <c:v>11742.400000000001</c:v>
                </c:pt>
                <c:pt idx="10">
                  <c:v>10672.6</c:v>
                </c:pt>
                <c:pt idx="11">
                  <c:v>12402.1</c:v>
                </c:pt>
                <c:pt idx="12">
                  <c:v>10840.3</c:v>
                </c:pt>
                <c:pt idx="13">
                  <c:v>11916.3</c:v>
                </c:pt>
                <c:pt idx="14">
                  <c:v>12810.6</c:v>
                </c:pt>
                <c:pt idx="15">
                  <c:v>13916.8</c:v>
                </c:pt>
                <c:pt idx="16">
                  <c:v>15357.8</c:v>
                </c:pt>
                <c:pt idx="17">
                  <c:v>14553.2</c:v>
                </c:pt>
                <c:pt idx="18">
                  <c:v>11339</c:v>
                </c:pt>
                <c:pt idx="19">
                  <c:v>11007</c:v>
                </c:pt>
                <c:pt idx="20">
                  <c:v>13133</c:v>
                </c:pt>
                <c:pt idx="21">
                  <c:v>14307</c:v>
                </c:pt>
                <c:pt idx="22">
                  <c:v>11937</c:v>
                </c:pt>
                <c:pt idx="23">
                  <c:v>9413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6AED-47BB-A65A-F48F1EE4D548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6AED-47BB-A65A-F48F1EE4D548}"/>
              </c:ext>
            </c:extLst>
          </c:dPt>
          <c:dLbls>
            <c:dLbl>
              <c:idx val="25"/>
              <c:layout>
                <c:manualLayout>
                  <c:x val="-4.5466880955390195E-3"/>
                  <c:y val="-5.92285655972882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ED-47BB-A65A-F48F1EE4D548}"/>
                </c:ext>
              </c:extLst>
            </c:dLbl>
            <c:dLbl>
              <c:idx val="26"/>
              <c:layout>
                <c:manualLayout>
                  <c:x val="-3.0370468764374958E-3"/>
                  <c:y val="-6.649244945704288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ED-47BB-A65A-F48F1EE4D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298822.4498447862</c:v>
                </c:pt>
                <c:pt idx="26">
                  <c:v>311610.99267092388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ED-47BB-A65A-F48F1EE4D548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6AED-47BB-A65A-F48F1EE4D548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6AED-47BB-A65A-F48F1EE4D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278229.5</c:v>
                </c:pt>
                <c:pt idx="26">
                  <c:v>293000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8460.091271546873</c:v>
                </c:pt>
                <c:pt idx="1">
                  <c:v>8711.4767153558241</c:v>
                </c:pt>
                <c:pt idx="2">
                  <c:v>7790.7542103357882</c:v>
                </c:pt>
                <c:pt idx="3">
                  <c:v>9043.4020612842723</c:v>
                </c:pt>
                <c:pt idx="4">
                  <c:v>8359.580984978129</c:v>
                </c:pt>
                <c:pt idx="5">
                  <c:v>9247.2755464859456</c:v>
                </c:pt>
                <c:pt idx="6">
                  <c:v>8860.9254165639395</c:v>
                </c:pt>
                <c:pt idx="7">
                  <c:v>8142.6499407134852</c:v>
                </c:pt>
                <c:pt idx="8">
                  <c:v>7613.7639349696437</c:v>
                </c:pt>
                <c:pt idx="9">
                  <c:v>7748.7286210826987</c:v>
                </c:pt>
                <c:pt idx="10">
                  <c:v>6847.9765005119116</c:v>
                </c:pt>
                <c:pt idx="11">
                  <c:v>6252.2665160340457</c:v>
                </c:pt>
                <c:pt idx="12">
                  <c:v>7234.3266304339168</c:v>
                </c:pt>
                <c:pt idx="13">
                  <c:v>3440.5022220120659</c:v>
                </c:pt>
                <c:pt idx="14">
                  <c:v>5080.9266589146446</c:v>
                </c:pt>
                <c:pt idx="15">
                  <c:v>2791.1355452502285</c:v>
                </c:pt>
                <c:pt idx="16">
                  <c:v>6151.0978651427959</c:v>
                </c:pt>
                <c:pt idx="17">
                  <c:v>5514.7887474439294</c:v>
                </c:pt>
                <c:pt idx="18">
                  <c:v>5432.8223892923406</c:v>
                </c:pt>
                <c:pt idx="19">
                  <c:v>5772.318924929571</c:v>
                </c:pt>
                <c:pt idx="20">
                  <c:v>6523.6223442922437</c:v>
                </c:pt>
                <c:pt idx="21">
                  <c:v>6943.0004177264691</c:v>
                </c:pt>
                <c:pt idx="22">
                  <c:v>5921.7676261376855</c:v>
                </c:pt>
                <c:pt idx="23">
                  <c:v>5981.6787794854317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B-418C-B416-E84D96BBCF5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6511</c:v>
                </c:pt>
                <c:pt idx="1">
                  <c:v>9333</c:v>
                </c:pt>
                <c:pt idx="2">
                  <c:v>9605</c:v>
                </c:pt>
                <c:pt idx="3">
                  <c:v>6225</c:v>
                </c:pt>
                <c:pt idx="4">
                  <c:v>4936</c:v>
                </c:pt>
                <c:pt idx="5">
                  <c:v>7745</c:v>
                </c:pt>
                <c:pt idx="6">
                  <c:v>7443.3</c:v>
                </c:pt>
                <c:pt idx="7">
                  <c:v>6505.2</c:v>
                </c:pt>
                <c:pt idx="8">
                  <c:v>6400.9000000000005</c:v>
                </c:pt>
                <c:pt idx="9">
                  <c:v>8223.4000000000015</c:v>
                </c:pt>
                <c:pt idx="10">
                  <c:v>7568.6</c:v>
                </c:pt>
                <c:pt idx="11">
                  <c:v>7420.1</c:v>
                </c:pt>
                <c:pt idx="12">
                  <c:v>7138.3</c:v>
                </c:pt>
                <c:pt idx="13">
                  <c:v>8458.2999999999993</c:v>
                </c:pt>
                <c:pt idx="14">
                  <c:v>8598.6</c:v>
                </c:pt>
                <c:pt idx="15">
                  <c:v>6868.7999999999993</c:v>
                </c:pt>
                <c:pt idx="16">
                  <c:v>7808.7999999999993</c:v>
                </c:pt>
                <c:pt idx="17">
                  <c:v>8739.2000000000007</c:v>
                </c:pt>
                <c:pt idx="18">
                  <c:v>8760</c:v>
                </c:pt>
                <c:pt idx="19">
                  <c:v>6563</c:v>
                </c:pt>
                <c:pt idx="20">
                  <c:v>7585</c:v>
                </c:pt>
                <c:pt idx="21">
                  <c:v>8142</c:v>
                </c:pt>
                <c:pt idx="22">
                  <c:v>7501</c:v>
                </c:pt>
                <c:pt idx="23">
                  <c:v>5412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173B-418C-B416-E84D96BBCF5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173B-418C-B416-E84D96BBCF5D}"/>
              </c:ext>
            </c:extLst>
          </c:dPt>
          <c:dLbls>
            <c:dLbl>
              <c:idx val="25"/>
              <c:layout>
                <c:manualLayout>
                  <c:x val="-2.4609472672957218E-3"/>
                  <c:y val="-3.88546248819934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3B-418C-B416-E84D96BBCF5D}"/>
                </c:ext>
              </c:extLst>
            </c:dLbl>
            <c:dLbl>
              <c:idx val="26"/>
              <c:layout>
                <c:manualLayout>
                  <c:x val="-2.4679487241823293E-3"/>
                  <c:y val="-2.98089160625140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3B-418C-B416-E84D96BBCF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163866.87987092385</c:v>
                </c:pt>
                <c:pt idx="26">
                  <c:v>163866.87987092385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3B-418C-B416-E84D96BBCF5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73B-418C-B416-E84D96BBCF5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73B-418C-B416-E84D96BBCF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179491.50000000003</c:v>
                </c:pt>
                <c:pt idx="26">
                  <c:v>195000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3615.7200000000003</c:v>
                </c:pt>
                <c:pt idx="1">
                  <c:v>2889.7200000000003</c:v>
                </c:pt>
                <c:pt idx="2">
                  <c:v>4363.5599999999995</c:v>
                </c:pt>
                <c:pt idx="3">
                  <c:v>4185.84</c:v>
                </c:pt>
                <c:pt idx="4">
                  <c:v>3015.48</c:v>
                </c:pt>
                <c:pt idx="5">
                  <c:v>4660.32</c:v>
                </c:pt>
                <c:pt idx="6">
                  <c:v>4963.8</c:v>
                </c:pt>
                <c:pt idx="7">
                  <c:v>5015.76</c:v>
                </c:pt>
                <c:pt idx="8">
                  <c:v>4349.28</c:v>
                </c:pt>
                <c:pt idx="9">
                  <c:v>4460.76</c:v>
                </c:pt>
                <c:pt idx="10">
                  <c:v>3882.3599999999997</c:v>
                </c:pt>
                <c:pt idx="11">
                  <c:v>4482.6000000000004</c:v>
                </c:pt>
                <c:pt idx="12">
                  <c:v>5194.32</c:v>
                </c:pt>
                <c:pt idx="13">
                  <c:v>5186.76</c:v>
                </c:pt>
                <c:pt idx="14">
                  <c:v>5075.28</c:v>
                </c:pt>
                <c:pt idx="15">
                  <c:v>2496.6</c:v>
                </c:pt>
                <c:pt idx="16">
                  <c:v>5023.32</c:v>
                </c:pt>
                <c:pt idx="17">
                  <c:v>5075.28</c:v>
                </c:pt>
                <c:pt idx="18">
                  <c:v>5127.24</c:v>
                </c:pt>
                <c:pt idx="19">
                  <c:v>5127.24</c:v>
                </c:pt>
                <c:pt idx="20">
                  <c:v>5127.24</c:v>
                </c:pt>
                <c:pt idx="21">
                  <c:v>5149.08</c:v>
                </c:pt>
                <c:pt idx="22">
                  <c:v>5149.08</c:v>
                </c:pt>
                <c:pt idx="23">
                  <c:v>5001.4800000000005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F-4BEB-9E7E-308097B7D81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726</c:v>
                </c:pt>
                <c:pt idx="1">
                  <c:v>487</c:v>
                </c:pt>
                <c:pt idx="2">
                  <c:v>369</c:v>
                </c:pt>
                <c:pt idx="3">
                  <c:v>415</c:v>
                </c:pt>
                <c:pt idx="4">
                  <c:v>2559</c:v>
                </c:pt>
                <c:pt idx="5">
                  <c:v>2509</c:v>
                </c:pt>
                <c:pt idx="6">
                  <c:v>2267</c:v>
                </c:pt>
                <c:pt idx="7">
                  <c:v>2031</c:v>
                </c:pt>
                <c:pt idx="8">
                  <c:v>2594</c:v>
                </c:pt>
                <c:pt idx="9">
                  <c:v>1709</c:v>
                </c:pt>
                <c:pt idx="10">
                  <c:v>1554</c:v>
                </c:pt>
                <c:pt idx="11">
                  <c:v>3222</c:v>
                </c:pt>
                <c:pt idx="12">
                  <c:v>2932</c:v>
                </c:pt>
                <c:pt idx="13">
                  <c:v>2008</c:v>
                </c:pt>
                <c:pt idx="14">
                  <c:v>1612</c:v>
                </c:pt>
                <c:pt idx="15">
                  <c:v>5288</c:v>
                </c:pt>
                <c:pt idx="16">
                  <c:v>5369</c:v>
                </c:pt>
                <c:pt idx="17">
                  <c:v>3234</c:v>
                </c:pt>
                <c:pt idx="18">
                  <c:v>1369</c:v>
                </c:pt>
                <c:pt idx="19">
                  <c:v>2794</c:v>
                </c:pt>
                <c:pt idx="20">
                  <c:v>3088</c:v>
                </c:pt>
                <c:pt idx="21">
                  <c:v>3995</c:v>
                </c:pt>
                <c:pt idx="22">
                  <c:v>2876</c:v>
                </c:pt>
                <c:pt idx="23">
                  <c:v>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CE5F-4BEB-9E7E-308097B7D81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CE5F-4BEB-9E7E-308097B7D819}"/>
              </c:ext>
            </c:extLst>
          </c:dPt>
          <c:dLbls>
            <c:dLbl>
              <c:idx val="25"/>
              <c:layout>
                <c:manualLayout>
                  <c:x val="-2.3780491240687237E-3"/>
                  <c:y val="-4.4034788284657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5F-4BEB-9E7E-308097B7D819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5F-4BEB-9E7E-308097B7D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108618.12000000002</c:v>
                </c:pt>
                <c:pt idx="26">
                  <c:v>108618.12000000002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5F-4BEB-9E7E-308097B7D81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CE5F-4BEB-9E7E-308097B7D81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CE5F-4BEB-9E7E-308097B7D8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57868</c:v>
                </c:pt>
                <c:pt idx="26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2191.5791999999997</c:v>
                </c:pt>
                <c:pt idx="1">
                  <c:v>2141.1779999999999</c:v>
                </c:pt>
                <c:pt idx="2">
                  <c:v>2320.8996000000002</c:v>
                </c:pt>
                <c:pt idx="3">
                  <c:v>2090.7768000000001</c:v>
                </c:pt>
                <c:pt idx="4">
                  <c:v>2111.9616000000001</c:v>
                </c:pt>
                <c:pt idx="5">
                  <c:v>2198.9124000000002</c:v>
                </c:pt>
                <c:pt idx="6">
                  <c:v>2270.4984000000004</c:v>
                </c:pt>
                <c:pt idx="7">
                  <c:v>2342.0843999999997</c:v>
                </c:pt>
                <c:pt idx="8">
                  <c:v>2212.7639999999997</c:v>
                </c:pt>
                <c:pt idx="9">
                  <c:v>812.35560000000009</c:v>
                </c:pt>
                <c:pt idx="10">
                  <c:v>704.2199999999998</c:v>
                </c:pt>
                <c:pt idx="11">
                  <c:v>704.22000000000025</c:v>
                </c:pt>
                <c:pt idx="12">
                  <c:v>1889.8703999999998</c:v>
                </c:pt>
                <c:pt idx="13">
                  <c:v>1286.4528</c:v>
                </c:pt>
                <c:pt idx="14">
                  <c:v>0</c:v>
                </c:pt>
                <c:pt idx="15">
                  <c:v>0</c:v>
                </c:pt>
                <c:pt idx="16">
                  <c:v>603.41759999999999</c:v>
                </c:pt>
                <c:pt idx="17">
                  <c:v>1508.5440000000001</c:v>
                </c:pt>
                <c:pt idx="18">
                  <c:v>1063.6632</c:v>
                </c:pt>
                <c:pt idx="19">
                  <c:v>883.94159999999999</c:v>
                </c:pt>
                <c:pt idx="20">
                  <c:v>1645.896</c:v>
                </c:pt>
                <c:pt idx="21">
                  <c:v>1537.7603999999999</c:v>
                </c:pt>
                <c:pt idx="22">
                  <c:v>1558.9452000000001</c:v>
                </c:pt>
                <c:pt idx="23">
                  <c:v>1236.0516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1-4D98-A628-8A0A5FE478A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2160</c:v>
                </c:pt>
                <c:pt idx="1">
                  <c:v>1590</c:v>
                </c:pt>
                <c:pt idx="2">
                  <c:v>1800</c:v>
                </c:pt>
                <c:pt idx="3">
                  <c:v>2250</c:v>
                </c:pt>
                <c:pt idx="4">
                  <c:v>1880</c:v>
                </c:pt>
                <c:pt idx="5">
                  <c:v>1290</c:v>
                </c:pt>
                <c:pt idx="6">
                  <c:v>670</c:v>
                </c:pt>
                <c:pt idx="7">
                  <c:v>1380</c:v>
                </c:pt>
                <c:pt idx="8">
                  <c:v>1200</c:v>
                </c:pt>
                <c:pt idx="9">
                  <c:v>1810</c:v>
                </c:pt>
                <c:pt idx="10">
                  <c:v>1550</c:v>
                </c:pt>
                <c:pt idx="11">
                  <c:v>1760</c:v>
                </c:pt>
                <c:pt idx="12">
                  <c:v>770</c:v>
                </c:pt>
                <c:pt idx="13">
                  <c:v>1450</c:v>
                </c:pt>
                <c:pt idx="14">
                  <c:v>2600</c:v>
                </c:pt>
                <c:pt idx="15">
                  <c:v>1760</c:v>
                </c:pt>
                <c:pt idx="16">
                  <c:v>2180</c:v>
                </c:pt>
                <c:pt idx="17">
                  <c:v>2580</c:v>
                </c:pt>
                <c:pt idx="18">
                  <c:v>1210</c:v>
                </c:pt>
                <c:pt idx="19">
                  <c:v>1650</c:v>
                </c:pt>
                <c:pt idx="20">
                  <c:v>2460</c:v>
                </c:pt>
                <c:pt idx="21">
                  <c:v>2170</c:v>
                </c:pt>
                <c:pt idx="22">
                  <c:v>1560</c:v>
                </c:pt>
                <c:pt idx="23">
                  <c:v>1140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8541-4D98-A628-8A0A5FE478A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8541-4D98-A628-8A0A5FE478AD}"/>
              </c:ext>
            </c:extLst>
          </c:dPt>
          <c:dLbls>
            <c:dLbl>
              <c:idx val="25"/>
              <c:layout>
                <c:manualLayout>
                  <c:x val="-1.2379796685123264E-3"/>
                  <c:y val="-5.19092201538235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41-4D98-A628-8A0A5FE478AD}"/>
                </c:ext>
              </c:extLst>
            </c:dLbl>
            <c:dLbl>
              <c:idx val="26"/>
              <c:layout>
                <c:manualLayout>
                  <c:x val="-4.5516379331074792E-3"/>
                  <c:y val="-7.14714091978587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41-4D98-A628-8A0A5FE47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35315.9928</c:v>
                </c:pt>
                <c:pt idx="26">
                  <c:v>35315.9928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41-4D98-A628-8A0A5FE478A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8541-4D98-A628-8A0A5FE478A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8541-4D98-A628-8A0A5FE478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40870</c:v>
                </c:pt>
                <c:pt idx="26">
                  <c:v>38000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7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158.75000000000003</c:v>
                </c:pt>
                <c:pt idx="1">
                  <c:v>158.75000000000003</c:v>
                </c:pt>
                <c:pt idx="2">
                  <c:v>158.75000000000003</c:v>
                </c:pt>
                <c:pt idx="3">
                  <c:v>158.75000000000003</c:v>
                </c:pt>
                <c:pt idx="4">
                  <c:v>158.75000000000003</c:v>
                </c:pt>
                <c:pt idx="5">
                  <c:v>158.75000000000003</c:v>
                </c:pt>
                <c:pt idx="6">
                  <c:v>158.75000000000003</c:v>
                </c:pt>
                <c:pt idx="7">
                  <c:v>158.75000000000003</c:v>
                </c:pt>
                <c:pt idx="8">
                  <c:v>158.75000000000003</c:v>
                </c:pt>
                <c:pt idx="9">
                  <c:v>158.75000000000003</c:v>
                </c:pt>
                <c:pt idx="10">
                  <c:v>158.75000000000003</c:v>
                </c:pt>
                <c:pt idx="11">
                  <c:v>158.75000000000003</c:v>
                </c:pt>
                <c:pt idx="12">
                  <c:v>158.75000000000003</c:v>
                </c:pt>
                <c:pt idx="13">
                  <c:v>158.75000000000003</c:v>
                </c:pt>
                <c:pt idx="14">
                  <c:v>158.75000000000003</c:v>
                </c:pt>
                <c:pt idx="15">
                  <c:v>158.75000000000003</c:v>
                </c:pt>
                <c:pt idx="16">
                  <c:v>158.75000000000003</c:v>
                </c:pt>
                <c:pt idx="17">
                  <c:v>158.75000000000003</c:v>
                </c:pt>
                <c:pt idx="18">
                  <c:v>158.75000000000003</c:v>
                </c:pt>
                <c:pt idx="19">
                  <c:v>158.75000000000003</c:v>
                </c:pt>
                <c:pt idx="20">
                  <c:v>158.75000000000003</c:v>
                </c:pt>
                <c:pt idx="21">
                  <c:v>158.75000000000003</c:v>
                </c:pt>
                <c:pt idx="22">
                  <c:v>158.75000000000003</c:v>
                </c:pt>
                <c:pt idx="23">
                  <c:v>158.75000000000003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0-4640-BAF9-9391316C08F1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1BF0-4640-BAF9-9391316C08F1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1BF0-4640-BAF9-9391316C08F1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F0-4640-BAF9-9391316C08F1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BF0-4640-BAF9-9391316C08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3810.0000000000005</c:v>
                </c:pt>
                <c:pt idx="26">
                  <c:v>3810.0000000000005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0-4640-BAF9-9391316C08F1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BF0-4640-BAF9-9391316C08F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BF0-4640-BAF9-9391316C08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RC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USINA'!$AQ$3:$AQ$29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C-4133-8297-04223F8BE5C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USINA'!$AR$3:$AR$29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39FC-4133-8297-04223F8BE5C4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39FC-4133-8297-04223F8BE5C4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FC-4133-8297-04223F8BE5C4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FC-4133-8297-04223F8BE5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USINA'!$AV$3:$AV$29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FC-4133-8297-04223F8BE5C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39FC-4133-8297-04223F8BE5C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39FC-4133-8297-04223F8BE5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USINA'!$AU$3:$AU$29</c:f>
              <c:numCache>
                <c:formatCode>#,##0</c:formatCode>
                <c:ptCount val="27"/>
                <c:pt idx="25">
                  <c:v>3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39389723660925E-3"/>
          <c:y val="9.9794773312543592E-2"/>
          <c:w val="0.96611182563867204"/>
          <c:h val="0.737629321571457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'GESTÃO DAS ENTRADAS'!$Q$7</c:f>
              <c:strCache>
                <c:ptCount val="1"/>
                <c:pt idx="0">
                  <c:v>Incolor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8B-446F-8B72-BF5133B13BA2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8B-446F-8B72-BF5133B13BA2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8B-446F-8B72-BF5133B13BA2}"/>
              </c:ext>
            </c:extLst>
          </c:dPt>
          <c:dLbls>
            <c:dLbl>
              <c:idx val="0"/>
              <c:layout>
                <c:manualLayout>
                  <c:x val="-3.5161424775831483E-3"/>
                  <c:y val="-0.368667227723997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68B-446F-8B72-BF5133B13BA2}"/>
                </c:ext>
              </c:extLst>
            </c:dLbl>
            <c:dLbl>
              <c:idx val="9"/>
              <c:layout>
                <c:manualLayout>
                  <c:x val="-2.1527434172243765E-3"/>
                  <c:y val="-5.29533179652171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68B-446F-8B72-BF5133B13B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68B-446F-8B72-BF5133B13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97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5</c:v>
                </c:pt>
                <c:pt idx="3">
                  <c:v>REP 06</c:v>
                </c:pt>
                <c:pt idx="7">
                  <c:v>BSM 7</c:v>
                </c:pt>
                <c:pt idx="8">
                  <c:v>REP 02</c:v>
                </c:pt>
                <c:pt idx="9">
                  <c:v>BRIT 1</c:v>
                </c:pt>
                <c:pt idx="10">
                  <c:v>Real</c:v>
                </c:pt>
              </c:strCache>
            </c:strRef>
          </c:cat>
          <c:val>
            <c:numRef>
              <c:f>'GESTÃO DAS ENTRADAS'!$Q$8:$Q$18</c:f>
              <c:numCache>
                <c:formatCode>#,##0</c:formatCode>
                <c:ptCount val="11"/>
                <c:pt idx="0" formatCode="_(* #,##0_);_(* \(#,##0\);_(* &quot;-&quot;??_);_(@_)">
                  <c:v>328935</c:v>
                </c:pt>
                <c:pt idx="2">
                  <c:v>281379.76</c:v>
                </c:pt>
                <c:pt idx="3">
                  <c:v>276359.67999999999</c:v>
                </c:pt>
                <c:pt idx="4">
                  <c:v>276359.67999999999</c:v>
                </c:pt>
                <c:pt idx="5">
                  <c:v>276359.67999999999</c:v>
                </c:pt>
                <c:pt idx="6">
                  <c:v>276359.67999999999</c:v>
                </c:pt>
                <c:pt idx="7">
                  <c:v>276359.67999999999</c:v>
                </c:pt>
                <c:pt idx="8">
                  <c:v>279071.32</c:v>
                </c:pt>
                <c:pt idx="9">
                  <c:v>282100.64</c:v>
                </c:pt>
                <c:pt idx="10">
                  <c:v>298089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68B-446F-8B72-BF5133B13BA2}"/>
            </c:ext>
          </c:extLst>
        </c:ser>
        <c:ser>
          <c:idx val="1"/>
          <c:order val="1"/>
          <c:tx>
            <c:strRef>
              <c:f>'GESTÃO DAS ENTRADAS'!$R$7</c:f>
              <c:strCache>
                <c:ptCount val="1"/>
                <c:pt idx="0">
                  <c:v>Cinza</c:v>
                </c:pt>
              </c:strCache>
            </c:strRef>
          </c:tx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8B-446F-8B72-BF5133B13BA2}"/>
              </c:ext>
            </c:extLst>
          </c:dPt>
          <c:dLbls>
            <c:dLbl>
              <c:idx val="0"/>
              <c:layout>
                <c:manualLayout>
                  <c:x val="-3.723594001202105E-3"/>
                  <c:y val="-0.4108450803970948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8B-446F-8B72-BF5133B13BA2}"/>
                </c:ext>
              </c:extLst>
            </c:dLbl>
            <c:dLbl>
              <c:idx val="1"/>
              <c:layout>
                <c:manualLayout>
                  <c:x val="0"/>
                  <c:y val="-0.3788257087001848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68B-446F-8B72-BF5133B13BA2}"/>
                </c:ext>
              </c:extLst>
            </c:dLbl>
            <c:dLbl>
              <c:idx val="9"/>
              <c:layout>
                <c:manualLayout>
                  <c:x val="-3.2291151258363282E-3"/>
                  <c:y val="-0.2517275310402777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68B-446F-8B72-BF5133B13BA2}"/>
                </c:ext>
              </c:extLst>
            </c:dLbl>
            <c:dLbl>
              <c:idx val="11"/>
              <c:layout>
                <c:manualLayout>
                  <c:x val="9.6200989374899148E-4"/>
                  <c:y val="-0.3795004941960615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97" b="1" i="0" u="none" strike="noStrike" kern="1200" baseline="0">
                    <a:solidFill>
                      <a:sysClr val="window" lastClr="FFFFFF">
                        <a:lumMod val="50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5</c:v>
                </c:pt>
                <c:pt idx="3">
                  <c:v>REP 06</c:v>
                </c:pt>
                <c:pt idx="7">
                  <c:v>BSM 7</c:v>
                </c:pt>
                <c:pt idx="8">
                  <c:v>REP 02</c:v>
                </c:pt>
                <c:pt idx="9">
                  <c:v>BRIT 1</c:v>
                </c:pt>
                <c:pt idx="10">
                  <c:v>Real</c:v>
                </c:pt>
              </c:strCache>
            </c:strRef>
          </c:cat>
          <c:val>
            <c:numRef>
              <c:f>'GESTÃO DAS ENTRADAS'!$R$8:$R$18</c:f>
              <c:numCache>
                <c:formatCode>#,##0</c:formatCode>
                <c:ptCount val="11"/>
                <c:pt idx="1">
                  <c:v>328634.88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8B-446F-8B72-BF5133B13BA2}"/>
            </c:ext>
          </c:extLst>
        </c:ser>
        <c:ser>
          <c:idx val="2"/>
          <c:order val="2"/>
          <c:tx>
            <c:strRef>
              <c:f>'GESTÃO DAS ENTRADAS'!$S$7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009A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8B-446F-8B72-BF5133B13BA2}"/>
              </c:ext>
            </c:extLst>
          </c:dPt>
          <c:dLbls>
            <c:dLbl>
              <c:idx val="8"/>
              <c:layout>
                <c:manualLayout>
                  <c:x val="4.3054868344482794E-3"/>
                  <c:y val="-0.146742014660519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8B-446F-8B72-BF5133B13BA2}"/>
                </c:ext>
              </c:extLst>
            </c:dLbl>
            <c:dLbl>
              <c:idx val="9"/>
              <c:layout>
                <c:manualLayout>
                  <c:x val="2.1527434172242186E-3"/>
                  <c:y val="-0.1374188751423485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8B-446F-8B72-BF5133B13BA2}"/>
                </c:ext>
              </c:extLst>
            </c:dLbl>
            <c:dLbl>
              <c:idx val="10"/>
              <c:layout>
                <c:manualLayout>
                  <c:x val="0"/>
                  <c:y val="-8.21027861187303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B05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5</c:v>
                </c:pt>
                <c:pt idx="3">
                  <c:v>REP 06</c:v>
                </c:pt>
                <c:pt idx="7">
                  <c:v>BSM 7</c:v>
                </c:pt>
                <c:pt idx="8">
                  <c:v>REP 02</c:v>
                </c:pt>
                <c:pt idx="9">
                  <c:v>BRIT 1</c:v>
                </c:pt>
                <c:pt idx="10">
                  <c:v>Real</c:v>
                </c:pt>
              </c:strCache>
            </c:strRef>
          </c:cat>
          <c:val>
            <c:numRef>
              <c:f>'GESTÃO DAS ENTRADAS'!$S$8:$S$18</c:f>
              <c:numCache>
                <c:formatCode>#,##0</c:formatCode>
                <c:ptCount val="11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2711.640000000014</c:v>
                </c:pt>
                <c:pt idx="8">
                  <c:v>3029.3199999999997</c:v>
                </c:pt>
                <c:pt idx="9">
                  <c:v>15988.36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8B-446F-8B72-BF5133B13BA2}"/>
            </c:ext>
          </c:extLst>
        </c:ser>
        <c:ser>
          <c:idx val="3"/>
          <c:order val="3"/>
          <c:tx>
            <c:strRef>
              <c:f>'GESTÃO DAS ENTRADAS'!$T$7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0763717086120896E-3"/>
                  <c:y val="-0.178530313332669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8B-446F-8B72-BF5133B13BA2}"/>
                </c:ext>
              </c:extLst>
            </c:dLbl>
            <c:dLbl>
              <c:idx val="2"/>
              <c:layout>
                <c:manualLayout>
                  <c:x val="2.1527434172241792E-3"/>
                  <c:y val="-0.1236366325030128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68B-446F-8B72-BF5133B13BA2}"/>
                </c:ext>
              </c:extLst>
            </c:dLbl>
            <c:dLbl>
              <c:idx val="3"/>
              <c:layout>
                <c:manualLayout>
                  <c:x val="-3.9466506728657141E-17"/>
                  <c:y val="-8.070921368315153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8B-446F-8B72-BF5133B13BA2}"/>
                </c:ext>
              </c:extLst>
            </c:dLbl>
            <c:dLbl>
              <c:idx val="4"/>
              <c:layout>
                <c:manualLayout>
                  <c:x val="2.1527434172241397E-3"/>
                  <c:y val="-6.505363638373862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68B-446F-8B72-BF5133B13BA2}"/>
                </c:ext>
              </c:extLst>
            </c:dLbl>
            <c:dLbl>
              <c:idx val="5"/>
              <c:layout>
                <c:manualLayout>
                  <c:x val="1.4452463854899994E-3"/>
                  <c:y val="-6.078286534230861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08-4889-B3CA-67BF627BA1EB}"/>
                </c:ext>
              </c:extLst>
            </c:dLbl>
            <c:dLbl>
              <c:idx val="6"/>
              <c:layout>
                <c:manualLayout>
                  <c:x val="0"/>
                  <c:y val="-6.72875290942926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08-4889-B3CA-67BF627BA1EB}"/>
                </c:ext>
              </c:extLst>
            </c:dLbl>
            <c:dLbl>
              <c:idx val="9"/>
              <c:layout>
                <c:manualLayout>
                  <c:x val="-1.5786602691462857E-16"/>
                  <c:y val="-0.2573686108992006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8B-446F-8B72-BF5133B13BA2}"/>
                </c:ext>
              </c:extLst>
            </c:dLbl>
            <c:dLbl>
              <c:idx val="10"/>
              <c:layout>
                <c:manualLayout>
                  <c:x val="1.4521881200973651E-3"/>
                  <c:y val="-0.21182177050527559"/>
                </c:manualLayout>
              </c:layout>
              <c:numFmt formatCode="[=0]&quot;&quot;\ ;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400" b="0" i="0" u="none" strike="noStrike" kern="1200" baseline="0">
                      <a:solidFill>
                        <a:srgbClr val="E60000"/>
                      </a:solidFill>
                      <a:latin typeface="Vale Sans" panose="020B050302020403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E6000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5</c:v>
                </c:pt>
                <c:pt idx="3">
                  <c:v>REP 06</c:v>
                </c:pt>
                <c:pt idx="7">
                  <c:v>BSM 7</c:v>
                </c:pt>
                <c:pt idx="8">
                  <c:v>REP 02</c:v>
                </c:pt>
                <c:pt idx="9">
                  <c:v>BRIT 1</c:v>
                </c:pt>
                <c:pt idx="10">
                  <c:v>Real</c:v>
                </c:pt>
              </c:strCache>
            </c:strRef>
          </c:cat>
          <c:val>
            <c:numRef>
              <c:f>'GESTÃO DAS ENTRADAS'!$T$8:$T$18</c:f>
              <c:numCache>
                <c:formatCode>#,##0</c:formatCode>
                <c:ptCount val="11"/>
                <c:pt idx="2">
                  <c:v>47255.119999999995</c:v>
                </c:pt>
                <c:pt idx="3">
                  <c:v>5020.0799999999981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30545.879999999979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8B-446F-8B72-BF5133B13B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473857232"/>
        <c:axId val="473858064"/>
        <c:extLst/>
      </c:barChart>
      <c:catAx>
        <c:axId val="473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404040"/>
                </a:solidFill>
                <a:latin typeface="72 Condensed" panose="020B0506030000000003" pitchFamily="34" charset="0"/>
                <a:ea typeface="+mn-ea"/>
                <a:cs typeface="72 Condensed" panose="020B0506030000000003" pitchFamily="34" charset="0"/>
              </a:defRPr>
            </a:pPr>
            <a:endParaRPr lang="pt-BR"/>
          </a:p>
        </c:txPr>
        <c:crossAx val="473858064"/>
        <c:crosses val="autoZero"/>
        <c:auto val="1"/>
        <c:lblAlgn val="ctr"/>
        <c:lblOffset val="100"/>
        <c:noMultiLvlLbl val="0"/>
      </c:catAx>
      <c:valAx>
        <c:axId val="47385806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473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Perdas Produção Serra Norte kt</a:t>
            </a:r>
          </a:p>
        </c:rich>
      </c:tx>
      <c:layout>
        <c:manualLayout>
          <c:xMode val="edge"/>
          <c:yMode val="edge"/>
          <c:x val="0.33294122195445702"/>
          <c:y val="0.1152215881859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'Perfil de perdas'!$D$15:$D$20</c:f>
              <c:strCache>
                <c:ptCount val="6"/>
                <c:pt idx="0">
                  <c:v>Mau tempo/Chuva </c:v>
                </c:pt>
                <c:pt idx="1">
                  <c:v>Material úmido e argiloso</c:v>
                </c:pt>
                <c:pt idx="2">
                  <c:v>Desalinhamento transportador</c:v>
                </c:pt>
                <c:pt idx="3">
                  <c:v>SE 181-01 Pico de energia</c:v>
                </c:pt>
                <c:pt idx="4">
                  <c:v>Mau tempo/neblina</c:v>
                </c:pt>
                <c:pt idx="5">
                  <c:v>Total</c:v>
                </c:pt>
              </c:strCache>
            </c:strRef>
          </c:cat>
          <c:val>
            <c:numRef>
              <c:f>'Perfil de perdas'!$E$15:$E$19</c:f>
              <c:numCache>
                <c:formatCode>0.00</c:formatCode>
                <c:ptCount val="5"/>
                <c:pt idx="0">
                  <c:v>24.356000000000002</c:v>
                </c:pt>
                <c:pt idx="1">
                  <c:v>17.026</c:v>
                </c:pt>
                <c:pt idx="2">
                  <c:v>10.317</c:v>
                </c:pt>
                <c:pt idx="3">
                  <c:v>6.4669999999999996</c:v>
                </c:pt>
                <c:pt idx="4">
                  <c:v>5.9359999999999999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883807"/>
        <c:axId val="442870880"/>
      </c:barChart>
      <c:barChart>
        <c:barDir val="col"/>
        <c:grouping val="stacked"/>
        <c:varyColors val="0"/>
        <c:ser>
          <c:idx val="1"/>
          <c:order val="1"/>
          <c:tx>
            <c:strRef>
              <c:f>'Perfil de perdas'!$D$20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('Perfil de perdas'!$F$15:$F$19,'Perfil de perdas'!$F$20)</c:f>
              <c:numCache>
                <c:formatCode>General</c:formatCode>
                <c:ptCount val="6"/>
                <c:pt idx="5" formatCode="0.00">
                  <c:v>64.102000000000004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2743743"/>
        <c:axId val="450947600"/>
      </c:barChart>
      <c:catAx>
        <c:axId val="10048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2870880"/>
        <c:crosses val="autoZero"/>
        <c:auto val="1"/>
        <c:lblAlgn val="ctr"/>
        <c:lblOffset val="100"/>
        <c:noMultiLvlLbl val="0"/>
      </c:catAx>
      <c:valAx>
        <c:axId val="44287088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4883807"/>
        <c:crosses val="autoZero"/>
        <c:crossBetween val="between"/>
      </c:valAx>
      <c:valAx>
        <c:axId val="45094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2743743"/>
        <c:crosses val="max"/>
        <c:crossBetween val="between"/>
      </c:valAx>
      <c:catAx>
        <c:axId val="1052743743"/>
        <c:scaling>
          <c:orientation val="minMax"/>
        </c:scaling>
        <c:delete val="1"/>
        <c:axPos val="b"/>
        <c:majorTickMark val="out"/>
        <c:minorTickMark val="none"/>
        <c:tickLblPos val="nextTo"/>
        <c:crossAx val="45094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effectLst/>
              </a:defRPr>
            </a:pPr>
            <a:r>
              <a:rPr lang="pt-BR" sz="20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9.8068496850319906E-3"/>
          <c:y val="0.16282983993198033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225528</c:v>
                </c:pt>
                <c:pt idx="1">
                  <c:v>249684</c:v>
                </c:pt>
                <c:pt idx="2">
                  <c:v>260648</c:v>
                </c:pt>
                <c:pt idx="3">
                  <c:v>248826</c:v>
                </c:pt>
                <c:pt idx="4">
                  <c:v>244060.80000000002</c:v>
                </c:pt>
                <c:pt idx="5">
                  <c:v>249560</c:v>
                </c:pt>
                <c:pt idx="6">
                  <c:v>249498.17142857143</c:v>
                </c:pt>
                <c:pt idx="7">
                  <c:v>248059.5</c:v>
                </c:pt>
                <c:pt idx="8">
                  <c:v>247683.73333333334</c:v>
                </c:pt>
                <c:pt idx="9">
                  <c:v>251097.12</c:v>
                </c:pt>
                <c:pt idx="10">
                  <c:v>251555.7818181818</c:v>
                </c:pt>
                <c:pt idx="11">
                  <c:v>255397</c:v>
                </c:pt>
                <c:pt idx="12">
                  <c:v>255763.93846153843</c:v>
                </c:pt>
                <c:pt idx="13">
                  <c:v>257923.0285714285</c:v>
                </c:pt>
                <c:pt idx="14">
                  <c:v>261225.12</c:v>
                </c:pt>
                <c:pt idx="15">
                  <c:v>265773.74999999994</c:v>
                </c:pt>
                <c:pt idx="16">
                  <c:v>271821.59999999998</c:v>
                </c:pt>
                <c:pt idx="17">
                  <c:v>276124.66666666663</c:v>
                </c:pt>
                <c:pt idx="18">
                  <c:v>275914.73684210522</c:v>
                </c:pt>
                <c:pt idx="19">
                  <c:v>275327.39999999997</c:v>
                </c:pt>
                <c:pt idx="20">
                  <c:v>277225.71428571426</c:v>
                </c:pt>
                <c:pt idx="21">
                  <c:v>280232.18181818177</c:v>
                </c:pt>
                <c:pt idx="22">
                  <c:v>280504.17391304346</c:v>
                </c:pt>
                <c:pt idx="23">
                  <c:v>290326.4347826087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0-458C-946E-C6E6BC5C6AB2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346227.37131712498</c:v>
                </c:pt>
                <c:pt idx="1">
                  <c:v>339927.18224283238</c:v>
                </c:pt>
                <c:pt idx="2">
                  <c:v>343689.83197790792</c:v>
                </c:pt>
                <c:pt idx="3">
                  <c:v>350639.98715113662</c:v>
                </c:pt>
                <c:pt idx="4">
                  <c:v>346011.69812880433</c:v>
                </c:pt>
                <c:pt idx="5">
                  <c:v>353404.11355994735</c:v>
                </c:pt>
                <c:pt idx="6">
                  <c:v>358645.72185103124</c:v>
                </c:pt>
                <c:pt idx="7">
                  <c:v>360792.73964179278</c:v>
                </c:pt>
                <c:pt idx="8">
                  <c:v>358930.14528595709</c:v>
                </c:pt>
                <c:pt idx="9">
                  <c:v>354670.55688795983</c:v>
                </c:pt>
                <c:pt idx="10">
                  <c:v>347722.26589926222</c:v>
                </c:pt>
                <c:pt idx="11">
                  <c:v>341941.0834397251</c:v>
                </c:pt>
                <c:pt idx="12">
                  <c:v>342365.18538516271</c:v>
                </c:pt>
                <c:pt idx="13">
                  <c:v>335177.61218110035</c:v>
                </c:pt>
                <c:pt idx="14">
                  <c:v>329336.36868995707</c:v>
                </c:pt>
                <c:pt idx="15">
                  <c:v>316922.57396471017</c:v>
                </c:pt>
                <c:pt idx="16">
                  <c:v>315131.71968228172</c:v>
                </c:pt>
                <c:pt idx="17">
                  <c:v>313967.55225208023</c:v>
                </c:pt>
                <c:pt idx="18">
                  <c:v>312326.07129897154</c:v>
                </c:pt>
                <c:pt idx="19">
                  <c:v>311040.4683639385</c:v>
                </c:pt>
                <c:pt idx="20">
                  <c:v>311606.74131151347</c:v>
                </c:pt>
                <c:pt idx="21">
                  <c:v>312484.89759850991</c:v>
                </c:pt>
                <c:pt idx="22">
                  <c:v>312243.16413019662</c:v>
                </c:pt>
                <c:pt idx="23">
                  <c:v>311610.99267092388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346227.37131712498</c:v>
                </c:pt>
                <c:pt idx="1">
                  <c:v>339927.18224283238</c:v>
                </c:pt>
                <c:pt idx="2">
                  <c:v>343689.83197790792</c:v>
                </c:pt>
                <c:pt idx="3">
                  <c:v>350639.98715113662</c:v>
                </c:pt>
                <c:pt idx="4">
                  <c:v>346011.69812880433</c:v>
                </c:pt>
                <c:pt idx="5">
                  <c:v>353404.11355994735</c:v>
                </c:pt>
                <c:pt idx="6">
                  <c:v>358645.72185103124</c:v>
                </c:pt>
                <c:pt idx="7">
                  <c:v>360792.73964179278</c:v>
                </c:pt>
                <c:pt idx="8">
                  <c:v>358930.14528595709</c:v>
                </c:pt>
                <c:pt idx="9">
                  <c:v>354670.55688795983</c:v>
                </c:pt>
                <c:pt idx="10">
                  <c:v>347722.26589926222</c:v>
                </c:pt>
                <c:pt idx="11">
                  <c:v>341941.0834397251</c:v>
                </c:pt>
                <c:pt idx="12">
                  <c:v>342365.18538516271</c:v>
                </c:pt>
                <c:pt idx="13">
                  <c:v>335177.61218110035</c:v>
                </c:pt>
                <c:pt idx="14">
                  <c:v>329336.36868995707</c:v>
                </c:pt>
                <c:pt idx="15">
                  <c:v>316922.57396471017</c:v>
                </c:pt>
                <c:pt idx="16">
                  <c:v>315131.71968228172</c:v>
                </c:pt>
                <c:pt idx="17">
                  <c:v>313967.55225208023</c:v>
                </c:pt>
                <c:pt idx="18">
                  <c:v>312326.07129897154</c:v>
                </c:pt>
                <c:pt idx="19">
                  <c:v>311040.4683639385</c:v>
                </c:pt>
                <c:pt idx="20">
                  <c:v>311606.74131151347</c:v>
                </c:pt>
                <c:pt idx="21">
                  <c:v>312484.89759850991</c:v>
                </c:pt>
                <c:pt idx="22">
                  <c:v>312243.16413019662</c:v>
                </c:pt>
                <c:pt idx="23">
                  <c:v>311610.99267092388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60-458C-946E-C6E6BC5C6AB2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225528</c:v>
                </c:pt>
                <c:pt idx="1">
                  <c:v>249684</c:v>
                </c:pt>
                <c:pt idx="2">
                  <c:v>260648</c:v>
                </c:pt>
                <c:pt idx="3">
                  <c:v>248826</c:v>
                </c:pt>
                <c:pt idx="4">
                  <c:v>244060.80000000002</c:v>
                </c:pt>
                <c:pt idx="5">
                  <c:v>249560</c:v>
                </c:pt>
                <c:pt idx="6">
                  <c:v>249498.17142857143</c:v>
                </c:pt>
                <c:pt idx="7">
                  <c:v>248059.5</c:v>
                </c:pt>
                <c:pt idx="8">
                  <c:v>247683.73333333334</c:v>
                </c:pt>
                <c:pt idx="9">
                  <c:v>251097.12</c:v>
                </c:pt>
                <c:pt idx="10">
                  <c:v>251555.7818181818</c:v>
                </c:pt>
                <c:pt idx="11">
                  <c:v>255397</c:v>
                </c:pt>
                <c:pt idx="12">
                  <c:v>255763.93846153843</c:v>
                </c:pt>
                <c:pt idx="13">
                  <c:v>257923.0285714285</c:v>
                </c:pt>
                <c:pt idx="14">
                  <c:v>261225.12</c:v>
                </c:pt>
                <c:pt idx="15">
                  <c:v>265773.74999999994</c:v>
                </c:pt>
                <c:pt idx="16">
                  <c:v>271821.59999999998</c:v>
                </c:pt>
                <c:pt idx="17">
                  <c:v>276124.66666666663</c:v>
                </c:pt>
                <c:pt idx="18">
                  <c:v>275914.73684210522</c:v>
                </c:pt>
                <c:pt idx="19">
                  <c:v>275327.39999999997</c:v>
                </c:pt>
                <c:pt idx="20">
                  <c:v>277225.71428571426</c:v>
                </c:pt>
                <c:pt idx="21">
                  <c:v>280232.18181818177</c:v>
                </c:pt>
                <c:pt idx="22">
                  <c:v>280504.17391304346</c:v>
                </c:pt>
                <c:pt idx="23">
                  <c:v>290326.4347826087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760-458C-946E-C6E6BC5C6AB2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pt-BR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26-41C1-8ACF-2F511613DE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203042.19051712495</c:v>
                </c:pt>
                <c:pt idx="1">
                  <c:v>206058.81584283238</c:v>
                </c:pt>
                <c:pt idx="2">
                  <c:v>199698.57757790788</c:v>
                </c:pt>
                <c:pt idx="3">
                  <c:v>204034.34555113653</c:v>
                </c:pt>
                <c:pt idx="4">
                  <c:v>203353.46516880428</c:v>
                </c:pt>
                <c:pt idx="5">
                  <c:v>206450.32315994732</c:v>
                </c:pt>
                <c:pt idx="6">
                  <c:v>207337.73556531692</c:v>
                </c:pt>
                <c:pt idx="7">
                  <c:v>205848.46844179276</c:v>
                </c:pt>
                <c:pt idx="8">
                  <c:v>203279.78688595706</c:v>
                </c:pt>
                <c:pt idx="9">
                  <c:v>201548.75688795984</c:v>
                </c:pt>
                <c:pt idx="10">
                  <c:v>198167.18226289854</c:v>
                </c:pt>
                <c:pt idx="11">
                  <c:v>194157.78343972508</c:v>
                </c:pt>
                <c:pt idx="12">
                  <c:v>192578.24926208577</c:v>
                </c:pt>
                <c:pt idx="13">
                  <c:v>184720.66383824317</c:v>
                </c:pt>
                <c:pt idx="14">
                  <c:v>180535.43556995707</c:v>
                </c:pt>
                <c:pt idx="15">
                  <c:v>173438.6741647101</c:v>
                </c:pt>
                <c:pt idx="16">
                  <c:v>171920.30208228168</c:v>
                </c:pt>
                <c:pt idx="17">
                  <c:v>169722.22585208016</c:v>
                </c:pt>
                <c:pt idx="18">
                  <c:v>167651.98961476103</c:v>
                </c:pt>
                <c:pt idx="19">
                  <c:v>166196.17284393846</c:v>
                </c:pt>
                <c:pt idx="20">
                  <c:v>165737.63776865631</c:v>
                </c:pt>
                <c:pt idx="21">
                  <c:v>165778.29105305535</c:v>
                </c:pt>
                <c:pt idx="22">
                  <c:v>164749.77505193575</c:v>
                </c:pt>
                <c:pt idx="23">
                  <c:v>163866.87987092385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6-41C1-8ACF-2F511613DE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156264</c:v>
                </c:pt>
                <c:pt idx="1">
                  <c:v>190128</c:v>
                </c:pt>
                <c:pt idx="2">
                  <c:v>203592</c:v>
                </c:pt>
                <c:pt idx="3">
                  <c:v>190044</c:v>
                </c:pt>
                <c:pt idx="4">
                  <c:v>175728</c:v>
                </c:pt>
                <c:pt idx="5">
                  <c:v>177420</c:v>
                </c:pt>
                <c:pt idx="6">
                  <c:v>177594.17142857146</c:v>
                </c:pt>
                <c:pt idx="7">
                  <c:v>174910.5</c:v>
                </c:pt>
                <c:pt idx="8">
                  <c:v>172545.06666666665</c:v>
                </c:pt>
                <c:pt idx="9">
                  <c:v>175026.72000000003</c:v>
                </c:pt>
                <c:pt idx="10">
                  <c:v>175628.50909090912</c:v>
                </c:pt>
                <c:pt idx="11">
                  <c:v>175833.00000000003</c:v>
                </c:pt>
                <c:pt idx="12">
                  <c:v>175485.78461538465</c:v>
                </c:pt>
                <c:pt idx="13">
                  <c:v>177451.02857142861</c:v>
                </c:pt>
                <c:pt idx="14">
                  <c:v>179378.72000000006</c:v>
                </c:pt>
                <c:pt idx="15">
                  <c:v>178470.75000000006</c:v>
                </c:pt>
                <c:pt idx="16">
                  <c:v>178996.65882352946</c:v>
                </c:pt>
                <c:pt idx="17">
                  <c:v>180704.66666666672</c:v>
                </c:pt>
                <c:pt idx="18">
                  <c:v>182259.15789473688</c:v>
                </c:pt>
                <c:pt idx="19">
                  <c:v>181021.80000000005</c:v>
                </c:pt>
                <c:pt idx="20">
                  <c:v>181070.28571428574</c:v>
                </c:pt>
                <c:pt idx="21">
                  <c:v>181722.00000000003</c:v>
                </c:pt>
                <c:pt idx="22">
                  <c:v>181648.17391304352</c:v>
                </c:pt>
                <c:pt idx="23">
                  <c:v>187295.4782608696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26-41C1-8ACF-2F511613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pt-BR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86777.279999999999</c:v>
                </c:pt>
                <c:pt idx="1">
                  <c:v>78065.279999999999</c:v>
                </c:pt>
                <c:pt idx="2">
                  <c:v>86952</c:v>
                </c:pt>
                <c:pt idx="3">
                  <c:v>90329.040000000008</c:v>
                </c:pt>
                <c:pt idx="4">
                  <c:v>86737.535999999993</c:v>
                </c:pt>
                <c:pt idx="5">
                  <c:v>90922.559999999998</c:v>
                </c:pt>
                <c:pt idx="6">
                  <c:v>94952.365714285712</c:v>
                </c:pt>
                <c:pt idx="7">
                  <c:v>98130.599999999991</c:v>
                </c:pt>
                <c:pt idx="8">
                  <c:v>98825.279999999984</c:v>
                </c:pt>
                <c:pt idx="9">
                  <c:v>99648.575999999986</c:v>
                </c:pt>
                <c:pt idx="10">
                  <c:v>99060.218181818171</c:v>
                </c:pt>
                <c:pt idx="11">
                  <c:v>99770.4</c:v>
                </c:pt>
                <c:pt idx="12">
                  <c:v>101685.26769230768</c:v>
                </c:pt>
                <c:pt idx="13">
                  <c:v>103313.62285714285</c:v>
                </c:pt>
                <c:pt idx="14">
                  <c:v>104546.49600000001</c:v>
                </c:pt>
                <c:pt idx="15">
                  <c:v>101757.24</c:v>
                </c:pt>
                <c:pt idx="16">
                  <c:v>102863.26588235296</c:v>
                </c:pt>
                <c:pt idx="17">
                  <c:v>103915.68000000002</c:v>
                </c:pt>
                <c:pt idx="18">
                  <c:v>104922.94736842107</c:v>
                </c:pt>
                <c:pt idx="19">
                  <c:v>105829.48800000001</c:v>
                </c:pt>
                <c:pt idx="20">
                  <c:v>106649.69142857146</c:v>
                </c:pt>
                <c:pt idx="21">
                  <c:v>107419.1563636364</c:v>
                </c:pt>
                <c:pt idx="22">
                  <c:v>108121.71130434785</c:v>
                </c:pt>
                <c:pt idx="23">
                  <c:v>108618.12000000002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98C-A43F-930DBE6097C4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17424</c:v>
                </c:pt>
                <c:pt idx="1">
                  <c:v>14556</c:v>
                </c:pt>
                <c:pt idx="2">
                  <c:v>12656</c:v>
                </c:pt>
                <c:pt idx="3">
                  <c:v>11982</c:v>
                </c:pt>
                <c:pt idx="4">
                  <c:v>21868.800000000003</c:v>
                </c:pt>
                <c:pt idx="5">
                  <c:v>28260</c:v>
                </c:pt>
                <c:pt idx="6">
                  <c:v>31995.428571428572</c:v>
                </c:pt>
                <c:pt idx="7">
                  <c:v>34089</c:v>
                </c:pt>
                <c:pt idx="8">
                  <c:v>37218.666666666672</c:v>
                </c:pt>
                <c:pt idx="9">
                  <c:v>37598.399999999994</c:v>
                </c:pt>
                <c:pt idx="10">
                  <c:v>37570.909090909088</c:v>
                </c:pt>
                <c:pt idx="11">
                  <c:v>40884</c:v>
                </c:pt>
                <c:pt idx="12">
                  <c:v>43152</c:v>
                </c:pt>
                <c:pt idx="13">
                  <c:v>43512</c:v>
                </c:pt>
                <c:pt idx="14">
                  <c:v>43190.399999999994</c:v>
                </c:pt>
                <c:pt idx="15">
                  <c:v>48423</c:v>
                </c:pt>
                <c:pt idx="16">
                  <c:v>53154.352941176476</c:v>
                </c:pt>
                <c:pt idx="17">
                  <c:v>54513.333333333328</c:v>
                </c:pt>
                <c:pt idx="18">
                  <c:v>53373.473684210534</c:v>
                </c:pt>
                <c:pt idx="19">
                  <c:v>54057.600000000006</c:v>
                </c:pt>
                <c:pt idx="20">
                  <c:v>55012.571428571428</c:v>
                </c:pt>
                <c:pt idx="21">
                  <c:v>56870.181818181816</c:v>
                </c:pt>
                <c:pt idx="22">
                  <c:v>57398.608695652176</c:v>
                </c:pt>
                <c:pt idx="23">
                  <c:v>60384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A-498C-A43F-930DBE6097C4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BA-498C-A43F-930DBE6097C4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86777.279999999999</c:v>
                </c:pt>
                <c:pt idx="1">
                  <c:v>78065.279999999999</c:v>
                </c:pt>
                <c:pt idx="2">
                  <c:v>86952</c:v>
                </c:pt>
                <c:pt idx="3">
                  <c:v>90329.040000000008</c:v>
                </c:pt>
                <c:pt idx="4">
                  <c:v>86737.535999999993</c:v>
                </c:pt>
                <c:pt idx="5">
                  <c:v>90922.559999999998</c:v>
                </c:pt>
                <c:pt idx="6">
                  <c:v>94952.365714285712</c:v>
                </c:pt>
                <c:pt idx="7">
                  <c:v>98130.599999999991</c:v>
                </c:pt>
                <c:pt idx="8">
                  <c:v>98825.279999999984</c:v>
                </c:pt>
                <c:pt idx="9">
                  <c:v>99648.575999999986</c:v>
                </c:pt>
                <c:pt idx="10">
                  <c:v>99060.218181818171</c:v>
                </c:pt>
                <c:pt idx="11">
                  <c:v>99770.4</c:v>
                </c:pt>
                <c:pt idx="12">
                  <c:v>101685.26769230768</c:v>
                </c:pt>
                <c:pt idx="13">
                  <c:v>103313.62285714285</c:v>
                </c:pt>
                <c:pt idx="14">
                  <c:v>104546.49600000001</c:v>
                </c:pt>
                <c:pt idx="15">
                  <c:v>101757.24</c:v>
                </c:pt>
                <c:pt idx="16">
                  <c:v>102863.26588235296</c:v>
                </c:pt>
                <c:pt idx="17">
                  <c:v>103915.68000000002</c:v>
                </c:pt>
                <c:pt idx="18">
                  <c:v>104922.94736842107</c:v>
                </c:pt>
                <c:pt idx="19">
                  <c:v>105829.48800000001</c:v>
                </c:pt>
                <c:pt idx="20">
                  <c:v>106649.69142857146</c:v>
                </c:pt>
                <c:pt idx="21">
                  <c:v>107419.1563636364</c:v>
                </c:pt>
                <c:pt idx="22">
                  <c:v>108121.71130434785</c:v>
                </c:pt>
                <c:pt idx="23">
                  <c:v>108618.12000000002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BA-498C-A43F-930DBE6097C4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17424</c:v>
                </c:pt>
                <c:pt idx="1">
                  <c:v>14556</c:v>
                </c:pt>
                <c:pt idx="2">
                  <c:v>12656</c:v>
                </c:pt>
                <c:pt idx="3">
                  <c:v>11982</c:v>
                </c:pt>
                <c:pt idx="4">
                  <c:v>21868.800000000003</c:v>
                </c:pt>
                <c:pt idx="5">
                  <c:v>28260</c:v>
                </c:pt>
                <c:pt idx="6">
                  <c:v>31995.428571428572</c:v>
                </c:pt>
                <c:pt idx="7">
                  <c:v>34089</c:v>
                </c:pt>
                <c:pt idx="8">
                  <c:v>37218.666666666672</c:v>
                </c:pt>
                <c:pt idx="9">
                  <c:v>37598.399999999994</c:v>
                </c:pt>
                <c:pt idx="10">
                  <c:v>37570.909090909088</c:v>
                </c:pt>
                <c:pt idx="11">
                  <c:v>40884</c:v>
                </c:pt>
                <c:pt idx="12">
                  <c:v>43152</c:v>
                </c:pt>
                <c:pt idx="13">
                  <c:v>43512</c:v>
                </c:pt>
                <c:pt idx="14">
                  <c:v>43190.399999999994</c:v>
                </c:pt>
                <c:pt idx="15">
                  <c:v>48423</c:v>
                </c:pt>
                <c:pt idx="16">
                  <c:v>53154.352941176476</c:v>
                </c:pt>
                <c:pt idx="17">
                  <c:v>54513.333333333328</c:v>
                </c:pt>
                <c:pt idx="18">
                  <c:v>53373.473684210534</c:v>
                </c:pt>
                <c:pt idx="19">
                  <c:v>54057.600000000006</c:v>
                </c:pt>
                <c:pt idx="20">
                  <c:v>55012.571428571428</c:v>
                </c:pt>
                <c:pt idx="21">
                  <c:v>56870.181818181816</c:v>
                </c:pt>
                <c:pt idx="22">
                  <c:v>57398.608695652176</c:v>
                </c:pt>
                <c:pt idx="23">
                  <c:v>60384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DBA-498C-A43F-930DBE609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05-4E26-B175-0FC07E164DF0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51993.0864</c:v>
                </c:pt>
                <c:pt idx="2">
                  <c:v>53229.254400000005</c:v>
                </c:pt>
                <c:pt idx="3">
                  <c:v>52466.601600000002</c:v>
                </c:pt>
                <c:pt idx="4">
                  <c:v>52110.696960000008</c:v>
                </c:pt>
                <c:pt idx="5">
                  <c:v>52221.2304</c:v>
                </c:pt>
                <c:pt idx="6">
                  <c:v>52545.620571428575</c:v>
                </c:pt>
                <c:pt idx="7">
                  <c:v>53003.671199999997</c:v>
                </c:pt>
                <c:pt idx="8">
                  <c:v>53015.078399999999</c:v>
                </c:pt>
                <c:pt idx="9">
                  <c:v>49663.224000000002</c:v>
                </c:pt>
                <c:pt idx="10">
                  <c:v>46684.865454545456</c:v>
                </c:pt>
                <c:pt idx="11">
                  <c:v>44202.9</c:v>
                </c:pt>
                <c:pt idx="12">
                  <c:v>44291.668430769234</c:v>
                </c:pt>
                <c:pt idx="13">
                  <c:v>43333.325485714289</c:v>
                </c:pt>
                <c:pt idx="14">
                  <c:v>40444.437120000002</c:v>
                </c:pt>
                <c:pt idx="15">
                  <c:v>37916.659800000001</c:v>
                </c:pt>
                <c:pt idx="16">
                  <c:v>36538.151717647059</c:v>
                </c:pt>
                <c:pt idx="17">
                  <c:v>36519.646400000005</c:v>
                </c:pt>
                <c:pt idx="18">
                  <c:v>35941.134315789473</c:v>
                </c:pt>
                <c:pt idx="19">
                  <c:v>35204.807520000002</c:v>
                </c:pt>
                <c:pt idx="20">
                  <c:v>35409.412114285711</c:v>
                </c:pt>
                <c:pt idx="21">
                  <c:v>35477.450181818182</c:v>
                </c:pt>
                <c:pt idx="22">
                  <c:v>35561.677773913041</c:v>
                </c:pt>
                <c:pt idx="23">
                  <c:v>35315.9928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5-4E26-B175-0FC07E164DF0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51840</c:v>
                </c:pt>
                <c:pt idx="1">
                  <c:v>45000</c:v>
                </c:pt>
                <c:pt idx="2">
                  <c:v>44400</c:v>
                </c:pt>
                <c:pt idx="3">
                  <c:v>46800</c:v>
                </c:pt>
                <c:pt idx="4">
                  <c:v>46464</c:v>
                </c:pt>
                <c:pt idx="5">
                  <c:v>43880</c:v>
                </c:pt>
                <c:pt idx="6">
                  <c:v>39908.571428571428</c:v>
                </c:pt>
                <c:pt idx="7">
                  <c:v>39060</c:v>
                </c:pt>
                <c:pt idx="8">
                  <c:v>37920</c:v>
                </c:pt>
                <c:pt idx="9">
                  <c:v>38472</c:v>
                </c:pt>
                <c:pt idx="10">
                  <c:v>38356.36363636364</c:v>
                </c:pt>
                <c:pt idx="11">
                  <c:v>38680</c:v>
                </c:pt>
                <c:pt idx="12">
                  <c:v>37126.153846153844</c:v>
                </c:pt>
                <c:pt idx="13">
                  <c:v>36960</c:v>
                </c:pt>
                <c:pt idx="14">
                  <c:v>38656</c:v>
                </c:pt>
                <c:pt idx="15">
                  <c:v>38880</c:v>
                </c:pt>
                <c:pt idx="16">
                  <c:v>39670.588235294119</c:v>
                </c:pt>
                <c:pt idx="17">
                  <c:v>40906.666666666664</c:v>
                </c:pt>
                <c:pt idx="18">
                  <c:v>40282.105263157893</c:v>
                </c:pt>
                <c:pt idx="19">
                  <c:v>40248</c:v>
                </c:pt>
                <c:pt idx="20">
                  <c:v>41142.857142857145</c:v>
                </c:pt>
                <c:pt idx="21">
                  <c:v>41640</c:v>
                </c:pt>
                <c:pt idx="22">
                  <c:v>41457.391304347824</c:v>
                </c:pt>
                <c:pt idx="23">
                  <c:v>42646.956521739135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C05-4E26-B175-0FC07E16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B3-4D91-96E6-DC58F2754BDE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3810.0000000000009</c:v>
                </c:pt>
                <c:pt idx="1">
                  <c:v>3810.0000000000009</c:v>
                </c:pt>
                <c:pt idx="2">
                  <c:v>3810.0000000000009</c:v>
                </c:pt>
                <c:pt idx="3">
                  <c:v>3810.0000000000009</c:v>
                </c:pt>
                <c:pt idx="4">
                  <c:v>3810.0000000000009</c:v>
                </c:pt>
                <c:pt idx="5">
                  <c:v>3810.0000000000009</c:v>
                </c:pt>
                <c:pt idx="6">
                  <c:v>3810.0000000000009</c:v>
                </c:pt>
                <c:pt idx="7">
                  <c:v>3810.0000000000009</c:v>
                </c:pt>
                <c:pt idx="8">
                  <c:v>3810.0000000000009</c:v>
                </c:pt>
                <c:pt idx="9">
                  <c:v>3810.0000000000009</c:v>
                </c:pt>
                <c:pt idx="10">
                  <c:v>3810.0000000000009</c:v>
                </c:pt>
                <c:pt idx="11">
                  <c:v>3810.0000000000009</c:v>
                </c:pt>
                <c:pt idx="12">
                  <c:v>3810.0000000000009</c:v>
                </c:pt>
                <c:pt idx="13">
                  <c:v>3810.0000000000009</c:v>
                </c:pt>
                <c:pt idx="14">
                  <c:v>3810.0000000000009</c:v>
                </c:pt>
                <c:pt idx="15">
                  <c:v>3810.0000000000009</c:v>
                </c:pt>
                <c:pt idx="16">
                  <c:v>3810.0000000000009</c:v>
                </c:pt>
                <c:pt idx="17">
                  <c:v>3810.0000000000009</c:v>
                </c:pt>
                <c:pt idx="18">
                  <c:v>3810.0000000000009</c:v>
                </c:pt>
                <c:pt idx="19">
                  <c:v>3810.0000000000009</c:v>
                </c:pt>
                <c:pt idx="20">
                  <c:v>3810.0000000000009</c:v>
                </c:pt>
                <c:pt idx="21">
                  <c:v>3810.0000000000009</c:v>
                </c:pt>
                <c:pt idx="22">
                  <c:v>3810.0000000000009</c:v>
                </c:pt>
                <c:pt idx="23">
                  <c:v>3810.0000000000009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3-4D91-96E6-DC58F2754BDE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7B3-4D91-96E6-DC58F2754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14426.140471546874</c:v>
                </c:pt>
                <c:pt idx="1">
                  <c:v>13901.124715355825</c:v>
                </c:pt>
                <c:pt idx="2">
                  <c:v>14633.963810335788</c:v>
                </c:pt>
                <c:pt idx="3">
                  <c:v>15478.768861284272</c:v>
                </c:pt>
                <c:pt idx="4">
                  <c:v>13645.772584978129</c:v>
                </c:pt>
                <c:pt idx="5">
                  <c:v>16265.257946485945</c:v>
                </c:pt>
                <c:pt idx="6">
                  <c:v>16253.973816563939</c:v>
                </c:pt>
                <c:pt idx="7">
                  <c:v>15659.244340713485</c:v>
                </c:pt>
                <c:pt idx="8">
                  <c:v>14334.557934969642</c:v>
                </c:pt>
                <c:pt idx="9">
                  <c:v>13180.5942210827</c:v>
                </c:pt>
                <c:pt idx="10">
                  <c:v>11593.306500511912</c:v>
                </c:pt>
                <c:pt idx="11">
                  <c:v>11597.836516034047</c:v>
                </c:pt>
                <c:pt idx="12">
                  <c:v>14477.267030433915</c:v>
                </c:pt>
                <c:pt idx="13">
                  <c:v>10072.465022012067</c:v>
                </c:pt>
                <c:pt idx="14">
                  <c:v>10314.956658914645</c:v>
                </c:pt>
                <c:pt idx="15">
                  <c:v>5446.4855452502288</c:v>
                </c:pt>
                <c:pt idx="16">
                  <c:v>11936.585465142796</c:v>
                </c:pt>
                <c:pt idx="17">
                  <c:v>12257.362747443929</c:v>
                </c:pt>
                <c:pt idx="18">
                  <c:v>11782.475589292339</c:v>
                </c:pt>
                <c:pt idx="19">
                  <c:v>11942.25052492957</c:v>
                </c:pt>
                <c:pt idx="20">
                  <c:v>13455.508344292244</c:v>
                </c:pt>
                <c:pt idx="21">
                  <c:v>13788.590817726468</c:v>
                </c:pt>
                <c:pt idx="22">
                  <c:v>12788.542826137686</c:v>
                </c:pt>
                <c:pt idx="23">
                  <c:v>12377.960379485432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B-40F3-B4A1-BD966141F287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9397</c:v>
                </c:pt>
                <c:pt idx="1">
                  <c:v>11410</c:v>
                </c:pt>
                <c:pt idx="2">
                  <c:v>11774</c:v>
                </c:pt>
                <c:pt idx="3">
                  <c:v>8890</c:v>
                </c:pt>
                <c:pt idx="4">
                  <c:v>9375</c:v>
                </c:pt>
                <c:pt idx="5">
                  <c:v>11544</c:v>
                </c:pt>
                <c:pt idx="6">
                  <c:v>10380.299999999999</c:v>
                </c:pt>
                <c:pt idx="7">
                  <c:v>9916.2000000000007</c:v>
                </c:pt>
                <c:pt idx="8">
                  <c:v>10194.900000000001</c:v>
                </c:pt>
                <c:pt idx="9">
                  <c:v>11742.400000000001</c:v>
                </c:pt>
                <c:pt idx="10">
                  <c:v>10672.6</c:v>
                </c:pt>
                <c:pt idx="11">
                  <c:v>12402.1</c:v>
                </c:pt>
                <c:pt idx="12">
                  <c:v>10840.3</c:v>
                </c:pt>
                <c:pt idx="13">
                  <c:v>11916.3</c:v>
                </c:pt>
                <c:pt idx="14">
                  <c:v>12810.6</c:v>
                </c:pt>
                <c:pt idx="15">
                  <c:v>13916.8</c:v>
                </c:pt>
                <c:pt idx="16">
                  <c:v>15357.8</c:v>
                </c:pt>
                <c:pt idx="17">
                  <c:v>14553.2</c:v>
                </c:pt>
                <c:pt idx="18">
                  <c:v>11339</c:v>
                </c:pt>
                <c:pt idx="19">
                  <c:v>11007</c:v>
                </c:pt>
                <c:pt idx="20">
                  <c:v>13133</c:v>
                </c:pt>
                <c:pt idx="21">
                  <c:v>14307</c:v>
                </c:pt>
                <c:pt idx="22">
                  <c:v>11937</c:v>
                </c:pt>
                <c:pt idx="23">
                  <c:v>9413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E2DB-40F3-B4A1-BD966141F287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E2DB-40F3-B4A1-BD966141F287}"/>
              </c:ext>
            </c:extLst>
          </c:dPt>
          <c:dLbls>
            <c:dLbl>
              <c:idx val="25"/>
              <c:layout>
                <c:manualLayout>
                  <c:x val="-1.1595528253006758E-3"/>
                  <c:y val="-0.265033551620987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DB-40F3-B4A1-BD966141F287}"/>
                </c:ext>
              </c:extLst>
            </c:dLbl>
            <c:dLbl>
              <c:idx val="26"/>
              <c:layout>
                <c:manualLayout>
                  <c:x val="0"/>
                  <c:y val="-0.1160685725534031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DB-40F3-B4A1-BD966141F2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298822.4498447862</c:v>
                </c:pt>
                <c:pt idx="26">
                  <c:v>311610.99267092388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DB-40F3-B4A1-BD966141F287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E2DB-40F3-B4A1-BD966141F287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E2DB-40F3-B4A1-BD966141F2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278229.5</c:v>
                </c:pt>
                <c:pt idx="26">
                  <c:v>293000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5</c:v>
                </c:pt>
                <c:pt idx="1">
                  <c:v>4</c:v>
                </c:pt>
                <c:pt idx="2">
                  <c:v>1</c:v>
                </c:pt>
                <c:pt idx="3">
                  <c:v>8</c:v>
                </c:pt>
                <c:pt idx="4">
                  <c:v>6h</c:v>
                </c:pt>
              </c:strCache>
            </c:str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3423.580984978129</c:v>
                </c:pt>
                <c:pt idx="1">
                  <c:v>2818.4020612842723</c:v>
                </c:pt>
                <c:pt idx="2">
                  <c:v>1949.091271546873</c:v>
                </c:pt>
                <c:pt idx="3">
                  <c:v>1637.4499407134854</c:v>
                </c:pt>
                <c:pt idx="4">
                  <c:v>1502.2755464859456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E-48F3-BB0A-4651D0A56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19</c:v>
                </c:pt>
                <c:pt idx="3">
                  <c:v>15</c:v>
                </c:pt>
                <c:pt idx="4">
                  <c:v>14</c:v>
                </c:pt>
              </c:numCache>
            </c:num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3994.5599999999995</c:v>
                </c:pt>
                <c:pt idx="1">
                  <c:v>3770.84</c:v>
                </c:pt>
                <c:pt idx="2">
                  <c:v>3758.24</c:v>
                </c:pt>
                <c:pt idx="3">
                  <c:v>3463.2799999999997</c:v>
                </c:pt>
                <c:pt idx="4">
                  <c:v>3178.76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2-4257-872D-D6C6AF65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13</c:v>
                </c:pt>
                <c:pt idx="2">
                  <c:v>9</c:v>
                </c:pt>
                <c:pt idx="3">
                  <c:v>8</c:v>
                </c:pt>
                <c:pt idx="4">
                  <c:v>6h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1600.4984000000004</c:v>
                </c:pt>
                <c:pt idx="1">
                  <c:v>1119.8703999999998</c:v>
                </c:pt>
                <c:pt idx="2">
                  <c:v>1012.7639999999997</c:v>
                </c:pt>
                <c:pt idx="3">
                  <c:v>962.08439999999973</c:v>
                </c:pt>
                <c:pt idx="4">
                  <c:v>908.91240000000016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6-40AB-8CE1-871AE42E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158.75000000000003</c:v>
                </c:pt>
                <c:pt idx="1">
                  <c:v>158.75000000000003</c:v>
                </c:pt>
                <c:pt idx="2">
                  <c:v>158.75000000000003</c:v>
                </c:pt>
                <c:pt idx="3">
                  <c:v>158.75000000000003</c:v>
                </c:pt>
                <c:pt idx="4">
                  <c:v>158.75000000000003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3-420C-B857-F9067BC01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8460.091271546873</c:v>
                </c:pt>
                <c:pt idx="1">
                  <c:v>8711.4767153558241</c:v>
                </c:pt>
                <c:pt idx="2">
                  <c:v>7790.7542103357882</c:v>
                </c:pt>
                <c:pt idx="3">
                  <c:v>9043.4020612842723</c:v>
                </c:pt>
                <c:pt idx="4">
                  <c:v>8359.580984978129</c:v>
                </c:pt>
                <c:pt idx="5">
                  <c:v>9247.2755464859456</c:v>
                </c:pt>
                <c:pt idx="6">
                  <c:v>8860.9254165639395</c:v>
                </c:pt>
                <c:pt idx="7">
                  <c:v>8142.6499407134852</c:v>
                </c:pt>
                <c:pt idx="8">
                  <c:v>7613.7639349696437</c:v>
                </c:pt>
                <c:pt idx="9">
                  <c:v>7748.7286210826987</c:v>
                </c:pt>
                <c:pt idx="10">
                  <c:v>6847.9765005119116</c:v>
                </c:pt>
                <c:pt idx="11">
                  <c:v>6252.2665160340457</c:v>
                </c:pt>
                <c:pt idx="12">
                  <c:v>7234.3266304339168</c:v>
                </c:pt>
                <c:pt idx="13">
                  <c:v>3440.5022220120659</c:v>
                </c:pt>
                <c:pt idx="14">
                  <c:v>5080.9266589146446</c:v>
                </c:pt>
                <c:pt idx="15">
                  <c:v>2791.1355452502285</c:v>
                </c:pt>
                <c:pt idx="16">
                  <c:v>6151.0978651427959</c:v>
                </c:pt>
                <c:pt idx="17">
                  <c:v>5514.7887474439294</c:v>
                </c:pt>
                <c:pt idx="18">
                  <c:v>5432.8223892923406</c:v>
                </c:pt>
                <c:pt idx="19">
                  <c:v>5772.318924929571</c:v>
                </c:pt>
                <c:pt idx="20">
                  <c:v>6523.6223442922437</c:v>
                </c:pt>
                <c:pt idx="21">
                  <c:v>6943.0004177264691</c:v>
                </c:pt>
                <c:pt idx="22">
                  <c:v>5921.7676261376855</c:v>
                </c:pt>
                <c:pt idx="23">
                  <c:v>5981.6787794854317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A-45F7-B5CE-CE7481C3E0B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6511</c:v>
                </c:pt>
                <c:pt idx="1">
                  <c:v>9333</c:v>
                </c:pt>
                <c:pt idx="2">
                  <c:v>9605</c:v>
                </c:pt>
                <c:pt idx="3">
                  <c:v>6225</c:v>
                </c:pt>
                <c:pt idx="4">
                  <c:v>4936</c:v>
                </c:pt>
                <c:pt idx="5">
                  <c:v>7745</c:v>
                </c:pt>
                <c:pt idx="6">
                  <c:v>7443.3</c:v>
                </c:pt>
                <c:pt idx="7">
                  <c:v>6505.2</c:v>
                </c:pt>
                <c:pt idx="8">
                  <c:v>6400.9000000000005</c:v>
                </c:pt>
                <c:pt idx="9">
                  <c:v>8223.4000000000015</c:v>
                </c:pt>
                <c:pt idx="10">
                  <c:v>7568.6</c:v>
                </c:pt>
                <c:pt idx="11">
                  <c:v>7420.1</c:v>
                </c:pt>
                <c:pt idx="12">
                  <c:v>7138.3</c:v>
                </c:pt>
                <c:pt idx="13">
                  <c:v>8458.2999999999993</c:v>
                </c:pt>
                <c:pt idx="14">
                  <c:v>8598.6</c:v>
                </c:pt>
                <c:pt idx="15">
                  <c:v>6868.7999999999993</c:v>
                </c:pt>
                <c:pt idx="16">
                  <c:v>7808.7999999999993</c:v>
                </c:pt>
                <c:pt idx="17">
                  <c:v>8739.2000000000007</c:v>
                </c:pt>
                <c:pt idx="18">
                  <c:v>8760</c:v>
                </c:pt>
                <c:pt idx="19">
                  <c:v>6563</c:v>
                </c:pt>
                <c:pt idx="20">
                  <c:v>7585</c:v>
                </c:pt>
                <c:pt idx="21">
                  <c:v>8142</c:v>
                </c:pt>
                <c:pt idx="22">
                  <c:v>7501</c:v>
                </c:pt>
                <c:pt idx="23">
                  <c:v>5412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2A1A-45F7-B5CE-CE7481C3E0B6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2A1A-45F7-B5CE-CE7481C3E0B6}"/>
              </c:ext>
            </c:extLst>
          </c:dPt>
          <c:dLbls>
            <c:dLbl>
              <c:idx val="25"/>
              <c:layout>
                <c:manualLayout>
                  <c:x val="0"/>
                  <c:y val="-0.3941428530103874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1A-45F7-B5CE-CE7481C3E0B6}"/>
                </c:ext>
              </c:extLst>
            </c:dLbl>
            <c:dLbl>
              <c:idx val="26"/>
              <c:layout>
                <c:manualLayout>
                  <c:x val="5.7042614426211936E-3"/>
                  <c:y val="-0.3430421696975337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1A-45F7-B5CE-CE7481C3E0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163866.87987092385</c:v>
                </c:pt>
                <c:pt idx="26">
                  <c:v>163866.87987092385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A-45F7-B5CE-CE7481C3E0B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2A1A-45F7-B5CE-CE7481C3E0B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2A1A-45F7-B5CE-CE7481C3E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179491.50000000003</c:v>
                </c:pt>
                <c:pt idx="26">
                  <c:v>195000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3615.7200000000003</c:v>
                </c:pt>
                <c:pt idx="1">
                  <c:v>2889.7200000000003</c:v>
                </c:pt>
                <c:pt idx="2">
                  <c:v>4363.5599999999995</c:v>
                </c:pt>
                <c:pt idx="3">
                  <c:v>4185.84</c:v>
                </c:pt>
                <c:pt idx="4">
                  <c:v>3015.48</c:v>
                </c:pt>
                <c:pt idx="5">
                  <c:v>4660.32</c:v>
                </c:pt>
                <c:pt idx="6">
                  <c:v>4963.8</c:v>
                </c:pt>
                <c:pt idx="7">
                  <c:v>5015.76</c:v>
                </c:pt>
                <c:pt idx="8">
                  <c:v>4349.28</c:v>
                </c:pt>
                <c:pt idx="9">
                  <c:v>4460.76</c:v>
                </c:pt>
                <c:pt idx="10">
                  <c:v>3882.3599999999997</c:v>
                </c:pt>
                <c:pt idx="11">
                  <c:v>4482.6000000000004</c:v>
                </c:pt>
                <c:pt idx="12">
                  <c:v>5194.32</c:v>
                </c:pt>
                <c:pt idx="13">
                  <c:v>5186.76</c:v>
                </c:pt>
                <c:pt idx="14">
                  <c:v>5075.28</c:v>
                </c:pt>
                <c:pt idx="15">
                  <c:v>2496.6</c:v>
                </c:pt>
                <c:pt idx="16">
                  <c:v>5023.32</c:v>
                </c:pt>
                <c:pt idx="17">
                  <c:v>5075.28</c:v>
                </c:pt>
                <c:pt idx="18">
                  <c:v>5127.24</c:v>
                </c:pt>
                <c:pt idx="19">
                  <c:v>5127.24</c:v>
                </c:pt>
                <c:pt idx="20">
                  <c:v>5127.24</c:v>
                </c:pt>
                <c:pt idx="21">
                  <c:v>5149.08</c:v>
                </c:pt>
                <c:pt idx="22">
                  <c:v>5149.08</c:v>
                </c:pt>
                <c:pt idx="23">
                  <c:v>5001.4800000000005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8-4057-BB56-C66BDCA36290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726</c:v>
                </c:pt>
                <c:pt idx="1">
                  <c:v>487</c:v>
                </c:pt>
                <c:pt idx="2">
                  <c:v>369</c:v>
                </c:pt>
                <c:pt idx="3">
                  <c:v>415</c:v>
                </c:pt>
                <c:pt idx="4">
                  <c:v>2559</c:v>
                </c:pt>
                <c:pt idx="5">
                  <c:v>2509</c:v>
                </c:pt>
                <c:pt idx="6">
                  <c:v>2267</c:v>
                </c:pt>
                <c:pt idx="7">
                  <c:v>2031</c:v>
                </c:pt>
                <c:pt idx="8">
                  <c:v>2594</c:v>
                </c:pt>
                <c:pt idx="9">
                  <c:v>1709</c:v>
                </c:pt>
                <c:pt idx="10">
                  <c:v>1554</c:v>
                </c:pt>
                <c:pt idx="11">
                  <c:v>3222</c:v>
                </c:pt>
                <c:pt idx="12">
                  <c:v>2932</c:v>
                </c:pt>
                <c:pt idx="13">
                  <c:v>2008</c:v>
                </c:pt>
                <c:pt idx="14">
                  <c:v>1612</c:v>
                </c:pt>
                <c:pt idx="15">
                  <c:v>5288</c:v>
                </c:pt>
                <c:pt idx="16">
                  <c:v>5369</c:v>
                </c:pt>
                <c:pt idx="17">
                  <c:v>3234</c:v>
                </c:pt>
                <c:pt idx="18">
                  <c:v>1369</c:v>
                </c:pt>
                <c:pt idx="19">
                  <c:v>2794</c:v>
                </c:pt>
                <c:pt idx="20">
                  <c:v>3088</c:v>
                </c:pt>
                <c:pt idx="21">
                  <c:v>3995</c:v>
                </c:pt>
                <c:pt idx="22">
                  <c:v>2876</c:v>
                </c:pt>
                <c:pt idx="23">
                  <c:v>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F5B8-4057-BB56-C66BDCA36290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F5B8-4057-BB56-C66BDCA36290}"/>
              </c:ext>
            </c:extLst>
          </c:dPt>
          <c:dLbls>
            <c:dLbl>
              <c:idx val="25"/>
              <c:layout>
                <c:manualLayout>
                  <c:x val="2.5170527848759352E-3"/>
                  <c:y val="-5.56828271092063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B8-4057-BB56-C66BDCA36290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B8-4057-BB56-C66BDCA36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108618.12000000002</c:v>
                </c:pt>
                <c:pt idx="26">
                  <c:v>108618.12000000002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B8-4057-BB56-C66BDCA36290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F5B8-4057-BB56-C66BDCA36290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F5B8-4057-BB56-C66BDCA362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57868</c:v>
                </c:pt>
                <c:pt idx="26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2191.5791999999997</c:v>
                </c:pt>
                <c:pt idx="1">
                  <c:v>2141.1779999999999</c:v>
                </c:pt>
                <c:pt idx="2">
                  <c:v>2320.8996000000002</c:v>
                </c:pt>
                <c:pt idx="3">
                  <c:v>2090.7768000000001</c:v>
                </c:pt>
                <c:pt idx="4">
                  <c:v>2111.9616000000001</c:v>
                </c:pt>
                <c:pt idx="5">
                  <c:v>2198.9124000000002</c:v>
                </c:pt>
                <c:pt idx="6">
                  <c:v>2270.4984000000004</c:v>
                </c:pt>
                <c:pt idx="7">
                  <c:v>2342.0843999999997</c:v>
                </c:pt>
                <c:pt idx="8">
                  <c:v>2212.7639999999997</c:v>
                </c:pt>
                <c:pt idx="9">
                  <c:v>812.35560000000009</c:v>
                </c:pt>
                <c:pt idx="10">
                  <c:v>704.2199999999998</c:v>
                </c:pt>
                <c:pt idx="11">
                  <c:v>704.22000000000025</c:v>
                </c:pt>
                <c:pt idx="12">
                  <c:v>1889.8703999999998</c:v>
                </c:pt>
                <c:pt idx="13">
                  <c:v>1286.4528</c:v>
                </c:pt>
                <c:pt idx="14">
                  <c:v>0</c:v>
                </c:pt>
                <c:pt idx="15">
                  <c:v>0</c:v>
                </c:pt>
                <c:pt idx="16">
                  <c:v>603.41759999999999</c:v>
                </c:pt>
                <c:pt idx="17">
                  <c:v>1508.5440000000001</c:v>
                </c:pt>
                <c:pt idx="18">
                  <c:v>1063.6632</c:v>
                </c:pt>
                <c:pt idx="19">
                  <c:v>883.94159999999999</c:v>
                </c:pt>
                <c:pt idx="20">
                  <c:v>1645.896</c:v>
                </c:pt>
                <c:pt idx="21">
                  <c:v>1537.7603999999999</c:v>
                </c:pt>
                <c:pt idx="22">
                  <c:v>1558.9452000000001</c:v>
                </c:pt>
                <c:pt idx="23">
                  <c:v>1236.0516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3-4A4D-9C4E-378578BEBCDB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2160</c:v>
                </c:pt>
                <c:pt idx="1">
                  <c:v>1590</c:v>
                </c:pt>
                <c:pt idx="2">
                  <c:v>1800</c:v>
                </c:pt>
                <c:pt idx="3">
                  <c:v>2250</c:v>
                </c:pt>
                <c:pt idx="4">
                  <c:v>1880</c:v>
                </c:pt>
                <c:pt idx="5">
                  <c:v>1290</c:v>
                </c:pt>
                <c:pt idx="6">
                  <c:v>670</c:v>
                </c:pt>
                <c:pt idx="7">
                  <c:v>1380</c:v>
                </c:pt>
                <c:pt idx="8">
                  <c:v>1200</c:v>
                </c:pt>
                <c:pt idx="9">
                  <c:v>1810</c:v>
                </c:pt>
                <c:pt idx="10">
                  <c:v>1550</c:v>
                </c:pt>
                <c:pt idx="11">
                  <c:v>1760</c:v>
                </c:pt>
                <c:pt idx="12">
                  <c:v>770</c:v>
                </c:pt>
                <c:pt idx="13">
                  <c:v>1450</c:v>
                </c:pt>
                <c:pt idx="14">
                  <c:v>2600</c:v>
                </c:pt>
                <c:pt idx="15">
                  <c:v>1760</c:v>
                </c:pt>
                <c:pt idx="16">
                  <c:v>2180</c:v>
                </c:pt>
                <c:pt idx="17">
                  <c:v>2580</c:v>
                </c:pt>
                <c:pt idx="18">
                  <c:v>1210</c:v>
                </c:pt>
                <c:pt idx="19">
                  <c:v>1650</c:v>
                </c:pt>
                <c:pt idx="20">
                  <c:v>2460</c:v>
                </c:pt>
                <c:pt idx="21">
                  <c:v>2170</c:v>
                </c:pt>
                <c:pt idx="22">
                  <c:v>1560</c:v>
                </c:pt>
                <c:pt idx="23">
                  <c:v>1140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DFF3-4A4D-9C4E-378578BEBCDB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DFF3-4A4D-9C4E-378578BEBCDB}"/>
              </c:ext>
            </c:extLst>
          </c:dPt>
          <c:dLbls>
            <c:dLbl>
              <c:idx val="25"/>
              <c:layout>
                <c:manualLayout>
                  <c:x val="-1.2580486263614088E-3"/>
                  <c:y val="-0.136141030499529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F3-4A4D-9C4E-378578BEBCDB}"/>
                </c:ext>
              </c:extLst>
            </c:dLbl>
            <c:dLbl>
              <c:idx val="26"/>
              <c:layout>
                <c:manualLayout>
                  <c:x val="-3.73852684380041E-3"/>
                  <c:y val="-6.26190576445324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F3-4A4D-9C4E-378578BEB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35315.9928</c:v>
                </c:pt>
                <c:pt idx="26">
                  <c:v>35315.9928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F3-4A4D-9C4E-378578BEBCDB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DFF3-4A4D-9C4E-378578BEBCDB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DFF3-4A4D-9C4E-378578BEBC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40870</c:v>
                </c:pt>
                <c:pt idx="26">
                  <c:v>38000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158.75000000000003</c:v>
                </c:pt>
                <c:pt idx="1">
                  <c:v>158.75000000000003</c:v>
                </c:pt>
                <c:pt idx="2">
                  <c:v>158.75000000000003</c:v>
                </c:pt>
                <c:pt idx="3">
                  <c:v>158.75000000000003</c:v>
                </c:pt>
                <c:pt idx="4">
                  <c:v>158.75000000000003</c:v>
                </c:pt>
                <c:pt idx="5">
                  <c:v>158.75000000000003</c:v>
                </c:pt>
                <c:pt idx="6">
                  <c:v>158.75000000000003</c:v>
                </c:pt>
                <c:pt idx="7">
                  <c:v>158.75000000000003</c:v>
                </c:pt>
                <c:pt idx="8">
                  <c:v>158.75000000000003</c:v>
                </c:pt>
                <c:pt idx="9">
                  <c:v>158.75000000000003</c:v>
                </c:pt>
                <c:pt idx="10">
                  <c:v>158.75000000000003</c:v>
                </c:pt>
                <c:pt idx="11">
                  <c:v>158.75000000000003</c:v>
                </c:pt>
                <c:pt idx="12">
                  <c:v>158.75000000000003</c:v>
                </c:pt>
                <c:pt idx="13">
                  <c:v>158.75000000000003</c:v>
                </c:pt>
                <c:pt idx="14">
                  <c:v>158.75000000000003</c:v>
                </c:pt>
                <c:pt idx="15">
                  <c:v>158.75000000000003</c:v>
                </c:pt>
                <c:pt idx="16">
                  <c:v>158.75000000000003</c:v>
                </c:pt>
                <c:pt idx="17">
                  <c:v>158.75000000000003</c:v>
                </c:pt>
                <c:pt idx="18">
                  <c:v>158.75000000000003</c:v>
                </c:pt>
                <c:pt idx="19">
                  <c:v>158.75000000000003</c:v>
                </c:pt>
                <c:pt idx="20">
                  <c:v>158.75000000000003</c:v>
                </c:pt>
                <c:pt idx="21">
                  <c:v>158.75000000000003</c:v>
                </c:pt>
                <c:pt idx="22">
                  <c:v>158.75000000000003</c:v>
                </c:pt>
                <c:pt idx="23">
                  <c:v>158.75000000000003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5-47B4-BFDB-40466D6249E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4185-47B4-BFDB-40466D6249E9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4185-47B4-BFDB-40466D6249E9}"/>
              </c:ext>
            </c:extLst>
          </c:dPt>
          <c:dLbls>
            <c:dLbl>
              <c:idx val="25"/>
              <c:layout>
                <c:manualLayout>
                  <c:x val="-1.8454690001527356E-16"/>
                  <c:y val="-9.41176341423314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85-47B4-BFDB-40466D6249E9}"/>
                </c:ext>
              </c:extLst>
            </c:dLbl>
            <c:dLbl>
              <c:idx val="26"/>
              <c:layout>
                <c:manualLayout>
                  <c:x val="0"/>
                  <c:y val="-9.06317958407636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85-47B4-BFDB-40466D624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3810.0000000000005</c:v>
                </c:pt>
                <c:pt idx="26">
                  <c:v>3810.0000000000005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85-47B4-BFDB-40466D6249E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4185-47B4-BFDB-40466D6249E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4185-47B4-BFDB-40466D6249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image" Target="../media/image10.emf"/><Relationship Id="rId3" Type="http://schemas.openxmlformats.org/officeDocument/2006/relationships/chart" Target="../charts/chart8.xml"/><Relationship Id="rId7" Type="http://schemas.openxmlformats.org/officeDocument/2006/relationships/image" Target="../media/image4.png"/><Relationship Id="rId12" Type="http://schemas.openxmlformats.org/officeDocument/2006/relationships/chart" Target="../charts/chart16.xml"/><Relationship Id="rId17" Type="http://schemas.openxmlformats.org/officeDocument/2006/relationships/image" Target="../media/image9.emf"/><Relationship Id="rId2" Type="http://schemas.openxmlformats.org/officeDocument/2006/relationships/chart" Target="../charts/chart7.xml"/><Relationship Id="rId16" Type="http://schemas.openxmlformats.org/officeDocument/2006/relationships/image" Target="../media/image8.emf"/><Relationship Id="rId20" Type="http://schemas.openxmlformats.org/officeDocument/2006/relationships/image" Target="../media/image12.emf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5.xml"/><Relationship Id="rId5" Type="http://schemas.openxmlformats.org/officeDocument/2006/relationships/chart" Target="../charts/chart10.xml"/><Relationship Id="rId15" Type="http://schemas.openxmlformats.org/officeDocument/2006/relationships/chart" Target="../charts/chart19.xml"/><Relationship Id="rId10" Type="http://schemas.openxmlformats.org/officeDocument/2006/relationships/chart" Target="../charts/chart14.xml"/><Relationship Id="rId19" Type="http://schemas.openxmlformats.org/officeDocument/2006/relationships/image" Target="../media/image11.emf"/><Relationship Id="rId4" Type="http://schemas.openxmlformats.org/officeDocument/2006/relationships/chart" Target="../charts/chart9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chart" Target="../charts/chart21.xml"/><Relationship Id="rId7" Type="http://schemas.openxmlformats.org/officeDocument/2006/relationships/image" Target="../media/image18.emf"/><Relationship Id="rId12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image" Target="../media/image4.png"/><Relationship Id="rId6" Type="http://schemas.openxmlformats.org/officeDocument/2006/relationships/chart" Target="../charts/chart24.xml"/><Relationship Id="rId11" Type="http://schemas.openxmlformats.org/officeDocument/2006/relationships/image" Target="../media/image12.emf"/><Relationship Id="rId5" Type="http://schemas.openxmlformats.org/officeDocument/2006/relationships/chart" Target="../charts/chart23.xml"/><Relationship Id="rId10" Type="http://schemas.openxmlformats.org/officeDocument/2006/relationships/image" Target="../media/image11.emf"/><Relationship Id="rId4" Type="http://schemas.openxmlformats.org/officeDocument/2006/relationships/chart" Target="../charts/chart22.xml"/><Relationship Id="rId9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5" Type="http://schemas.openxmlformats.org/officeDocument/2006/relationships/image" Target="../media/image29.png"/><Relationship Id="rId4" Type="http://schemas.openxmlformats.org/officeDocument/2006/relationships/image" Target="../media/image28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microsoft.com/office/2007/relationships/hdphoto" Target="../media/hdphoto1.wdp"/><Relationship Id="rId1" Type="http://schemas.openxmlformats.org/officeDocument/2006/relationships/image" Target="../media/image31.png"/><Relationship Id="rId4" Type="http://schemas.openxmlformats.org/officeDocument/2006/relationships/image" Target="../media/image3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13" Type="http://schemas.openxmlformats.org/officeDocument/2006/relationships/chart" Target="../charts/chart39.xml"/><Relationship Id="rId18" Type="http://schemas.openxmlformats.org/officeDocument/2006/relationships/image" Target="../media/image10.emf"/><Relationship Id="rId3" Type="http://schemas.openxmlformats.org/officeDocument/2006/relationships/chart" Target="../charts/chart30.xml"/><Relationship Id="rId21" Type="http://schemas.openxmlformats.org/officeDocument/2006/relationships/image" Target="../media/image34.emf"/><Relationship Id="rId7" Type="http://schemas.openxmlformats.org/officeDocument/2006/relationships/image" Target="../media/image4.png"/><Relationship Id="rId12" Type="http://schemas.openxmlformats.org/officeDocument/2006/relationships/chart" Target="../charts/chart38.xml"/><Relationship Id="rId17" Type="http://schemas.openxmlformats.org/officeDocument/2006/relationships/image" Target="../media/image19.emf"/><Relationship Id="rId2" Type="http://schemas.openxmlformats.org/officeDocument/2006/relationships/chart" Target="../charts/chart29.xml"/><Relationship Id="rId16" Type="http://schemas.openxmlformats.org/officeDocument/2006/relationships/image" Target="../media/image18.emf"/><Relationship Id="rId20" Type="http://schemas.openxmlformats.org/officeDocument/2006/relationships/image" Target="../media/image12.emf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7.xml"/><Relationship Id="rId5" Type="http://schemas.openxmlformats.org/officeDocument/2006/relationships/chart" Target="../charts/chart32.xml"/><Relationship Id="rId15" Type="http://schemas.openxmlformats.org/officeDocument/2006/relationships/chart" Target="../charts/chart41.xml"/><Relationship Id="rId10" Type="http://schemas.openxmlformats.org/officeDocument/2006/relationships/chart" Target="../charts/chart36.xml"/><Relationship Id="rId19" Type="http://schemas.openxmlformats.org/officeDocument/2006/relationships/image" Target="../media/image11.emf"/><Relationship Id="rId4" Type="http://schemas.openxmlformats.org/officeDocument/2006/relationships/chart" Target="../charts/chart31.xml"/><Relationship Id="rId9" Type="http://schemas.openxmlformats.org/officeDocument/2006/relationships/chart" Target="../charts/chart35.xml"/><Relationship Id="rId14" Type="http://schemas.openxmlformats.org/officeDocument/2006/relationships/chart" Target="../charts/chart40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7" Type="http://schemas.openxmlformats.org/officeDocument/2006/relationships/image" Target="../media/image40.emf"/><Relationship Id="rId2" Type="http://schemas.openxmlformats.org/officeDocument/2006/relationships/image" Target="../media/image36.png"/><Relationship Id="rId1" Type="http://schemas.openxmlformats.org/officeDocument/2006/relationships/image" Target="../media/image35.png"/><Relationship Id="rId6" Type="http://schemas.openxmlformats.org/officeDocument/2006/relationships/image" Target="../media/image39.emf"/><Relationship Id="rId5" Type="http://schemas.openxmlformats.org/officeDocument/2006/relationships/image" Target="../media/image38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190500</xdr:rowOff>
    </xdr:from>
    <xdr:to>
      <xdr:col>3</xdr:col>
      <xdr:colOff>6998971</xdr:colOff>
      <xdr:row>37</xdr:row>
      <xdr:rowOff>96067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80445BD-FCD6-4FF9-9757-C7BC7A868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1</xdr:colOff>
      <xdr:row>37</xdr:row>
      <xdr:rowOff>150496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BE5B231-2C9C-4F94-BF2E-C3456157B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12</xdr:col>
      <xdr:colOff>19483</xdr:colOff>
      <xdr:row>37</xdr:row>
      <xdr:rowOff>145987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4A3C4C-C744-4294-90D8-17C8880EA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16</xdr:col>
      <xdr:colOff>95250</xdr:colOff>
      <xdr:row>37</xdr:row>
      <xdr:rowOff>140075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FACB5B-2C6A-46DF-BEB6-6AEF21FF2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20</xdr:col>
      <xdr:colOff>95250</xdr:colOff>
      <xdr:row>37</xdr:row>
      <xdr:rowOff>140075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454CD-0A81-4A0D-85B5-CF683DF3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717708</xdr:colOff>
      <xdr:row>1</xdr:row>
      <xdr:rowOff>213835</xdr:rowOff>
    </xdr:from>
    <xdr:to>
      <xdr:col>63</xdr:col>
      <xdr:colOff>62932</xdr:colOff>
      <xdr:row>2</xdr:row>
      <xdr:rowOff>900271</xdr:rowOff>
    </xdr:to>
    <xdr:sp macro="[0]!limpar_justif_usin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8392469-5FD8-42CB-92F8-AFBEAD207A44}"/>
            </a:ext>
          </a:extLst>
        </xdr:cNvPr>
        <xdr:cNvSpPr/>
      </xdr:nvSpPr>
      <xdr:spPr bwMode="auto">
        <a:xfrm>
          <a:off x="27030521" y="428148"/>
          <a:ext cx="3131411" cy="112696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Limpar Justificativas</a:t>
          </a:r>
        </a:p>
      </xdr:txBody>
    </xdr:sp>
    <xdr:clientData/>
  </xdr:twoCellAnchor>
  <xdr:twoCellAnchor>
    <xdr:from>
      <xdr:col>46</xdr:col>
      <xdr:colOff>1270</xdr:colOff>
      <xdr:row>1</xdr:row>
      <xdr:rowOff>170181</xdr:rowOff>
    </xdr:from>
    <xdr:to>
      <xdr:col>56</xdr:col>
      <xdr:colOff>13607</xdr:colOff>
      <xdr:row>3</xdr:row>
      <xdr:rowOff>76201</xdr:rowOff>
    </xdr:to>
    <xdr:sp macro="[0]!publishSheetsWeb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4D336CD-A11B-4038-9FA7-C828849E18B0}"/>
            </a:ext>
          </a:extLst>
        </xdr:cNvPr>
        <xdr:cNvSpPr/>
      </xdr:nvSpPr>
      <xdr:spPr bwMode="auto">
        <a:xfrm>
          <a:off x="22956520" y="379731"/>
          <a:ext cx="3098437" cy="1353820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1</xdr:col>
      <xdr:colOff>123131</xdr:colOff>
      <xdr:row>3</xdr:row>
      <xdr:rowOff>160020</xdr:rowOff>
    </xdr:from>
    <xdr:to>
      <xdr:col>40</xdr:col>
      <xdr:colOff>249767</xdr:colOff>
      <xdr:row>17</xdr:row>
      <xdr:rowOff>233680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6E7E1CFB-C7C1-440A-9950-0EB8D1D72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58032</xdr:colOff>
      <xdr:row>22</xdr:row>
      <xdr:rowOff>12065</xdr:rowOff>
    </xdr:from>
    <xdr:to>
      <xdr:col>11</xdr:col>
      <xdr:colOff>1</xdr:colOff>
      <xdr:row>31</xdr:row>
      <xdr:rowOff>78636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6868859C-5624-4E50-92FC-AA33FC01E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65620</xdr:colOff>
      <xdr:row>22</xdr:row>
      <xdr:rowOff>26843</xdr:rowOff>
    </xdr:from>
    <xdr:to>
      <xdr:col>20</xdr:col>
      <xdr:colOff>571500</xdr:colOff>
      <xdr:row>31</xdr:row>
      <xdr:rowOff>77116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CB87F1D3-3148-440F-8886-417F9D61A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166949</xdr:colOff>
      <xdr:row>22</xdr:row>
      <xdr:rowOff>1633</xdr:rowOff>
    </xdr:from>
    <xdr:to>
      <xdr:col>30</xdr:col>
      <xdr:colOff>571500</xdr:colOff>
      <xdr:row>31</xdr:row>
      <xdr:rowOff>40786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8005FBE8-3919-412D-A59B-4DB8708A7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142562</xdr:colOff>
      <xdr:row>21</xdr:row>
      <xdr:rowOff>193847</xdr:rowOff>
    </xdr:from>
    <xdr:to>
      <xdr:col>41</xdr:col>
      <xdr:colOff>13206</xdr:colOff>
      <xdr:row>31</xdr:row>
      <xdr:rowOff>81593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DD6D503E-BB5B-45F7-BC38-B371F158D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163159</xdr:colOff>
      <xdr:row>72</xdr:row>
      <xdr:rowOff>227923</xdr:rowOff>
    </xdr:from>
    <xdr:to>
      <xdr:col>40</xdr:col>
      <xdr:colOff>363682</xdr:colOff>
      <xdr:row>90</xdr:row>
      <xdr:rowOff>22764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FB1468CB-FE92-4647-9D48-EF5C3A3D5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95712</xdr:colOff>
      <xdr:row>2</xdr:row>
      <xdr:rowOff>711042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DF81FD-0B5F-4FC0-B356-46081B179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475" y="828675"/>
          <a:ext cx="1504950" cy="537687"/>
        </a:xfrm>
        <a:prstGeom prst="rect">
          <a:avLst/>
        </a:prstGeom>
      </xdr:spPr>
    </xdr:pic>
    <xdr:clientData/>
  </xdr:twoCellAnchor>
  <xdr:twoCellAnchor>
    <xdr:from>
      <xdr:col>1</xdr:col>
      <xdr:colOff>95406</xdr:colOff>
      <xdr:row>58</xdr:row>
      <xdr:rowOff>91787</xdr:rowOff>
    </xdr:from>
    <xdr:to>
      <xdr:col>10</xdr:col>
      <xdr:colOff>422265</xdr:colOff>
      <xdr:row>70</xdr:row>
      <xdr:rowOff>19767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92EAABAE-836F-494D-852E-96BE4F3A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51129</xdr:colOff>
      <xdr:row>58</xdr:row>
      <xdr:rowOff>91786</xdr:rowOff>
    </xdr:from>
    <xdr:to>
      <xdr:col>20</xdr:col>
      <xdr:colOff>573198</xdr:colOff>
      <xdr:row>70</xdr:row>
      <xdr:rowOff>19766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87723058-4879-4550-9B00-AE081717F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145744</xdr:colOff>
      <xdr:row>58</xdr:row>
      <xdr:rowOff>99406</xdr:rowOff>
    </xdr:from>
    <xdr:to>
      <xdr:col>31</xdr:col>
      <xdr:colOff>42021</xdr:colOff>
      <xdr:row>70</xdr:row>
      <xdr:rowOff>1621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7542A4B8-2E84-4B7B-A13F-F108AC39C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163350</xdr:colOff>
      <xdr:row>58</xdr:row>
      <xdr:rowOff>99406</xdr:rowOff>
    </xdr:from>
    <xdr:to>
      <xdr:col>40</xdr:col>
      <xdr:colOff>398846</xdr:colOff>
      <xdr:row>69</xdr:row>
      <xdr:rowOff>207534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54D1F304-3B2F-4007-A537-1C2409EF9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47835</xdr:colOff>
      <xdr:row>91</xdr:row>
      <xdr:rowOff>190500</xdr:rowOff>
    </xdr:from>
    <xdr:to>
      <xdr:col>25</xdr:col>
      <xdr:colOff>394545</xdr:colOff>
      <xdr:row>107</xdr:row>
      <xdr:rowOff>3048000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72989402-4D83-4764-9589-C6AC765A0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53551</xdr:colOff>
      <xdr:row>110</xdr:row>
      <xdr:rowOff>189400</xdr:rowOff>
    </xdr:from>
    <xdr:to>
      <xdr:col>25</xdr:col>
      <xdr:colOff>394566</xdr:colOff>
      <xdr:row>126</xdr:row>
      <xdr:rowOff>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83C6C95E-B95C-4012-A3D3-378698624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55455</xdr:colOff>
      <xdr:row>129</xdr:row>
      <xdr:rowOff>108853</xdr:rowOff>
    </xdr:from>
    <xdr:to>
      <xdr:col>25</xdr:col>
      <xdr:colOff>394508</xdr:colOff>
      <xdr:row>146</xdr:row>
      <xdr:rowOff>136067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226A0105-E889-44DF-80BF-E9BAA8C1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99906</xdr:colOff>
      <xdr:row>147</xdr:row>
      <xdr:rowOff>32655</xdr:rowOff>
    </xdr:from>
    <xdr:to>
      <xdr:col>25</xdr:col>
      <xdr:colOff>394533</xdr:colOff>
      <xdr:row>163</xdr:row>
      <xdr:rowOff>68032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A4259C5A-57BA-49AF-9F3A-F2EA6E92D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480424</xdr:colOff>
          <xdr:row>81</xdr:row>
          <xdr:rowOff>159476</xdr:rowOff>
        </xdr:from>
        <xdr:to>
          <xdr:col>37</xdr:col>
          <xdr:colOff>315720</xdr:colOff>
          <xdr:row>85</xdr:row>
          <xdr:rowOff>109564</xdr:rowOff>
        </xdr:to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A72D6ED3-8DBB-4F73-BD05-7A68072EEE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64249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181427" y="37138902"/>
              <a:ext cx="929802" cy="42230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52167</xdr:colOff>
          <xdr:row>103</xdr:row>
          <xdr:rowOff>406293</xdr:rowOff>
        </xdr:from>
        <xdr:to>
          <xdr:col>23</xdr:col>
          <xdr:colOff>377318</xdr:colOff>
          <xdr:row>104</xdr:row>
          <xdr:rowOff>477654</xdr:rowOff>
        </xdr:to>
        <xdr:pic>
          <xdr:nvPicPr>
            <xdr:cNvPr id="125" name="Imagem 124">
              <a:extLst>
                <a:ext uri="{FF2B5EF4-FFF2-40B4-BE49-F238E27FC236}">
                  <a16:creationId xmlns:a16="http://schemas.microsoft.com/office/drawing/2014/main" id="{40E17A6F-14B2-4A94-85F3-86CA9D6A25A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64250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1746086" y="44379196"/>
              <a:ext cx="720693" cy="32324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89995</xdr:colOff>
          <xdr:row>119</xdr:row>
          <xdr:rowOff>119545</xdr:rowOff>
        </xdr:from>
        <xdr:to>
          <xdr:col>23</xdr:col>
          <xdr:colOff>339577</xdr:colOff>
          <xdr:row>121</xdr:row>
          <xdr:rowOff>237713</xdr:rowOff>
        </xdr:to>
        <xdr:pic>
          <xdr:nvPicPr>
            <xdr:cNvPr id="126" name="Imagem 125">
              <a:extLst>
                <a:ext uri="{FF2B5EF4-FFF2-40B4-BE49-F238E27FC236}">
                  <a16:creationId xmlns:a16="http://schemas.microsoft.com/office/drawing/2014/main" id="{968F3260-98C7-4A8D-9AAA-7C62C8699A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6425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748035" y="49571184"/>
              <a:ext cx="718788" cy="24958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119297</xdr:colOff>
          <xdr:row>138</xdr:row>
          <xdr:rowOff>33548</xdr:rowOff>
        </xdr:from>
        <xdr:to>
          <xdr:col>23</xdr:col>
          <xdr:colOff>384119</xdr:colOff>
          <xdr:row>140</xdr:row>
          <xdr:rowOff>233911</xdr:rowOff>
        </xdr:to>
        <xdr:pic>
          <xdr:nvPicPr>
            <xdr:cNvPr id="127" name="Imagem 126">
              <a:extLst>
                <a:ext uri="{FF2B5EF4-FFF2-40B4-BE49-F238E27FC236}">
                  <a16:creationId xmlns:a16="http://schemas.microsoft.com/office/drawing/2014/main" id="{6203FD68-60B1-41AA-80EA-27DF87544BA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6425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799241" y="55178283"/>
              <a:ext cx="692125" cy="266727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154677</xdr:colOff>
          <xdr:row>155</xdr:row>
          <xdr:rowOff>237654</xdr:rowOff>
        </xdr:from>
        <xdr:to>
          <xdr:col>23</xdr:col>
          <xdr:colOff>409974</xdr:colOff>
          <xdr:row>158</xdr:row>
          <xdr:rowOff>196897</xdr:rowOff>
        </xdr:to>
        <xdr:pic>
          <xdr:nvPicPr>
            <xdr:cNvPr id="128" name="Imagem 127">
              <a:extLst>
                <a:ext uri="{FF2B5EF4-FFF2-40B4-BE49-F238E27FC236}">
                  <a16:creationId xmlns:a16="http://schemas.microsoft.com/office/drawing/2014/main" id="{9BE8B45B-77E7-49E2-A206-14A50C0D3E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64253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826049" y="59282604"/>
              <a:ext cx="695933" cy="25339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21772</xdr:colOff>
      <xdr:row>159</xdr:row>
      <xdr:rowOff>51617</xdr:rowOff>
    </xdr:from>
    <xdr:to>
      <xdr:col>23</xdr:col>
      <xdr:colOff>479606</xdr:colOff>
      <xdr:row>161</xdr:row>
      <xdr:rowOff>109220</xdr:rowOff>
    </xdr:to>
    <xdr:sp macro="" textlink="">
      <xdr:nvSpPr>
        <xdr:cNvPr id="129" name="CaixaDeTexto 128">
          <a:extLst>
            <a:ext uri="{FF2B5EF4-FFF2-40B4-BE49-F238E27FC236}">
              <a16:creationId xmlns:a16="http://schemas.microsoft.com/office/drawing/2014/main" id="{47A0A525-65F8-4611-AFDC-02C25C51F5AA}"/>
            </a:ext>
          </a:extLst>
        </xdr:cNvPr>
        <xdr:cNvSpPr txBox="1"/>
      </xdr:nvSpPr>
      <xdr:spPr>
        <a:xfrm>
          <a:off x="11914415" y="59855010"/>
          <a:ext cx="457834" cy="547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557259</xdr:colOff>
      <xdr:row>141</xdr:row>
      <xdr:rowOff>76018</xdr:rowOff>
    </xdr:from>
    <xdr:to>
      <xdr:col>23</xdr:col>
      <xdr:colOff>426176</xdr:colOff>
      <xdr:row>143</xdr:row>
      <xdr:rowOff>159837</xdr:rowOff>
    </xdr:to>
    <xdr:sp macro="" textlink="">
      <xdr:nvSpPr>
        <xdr:cNvPr id="132" name="CaixaDeTexto 131">
          <a:extLst>
            <a:ext uri="{FF2B5EF4-FFF2-40B4-BE49-F238E27FC236}">
              <a16:creationId xmlns:a16="http://schemas.microsoft.com/office/drawing/2014/main" id="{3E029EE2-C7A2-43C1-B756-2943B102E0AB}"/>
            </a:ext>
          </a:extLst>
        </xdr:cNvPr>
        <xdr:cNvSpPr txBox="1"/>
      </xdr:nvSpPr>
      <xdr:spPr>
        <a:xfrm>
          <a:off x="11864795" y="55742839"/>
          <a:ext cx="454024" cy="5736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77081</xdr:colOff>
      <xdr:row>19</xdr:row>
      <xdr:rowOff>184075</xdr:rowOff>
    </xdr:from>
    <xdr:to>
      <xdr:col>11</xdr:col>
      <xdr:colOff>20231</xdr:colOff>
      <xdr:row>21</xdr:row>
      <xdr:rowOff>144660</xdr:rowOff>
    </xdr:to>
    <xdr:sp macro="" textlink="">
      <xdr:nvSpPr>
        <xdr:cNvPr id="47" name="Retângulo: Cantos Superiores Arredondados 46">
          <a:extLst>
            <a:ext uri="{FF2B5EF4-FFF2-40B4-BE49-F238E27FC236}">
              <a16:creationId xmlns:a16="http://schemas.microsoft.com/office/drawing/2014/main" id="{A87660C6-2A33-43EE-B60D-A71FCB8B366C}"/>
            </a:ext>
          </a:extLst>
        </xdr:cNvPr>
        <xdr:cNvSpPr>
          <a:spLocks/>
        </xdr:cNvSpPr>
      </xdr:nvSpPr>
      <xdr:spPr bwMode="auto">
        <a:xfrm>
          <a:off x="505706" y="5152950"/>
          <a:ext cx="5229525" cy="373335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10369</xdr:colOff>
      <xdr:row>19</xdr:row>
      <xdr:rowOff>190457</xdr:rowOff>
    </xdr:from>
    <xdr:to>
      <xdr:col>20</xdr:col>
      <xdr:colOff>508047</xdr:colOff>
      <xdr:row>21</xdr:row>
      <xdr:rowOff>170092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30A71ACA-899C-488B-8009-0290A32009C5}"/>
            </a:ext>
          </a:extLst>
        </xdr:cNvPr>
        <xdr:cNvSpPr>
          <a:spLocks/>
        </xdr:cNvSpPr>
      </xdr:nvSpPr>
      <xdr:spPr bwMode="auto">
        <a:xfrm>
          <a:off x="5898551" y="5714957"/>
          <a:ext cx="5208223" cy="39527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149300</xdr:colOff>
      <xdr:row>19</xdr:row>
      <xdr:rowOff>156852</xdr:rowOff>
    </xdr:from>
    <xdr:to>
      <xdr:col>30</xdr:col>
      <xdr:colOff>571500</xdr:colOff>
      <xdr:row>21</xdr:row>
      <xdr:rowOff>117906</xdr:rowOff>
    </xdr:to>
    <xdr:sp macro="" textlink="">
      <xdr:nvSpPr>
        <xdr:cNvPr id="53" name="Retângulo: Cantos Superiores Arredondados 52">
          <a:extLst>
            <a:ext uri="{FF2B5EF4-FFF2-40B4-BE49-F238E27FC236}">
              <a16:creationId xmlns:a16="http://schemas.microsoft.com/office/drawing/2014/main" id="{FE1D6E31-A790-4F59-BAF3-1F798A6C4B02}"/>
            </a:ext>
          </a:extLst>
        </xdr:cNvPr>
        <xdr:cNvSpPr>
          <a:spLocks/>
        </xdr:cNvSpPr>
      </xdr:nvSpPr>
      <xdr:spPr bwMode="auto">
        <a:xfrm>
          <a:off x="11279943" y="5722173"/>
          <a:ext cx="5279950" cy="369269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31</xdr:col>
      <xdr:colOff>142342</xdr:colOff>
      <xdr:row>19</xdr:row>
      <xdr:rowOff>191167</xdr:rowOff>
    </xdr:from>
    <xdr:to>
      <xdr:col>41</xdr:col>
      <xdr:colOff>12986</xdr:colOff>
      <xdr:row>21</xdr:row>
      <xdr:rowOff>151246</xdr:rowOff>
    </xdr:to>
    <xdr:sp macro="" textlink="">
      <xdr:nvSpPr>
        <xdr:cNvPr id="54" name="Retângulo: Cantos Superiores Arredondados 53">
          <a:extLst>
            <a:ext uri="{FF2B5EF4-FFF2-40B4-BE49-F238E27FC236}">
              <a16:creationId xmlns:a16="http://schemas.microsoft.com/office/drawing/2014/main" id="{01489EE5-9454-4232-81FC-0479ABDE7316}"/>
            </a:ext>
          </a:extLst>
        </xdr:cNvPr>
        <xdr:cNvSpPr>
          <a:spLocks/>
        </xdr:cNvSpPr>
      </xdr:nvSpPr>
      <xdr:spPr bwMode="auto">
        <a:xfrm>
          <a:off x="16715842" y="5756488"/>
          <a:ext cx="5177430" cy="36829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36</xdr:col>
      <xdr:colOff>424090</xdr:colOff>
      <xdr:row>85</xdr:row>
      <xdr:rowOff>147410</xdr:rowOff>
    </xdr:from>
    <xdr:to>
      <xdr:col>37</xdr:col>
      <xdr:colOff>289197</xdr:colOff>
      <xdr:row>87</xdr:row>
      <xdr:rowOff>229779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CBECE41-B289-4070-AF06-DC930B7F29A1}"/>
            </a:ext>
          </a:extLst>
        </xdr:cNvPr>
        <xdr:cNvSpPr txBox="1"/>
      </xdr:nvSpPr>
      <xdr:spPr>
        <a:xfrm>
          <a:off x="19378840" y="37852803"/>
          <a:ext cx="450214" cy="572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526598</xdr:colOff>
      <xdr:row>104</xdr:row>
      <xdr:rowOff>641260</xdr:rowOff>
    </xdr:from>
    <xdr:to>
      <xdr:col>23</xdr:col>
      <xdr:colOff>391705</xdr:colOff>
      <xdr:row>105</xdr:row>
      <xdr:rowOff>639536</xdr:rowOff>
    </xdr:to>
    <xdr:sp macro="" textlink="">
      <xdr:nvSpPr>
        <xdr:cNvPr id="130" name="CaixaDeTexto 129">
          <a:extLst>
            <a:ext uri="{FF2B5EF4-FFF2-40B4-BE49-F238E27FC236}">
              <a16:creationId xmlns:a16="http://schemas.microsoft.com/office/drawing/2014/main" id="{061B72CE-5028-47C2-8D40-90CCB1700E2A}"/>
            </a:ext>
          </a:extLst>
        </xdr:cNvPr>
        <xdr:cNvSpPr txBox="1"/>
      </xdr:nvSpPr>
      <xdr:spPr>
        <a:xfrm>
          <a:off x="11834134" y="45068581"/>
          <a:ext cx="450214" cy="651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566512</xdr:colOff>
      <xdr:row>121</xdr:row>
      <xdr:rowOff>267426</xdr:rowOff>
    </xdr:from>
    <xdr:to>
      <xdr:col>23</xdr:col>
      <xdr:colOff>433524</xdr:colOff>
      <xdr:row>124</xdr:row>
      <xdr:rowOff>34744</xdr:rowOff>
    </xdr:to>
    <xdr:sp macro="" textlink="">
      <xdr:nvSpPr>
        <xdr:cNvPr id="131" name="CaixaDeTexto 130">
          <a:extLst>
            <a:ext uri="{FF2B5EF4-FFF2-40B4-BE49-F238E27FC236}">
              <a16:creationId xmlns:a16="http://schemas.microsoft.com/office/drawing/2014/main" id="{ABAB3657-C227-485F-86C5-D7A8262F4298}"/>
            </a:ext>
          </a:extLst>
        </xdr:cNvPr>
        <xdr:cNvSpPr txBox="1"/>
      </xdr:nvSpPr>
      <xdr:spPr>
        <a:xfrm>
          <a:off x="11874048" y="50083176"/>
          <a:ext cx="452119" cy="6653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65</xdr:col>
      <xdr:colOff>160655</xdr:colOff>
      <xdr:row>1</xdr:row>
      <xdr:rowOff>91440</xdr:rowOff>
    </xdr:from>
    <xdr:to>
      <xdr:col>70</xdr:col>
      <xdr:colOff>232365</xdr:colOff>
      <xdr:row>7</xdr:row>
      <xdr:rowOff>79057</xdr:rowOff>
    </xdr:to>
    <xdr:sp macro="[0]!publishSheetsWebFechament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788C617-8C10-4C0D-87CB-B0ED0C35EE2C}"/>
            </a:ext>
          </a:extLst>
        </xdr:cNvPr>
        <xdr:cNvSpPr/>
      </xdr:nvSpPr>
      <xdr:spPr bwMode="auto">
        <a:xfrm>
          <a:off x="31714382" y="299258"/>
          <a:ext cx="3102392" cy="239484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2">
                  <a:lumMod val="2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FECHAMENTO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2</xdr:row>
      <xdr:rowOff>0</xdr:rowOff>
    </xdr:from>
    <xdr:to>
      <xdr:col>61</xdr:col>
      <xdr:colOff>569684</xdr:colOff>
      <xdr:row>2</xdr:row>
      <xdr:rowOff>547913</xdr:rowOff>
    </xdr:to>
    <xdr:sp macro="[0]!ScreenshotAre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E65D3DEA-DF3C-48EB-83E1-DF030B11255C}"/>
            </a:ext>
          </a:extLst>
        </xdr:cNvPr>
        <xdr:cNvSpPr/>
      </xdr:nvSpPr>
      <xdr:spPr bwMode="auto">
        <a:xfrm>
          <a:off x="26650950" y="647700"/>
          <a:ext cx="3227159" cy="551723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1"/>
            <a:t>SCREENSHOT</a:t>
          </a:r>
        </a:p>
        <a:p>
          <a:pPr algn="ctr"/>
          <a:r>
            <a:rPr lang="pt-BR" sz="2400" b="1"/>
            <a:t>GRAFICOS</a:t>
          </a:r>
        </a:p>
      </xdr:txBody>
    </xdr:sp>
    <xdr:clientData/>
  </xdr:twoCellAnchor>
  <xdr:twoCellAnchor editAs="oneCell">
    <xdr:from>
      <xdr:col>1</xdr:col>
      <xdr:colOff>555625</xdr:colOff>
      <xdr:row>2</xdr:row>
      <xdr:rowOff>238125</xdr:rowOff>
    </xdr:from>
    <xdr:to>
      <xdr:col>4</xdr:col>
      <xdr:colOff>55187</xdr:colOff>
      <xdr:row>2</xdr:row>
      <xdr:rowOff>764382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AC27EFED-2E2B-4707-8FFE-D6E911CB5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603250"/>
          <a:ext cx="1419052" cy="526257"/>
        </a:xfrm>
        <a:prstGeom prst="rect">
          <a:avLst/>
        </a:prstGeom>
      </xdr:spPr>
    </xdr:pic>
    <xdr:clientData/>
  </xdr:twoCellAnchor>
  <xdr:twoCellAnchor>
    <xdr:from>
      <xdr:col>1</xdr:col>
      <xdr:colOff>267396</xdr:colOff>
      <xdr:row>5</xdr:row>
      <xdr:rowOff>0</xdr:rowOff>
    </xdr:from>
    <xdr:to>
      <xdr:col>40</xdr:col>
      <xdr:colOff>596266</xdr:colOff>
      <xdr:row>20</xdr:row>
      <xdr:rowOff>170498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AFA11206-8890-4222-ACCA-9D938A590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233404</xdr:colOff>
      <xdr:row>21</xdr:row>
      <xdr:rowOff>362381</xdr:rowOff>
    </xdr:from>
    <xdr:to>
      <xdr:col>25</xdr:col>
      <xdr:colOff>418765</xdr:colOff>
      <xdr:row>38</xdr:row>
      <xdr:rowOff>32212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7A1FBAD4-F1E9-4802-BC51-1AC498F18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216390</xdr:colOff>
      <xdr:row>39</xdr:row>
      <xdr:rowOff>93129</xdr:rowOff>
    </xdr:from>
    <xdr:to>
      <xdr:col>25</xdr:col>
      <xdr:colOff>416357</xdr:colOff>
      <xdr:row>56</xdr:row>
      <xdr:rowOff>15875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739AD4E6-047A-43D6-9935-E5FED7F22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213231</xdr:colOff>
      <xdr:row>58</xdr:row>
      <xdr:rowOff>3809</xdr:rowOff>
    </xdr:from>
    <xdr:to>
      <xdr:col>25</xdr:col>
      <xdr:colOff>402402</xdr:colOff>
      <xdr:row>74</xdr:row>
      <xdr:rowOff>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E5C4B99F-13D8-4F45-8FAC-C2991D8D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170974</xdr:colOff>
      <xdr:row>76</xdr:row>
      <xdr:rowOff>15876</xdr:rowOff>
    </xdr:from>
    <xdr:to>
      <xdr:col>25</xdr:col>
      <xdr:colOff>375385</xdr:colOff>
      <xdr:row>92</xdr:row>
      <xdr:rowOff>32212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5195EF61-172D-4DBF-B004-BD68E6101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398318</xdr:colOff>
          <xdr:row>13</xdr:row>
          <xdr:rowOff>132596</xdr:rowOff>
        </xdr:from>
        <xdr:to>
          <xdr:col>37</xdr:col>
          <xdr:colOff>164841</xdr:colOff>
          <xdr:row>16</xdr:row>
          <xdr:rowOff>110689</xdr:rowOff>
        </xdr:to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id="{F007418B-1B1E-44D4-A312-959A592F49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7222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 rot="16200000">
              <a:off x="22754214" y="5347245"/>
              <a:ext cx="1069139" cy="40729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621491</xdr:colOff>
          <xdr:row>31</xdr:row>
          <xdr:rowOff>151792</xdr:rowOff>
        </xdr:from>
        <xdr:to>
          <xdr:col>23</xdr:col>
          <xdr:colOff>312174</xdr:colOff>
          <xdr:row>33</xdr:row>
          <xdr:rowOff>247963</xdr:rowOff>
        </xdr:to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4DD47144-9DA5-404A-8715-E7641965DD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72222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 rot="16200000">
              <a:off x="14091451" y="11827832"/>
              <a:ext cx="823535" cy="33145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610067</xdr:colOff>
          <xdr:row>49</xdr:row>
          <xdr:rowOff>231369</xdr:rowOff>
        </xdr:from>
        <xdr:to>
          <xdr:col>23</xdr:col>
          <xdr:colOff>306465</xdr:colOff>
          <xdr:row>51</xdr:row>
          <xdr:rowOff>270389</xdr:rowOff>
        </xdr:to>
        <xdr:pic>
          <xdr:nvPicPr>
            <xdr:cNvPr id="58" name="Imagem 57">
              <a:extLst>
                <a:ext uri="{FF2B5EF4-FFF2-40B4-BE49-F238E27FC236}">
                  <a16:creationId xmlns:a16="http://schemas.microsoft.com/office/drawing/2014/main" id="{B28B486B-FD7D-445E-A412-01C0FCF400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7222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 rot="16200000">
              <a:off x="14111461" y="18422248"/>
              <a:ext cx="766383" cy="33717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588330</xdr:colOff>
          <xdr:row>67</xdr:row>
          <xdr:rowOff>173183</xdr:rowOff>
        </xdr:from>
        <xdr:to>
          <xdr:col>23</xdr:col>
          <xdr:colOff>286315</xdr:colOff>
          <xdr:row>69</xdr:row>
          <xdr:rowOff>192517</xdr:rowOff>
        </xdr:to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F2108025-39AF-4BE9-94EA-679590BC504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72224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 rot="16200000">
              <a:off x="14100360" y="24899698"/>
              <a:ext cx="746698" cy="33875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549698</xdr:colOff>
          <xdr:row>85</xdr:row>
          <xdr:rowOff>225611</xdr:rowOff>
        </xdr:from>
        <xdr:to>
          <xdr:col>23</xdr:col>
          <xdr:colOff>249906</xdr:colOff>
          <xdr:row>87</xdr:row>
          <xdr:rowOff>201923</xdr:rowOff>
        </xdr:to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51D99F3-0FD9-4AB4-855B-4800E10346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7222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 rot="16200000">
              <a:off x="14084351" y="31475776"/>
              <a:ext cx="703676" cy="34098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22</xdr:col>
      <xdr:colOff>515245</xdr:colOff>
      <xdr:row>87</xdr:row>
      <xdr:rowOff>226060</xdr:rowOff>
    </xdr:from>
    <xdr:to>
      <xdr:col>23</xdr:col>
      <xdr:colOff>288074</xdr:colOff>
      <xdr:row>90</xdr:row>
      <xdr:rowOff>53816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5CB65F2F-D017-428E-A69F-994E42BA82A3}"/>
            </a:ext>
          </a:extLst>
        </xdr:cNvPr>
        <xdr:cNvSpPr txBox="1"/>
      </xdr:nvSpPr>
      <xdr:spPr>
        <a:xfrm>
          <a:off x="14231245" y="32022242"/>
          <a:ext cx="413602" cy="918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597693</xdr:colOff>
      <xdr:row>51</xdr:row>
      <xdr:rowOff>331543</xdr:rowOff>
    </xdr:from>
    <xdr:to>
      <xdr:col>23</xdr:col>
      <xdr:colOff>372903</xdr:colOff>
      <xdr:row>54</xdr:row>
      <xdr:rowOff>153742</xdr:rowOff>
    </xdr:to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FAAFAFF0-9229-422F-A2D9-DCE296160D36}"/>
            </a:ext>
          </a:extLst>
        </xdr:cNvPr>
        <xdr:cNvSpPr txBox="1"/>
      </xdr:nvSpPr>
      <xdr:spPr>
        <a:xfrm>
          <a:off x="14313693" y="19035179"/>
          <a:ext cx="415983" cy="9132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593407</xdr:colOff>
      <xdr:row>69</xdr:row>
      <xdr:rowOff>223202</xdr:rowOff>
    </xdr:from>
    <xdr:to>
      <xdr:col>23</xdr:col>
      <xdr:colOff>314642</xdr:colOff>
      <xdr:row>72</xdr:row>
      <xdr:rowOff>33972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48FB0C2B-12F6-4FC3-88A8-182E8266E3DE}"/>
            </a:ext>
          </a:extLst>
        </xdr:cNvPr>
        <xdr:cNvSpPr txBox="1"/>
      </xdr:nvSpPr>
      <xdr:spPr>
        <a:xfrm>
          <a:off x="14357032" y="18594546"/>
          <a:ext cx="364173" cy="560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43</xdr:col>
      <xdr:colOff>597534</xdr:colOff>
      <xdr:row>2</xdr:row>
      <xdr:rowOff>31751</xdr:rowOff>
    </xdr:from>
    <xdr:to>
      <xdr:col>52</xdr:col>
      <xdr:colOff>353060</xdr:colOff>
      <xdr:row>4</xdr:row>
      <xdr:rowOff>91441</xdr:rowOff>
    </xdr:to>
    <xdr:sp macro="[0]!GeraPdfRelatorio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E9562267-71DF-4402-89EC-3C46E61C0AFD}"/>
            </a:ext>
          </a:extLst>
        </xdr:cNvPr>
        <xdr:cNvSpPr/>
      </xdr:nvSpPr>
      <xdr:spPr bwMode="auto">
        <a:xfrm>
          <a:off x="25838784" y="396876"/>
          <a:ext cx="5184776" cy="132969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r>
            <a:rPr lang="pt-BR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CRIA</a:t>
          </a:r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PDF NA MESMA PASTA DO INFORME</a:t>
          </a:r>
          <a:endParaRPr lang="pt-BR" sz="4400">
            <a:effectLst/>
          </a:endParaRPr>
        </a:p>
        <a:p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 O NOME DE: MsgUsina.pdf</a:t>
          </a:r>
          <a:endParaRPr lang="pt-BR" sz="4400">
            <a:effectLst/>
          </a:endParaRPr>
        </a:p>
      </xdr:txBody>
    </xdr:sp>
    <xdr:clientData/>
  </xdr:twoCellAnchor>
  <xdr:twoCellAnchor>
    <xdr:from>
      <xdr:col>22</xdr:col>
      <xdr:colOff>551972</xdr:colOff>
      <xdr:row>33</xdr:row>
      <xdr:rowOff>334096</xdr:rowOff>
    </xdr:from>
    <xdr:to>
      <xdr:col>23</xdr:col>
      <xdr:colOff>435766</xdr:colOff>
      <xdr:row>35</xdr:row>
      <xdr:rowOff>211627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63F4A319-3560-4FB0-9B3B-B8D3272B6482}"/>
            </a:ext>
          </a:extLst>
        </xdr:cNvPr>
        <xdr:cNvSpPr txBox="1"/>
      </xdr:nvSpPr>
      <xdr:spPr>
        <a:xfrm>
          <a:off x="14267972" y="12491460"/>
          <a:ext cx="524567" cy="6048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36</xdr:col>
      <xdr:colOff>399416</xdr:colOff>
      <xdr:row>16</xdr:row>
      <xdr:rowOff>196215</xdr:rowOff>
    </xdr:from>
    <xdr:to>
      <xdr:col>37</xdr:col>
      <xdr:colOff>279400</xdr:colOff>
      <xdr:row>18</xdr:row>
      <xdr:rowOff>253365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16C1368D-91C3-4666-92EB-C3949CC57E2D}"/>
            </a:ext>
          </a:extLst>
        </xdr:cNvPr>
        <xdr:cNvSpPr txBox="1"/>
      </xdr:nvSpPr>
      <xdr:spPr>
        <a:xfrm>
          <a:off x="21767166" y="5530215"/>
          <a:ext cx="483234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1</xdr:col>
      <xdr:colOff>204107</xdr:colOff>
      <xdr:row>92</xdr:row>
      <xdr:rowOff>340178</xdr:rowOff>
    </xdr:from>
    <xdr:to>
      <xdr:col>25</xdr:col>
      <xdr:colOff>408518</xdr:colOff>
      <xdr:row>109</xdr:row>
      <xdr:rowOff>2729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81CD97-0F60-4188-839F-C05215870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0045212" cy="588351"/>
    <xdr:pic>
      <xdr:nvPicPr>
        <xdr:cNvPr id="2" name="Imagem 1">
          <a:extLst>
            <a:ext uri="{FF2B5EF4-FFF2-40B4-BE49-F238E27FC236}">
              <a16:creationId xmlns:a16="http://schemas.microsoft.com/office/drawing/2014/main" id="{4BC85CFB-ACF2-4964-8CDE-43F20D82C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65" y="190500"/>
          <a:ext cx="10045212" cy="588351"/>
        </a:xfrm>
        <a:prstGeom prst="rect">
          <a:avLst/>
        </a:prstGeom>
      </xdr:spPr>
    </xdr:pic>
    <xdr:clientData/>
  </xdr:oneCellAnchor>
  <xdr:twoCellAnchor>
    <xdr:from>
      <xdr:col>13</xdr:col>
      <xdr:colOff>1104085</xdr:colOff>
      <xdr:row>1</xdr:row>
      <xdr:rowOff>36635</xdr:rowOff>
    </xdr:from>
    <xdr:to>
      <xdr:col>16</xdr:col>
      <xdr:colOff>855281</xdr:colOff>
      <xdr:row>2</xdr:row>
      <xdr:rowOff>133106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058EDBD-677B-4F36-B12F-EB744AFFE098}"/>
            </a:ext>
          </a:extLst>
        </xdr:cNvPr>
        <xdr:cNvSpPr txBox="1"/>
      </xdr:nvSpPr>
      <xdr:spPr>
        <a:xfrm>
          <a:off x="1257950" y="227135"/>
          <a:ext cx="4037446" cy="286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latin typeface="+mn-lt"/>
            </a:rPr>
            <a:t>Gestão das Entradas</a:t>
          </a:r>
        </a:p>
      </xdr:txBody>
    </xdr:sp>
    <xdr:clientData/>
  </xdr:twoCellAnchor>
  <xdr:oneCellAnchor>
    <xdr:from>
      <xdr:col>1</xdr:col>
      <xdr:colOff>0</xdr:colOff>
      <xdr:row>1</xdr:row>
      <xdr:rowOff>0</xdr:rowOff>
    </xdr:from>
    <xdr:ext cx="1165489" cy="559777"/>
    <xdr:pic>
      <xdr:nvPicPr>
        <xdr:cNvPr id="4" name="Imagem 3">
          <a:extLst>
            <a:ext uri="{FF2B5EF4-FFF2-40B4-BE49-F238E27FC236}">
              <a16:creationId xmlns:a16="http://schemas.microsoft.com/office/drawing/2014/main" id="{3A5DE153-A86E-49F2-905E-7A75AD78A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865" y="373673"/>
          <a:ext cx="1165489" cy="559777"/>
        </a:xfrm>
        <a:prstGeom prst="rect">
          <a:avLst/>
        </a:prstGeom>
      </xdr:spPr>
    </xdr:pic>
    <xdr:clientData/>
  </xdr:oneCellAnchor>
  <xdr:oneCellAnchor>
    <xdr:from>
      <xdr:col>13</xdr:col>
      <xdr:colOff>134631</xdr:colOff>
      <xdr:row>1</xdr:row>
      <xdr:rowOff>52389</xdr:rowOff>
    </xdr:from>
    <xdr:ext cx="773907" cy="404811"/>
    <xdr:pic>
      <xdr:nvPicPr>
        <xdr:cNvPr id="5" name="Imagem 4">
          <a:extLst>
            <a:ext uri="{FF2B5EF4-FFF2-40B4-BE49-F238E27FC236}">
              <a16:creationId xmlns:a16="http://schemas.microsoft.com/office/drawing/2014/main" id="{4186AE89-B8A6-408A-A5D9-BCFAFAA45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496" y="433389"/>
          <a:ext cx="773907" cy="40481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257735</xdr:colOff>
          <xdr:row>14</xdr:row>
          <xdr:rowOff>0</xdr:rowOff>
        </xdr:from>
        <xdr:to>
          <xdr:col>23</xdr:col>
          <xdr:colOff>612759</xdr:colOff>
          <xdr:row>26</xdr:row>
          <xdr:rowOff>87099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26C7AB9D-D8EA-4D48-AA36-1B01CF8D4E1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N$2:$U$12" spid="_x0000_s23980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57735" y="5479676"/>
              <a:ext cx="11706583" cy="46142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24</xdr:col>
      <xdr:colOff>0</xdr:colOff>
      <xdr:row>14</xdr:row>
      <xdr:rowOff>0</xdr:rowOff>
    </xdr:from>
    <xdr:to>
      <xdr:col>26</xdr:col>
      <xdr:colOff>343214</xdr:colOff>
      <xdr:row>16</xdr:row>
      <xdr:rowOff>266292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CE9EFB4-0747-BC02-51AA-23D7CA9C8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57529" y="5300382"/>
          <a:ext cx="2248214" cy="10955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134470</xdr:colOff>
      <xdr:row>0</xdr:row>
      <xdr:rowOff>118662</xdr:rowOff>
    </xdr:from>
    <xdr:to>
      <xdr:col>7</xdr:col>
      <xdr:colOff>1326777</xdr:colOff>
      <xdr:row>1</xdr:row>
      <xdr:rowOff>215133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AE883A97-4D2A-4480-B7CB-5E191C7085CB}"/>
            </a:ext>
          </a:extLst>
        </xdr:cNvPr>
        <xdr:cNvSpPr txBox="1"/>
      </xdr:nvSpPr>
      <xdr:spPr>
        <a:xfrm>
          <a:off x="4016188" y="118662"/>
          <a:ext cx="4240307" cy="5267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200" b="1">
              <a:solidFill>
                <a:schemeClr val="bg1"/>
              </a:solidFill>
              <a:latin typeface="Vale Sans Semibold" panose="020B0703020204030204" pitchFamily="34" charset="0"/>
            </a:rPr>
            <a:t>Gestão das Entradas</a:t>
          </a:r>
        </a:p>
      </xdr:txBody>
    </xdr:sp>
    <xdr:clientData/>
  </xdr:twoCellAnchor>
  <xdr:twoCellAnchor editAs="oneCell">
    <xdr:from>
      <xdr:col>0</xdr:col>
      <xdr:colOff>208109</xdr:colOff>
      <xdr:row>0</xdr:row>
      <xdr:rowOff>48686</xdr:rowOff>
    </xdr:from>
    <xdr:to>
      <xdr:col>0</xdr:col>
      <xdr:colOff>1689392</xdr:colOff>
      <xdr:row>1</xdr:row>
      <xdr:rowOff>253698</xdr:rowOff>
    </xdr:to>
    <xdr:pic>
      <xdr:nvPicPr>
        <xdr:cNvPr id="7" name="Imagem 6" descr="Oliver Agency - Agência In-House de Marketing Digital">
          <a:extLst>
            <a:ext uri="{FF2B5EF4-FFF2-40B4-BE49-F238E27FC236}">
              <a16:creationId xmlns:a16="http://schemas.microsoft.com/office/drawing/2014/main" id="{9EEA2FBB-8E14-4879-3BEB-91E9C59F86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027" t="25001" r="15499" b="24037"/>
        <a:stretch/>
      </xdr:blipFill>
      <xdr:spPr bwMode="auto">
        <a:xfrm>
          <a:off x="208109" y="48686"/>
          <a:ext cx="1481283" cy="745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335280</xdr:colOff>
      <xdr:row>0</xdr:row>
      <xdr:rowOff>266700</xdr:rowOff>
    </xdr:from>
    <xdr:to>
      <xdr:col>13</xdr:col>
      <xdr:colOff>449580</xdr:colOff>
      <xdr:row>2</xdr:row>
      <xdr:rowOff>167640</xdr:rowOff>
    </xdr:to>
    <xdr:sp macro="[0]!select_copy_past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73534271-C946-6957-4688-0D5A58EADE33}"/>
            </a:ext>
          </a:extLst>
        </xdr:cNvPr>
        <xdr:cNvSpPr/>
      </xdr:nvSpPr>
      <xdr:spPr bwMode="auto">
        <a:xfrm>
          <a:off x="13716000" y="266700"/>
          <a:ext cx="1943100" cy="75438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/>
            <a:t>GERAR</a:t>
          </a:r>
          <a:r>
            <a:rPr lang="pt-BR" sz="1400" b="1" baseline="0"/>
            <a:t> IMAGEM</a:t>
          </a:r>
          <a:endParaRPr lang="pt-BR" sz="1400" b="1"/>
        </a:p>
      </xdr:txBody>
    </xdr:sp>
    <xdr:clientData/>
  </xdr:twoCellAnchor>
  <xdr:twoCellAnchor>
    <xdr:from>
      <xdr:col>14</xdr:col>
      <xdr:colOff>533400</xdr:colOff>
      <xdr:row>0</xdr:row>
      <xdr:rowOff>206828</xdr:rowOff>
    </xdr:from>
    <xdr:to>
      <xdr:col>14</xdr:col>
      <xdr:colOff>2924266</xdr:colOff>
      <xdr:row>3</xdr:row>
      <xdr:rowOff>0</xdr:rowOff>
    </xdr:to>
    <xdr:sp macro="[0]!publicar_GESTAO_ENTRA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48E759A-A765-4231-9EC7-9F02024682E9}"/>
            </a:ext>
          </a:extLst>
        </xdr:cNvPr>
        <xdr:cNvSpPr/>
      </xdr:nvSpPr>
      <xdr:spPr bwMode="auto">
        <a:xfrm>
          <a:off x="16350343" y="206828"/>
          <a:ext cx="2390866" cy="849086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0</xdr:col>
      <xdr:colOff>189896</xdr:colOff>
      <xdr:row>3</xdr:row>
      <xdr:rowOff>67732</xdr:rowOff>
    </xdr:from>
    <xdr:to>
      <xdr:col>7</xdr:col>
      <xdr:colOff>1145658</xdr:colOff>
      <xdr:row>10</xdr:row>
      <xdr:rowOff>359833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71BF776-81F2-4F34-A119-195CC7806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1032677</xdr:colOff>
          <xdr:row>6</xdr:row>
          <xdr:rowOff>499378</xdr:rowOff>
        </xdr:from>
        <xdr:to>
          <xdr:col>7</xdr:col>
          <xdr:colOff>4938183</xdr:colOff>
          <xdr:row>10</xdr:row>
          <xdr:rowOff>344709</xdr:rowOff>
        </xdr:to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D063B1B1-15C2-0945-37C6-5E004BF08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CD1:CG10" spid="_x0000_s75669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864344" y="2732461"/>
              <a:ext cx="3905506" cy="204666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1132605</xdr:colOff>
      <xdr:row>4</xdr:row>
      <xdr:rowOff>132849</xdr:rowOff>
    </xdr:from>
    <xdr:to>
      <xdr:col>7</xdr:col>
      <xdr:colOff>4902327</xdr:colOff>
      <xdr:row>6</xdr:row>
      <xdr:rowOff>397933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B9D6D29-75A9-4C9E-853B-48DB30D0D98E}"/>
            </a:ext>
          </a:extLst>
        </xdr:cNvPr>
        <xdr:cNvGrpSpPr/>
      </xdr:nvGrpSpPr>
      <xdr:grpSpPr>
        <a:xfrm>
          <a:off x="8964272" y="1593349"/>
          <a:ext cx="3769722" cy="1037667"/>
          <a:chOff x="-113004" y="5644428"/>
          <a:chExt cx="8662644" cy="1229531"/>
        </a:xfrm>
      </xdr:grpSpPr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60575A62-B04C-4B9B-A7DA-4174378F3CF8}"/>
              </a:ext>
            </a:extLst>
          </xdr:cNvPr>
          <xdr:cNvSpPr/>
        </xdr:nvSpPr>
        <xdr:spPr>
          <a:xfrm>
            <a:off x="146399" y="6215563"/>
            <a:ext cx="725380" cy="411313"/>
          </a:xfrm>
          <a:custGeom>
            <a:avLst/>
            <a:gdLst>
              <a:gd name="connsiteX0" fmla="*/ 0 w 1036760"/>
              <a:gd name="connsiteY0" fmla="*/ 0 h 587875"/>
              <a:gd name="connsiteX1" fmla="*/ 1036760 w 1036760"/>
              <a:gd name="connsiteY1" fmla="*/ 0 h 587875"/>
              <a:gd name="connsiteX2" fmla="*/ 1036760 w 1036760"/>
              <a:gd name="connsiteY2" fmla="*/ 587876 h 587875"/>
              <a:gd name="connsiteX3" fmla="*/ 0 w 1036760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587875">
                <a:moveTo>
                  <a:pt x="0" y="0"/>
                </a:moveTo>
                <a:lnTo>
                  <a:pt x="1036760" y="0"/>
                </a:lnTo>
                <a:lnTo>
                  <a:pt x="1036760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" name="Forma Livre: Forma 7">
            <a:extLst>
              <a:ext uri="{FF2B5EF4-FFF2-40B4-BE49-F238E27FC236}">
                <a16:creationId xmlns:a16="http://schemas.microsoft.com/office/drawing/2014/main" id="{F432592F-8800-42F6-B45C-45A9E2BF9331}"/>
              </a:ext>
            </a:extLst>
          </xdr:cNvPr>
          <xdr:cNvSpPr/>
        </xdr:nvSpPr>
        <xdr:spPr>
          <a:xfrm>
            <a:off x="146399" y="5758633"/>
            <a:ext cx="725380" cy="319861"/>
          </a:xfrm>
          <a:custGeom>
            <a:avLst/>
            <a:gdLst>
              <a:gd name="connsiteX0" fmla="*/ 0 w 1036760"/>
              <a:gd name="connsiteY0" fmla="*/ 0 h 457166"/>
              <a:gd name="connsiteX1" fmla="*/ 1036760 w 1036760"/>
              <a:gd name="connsiteY1" fmla="*/ 0 h 457166"/>
              <a:gd name="connsiteX2" fmla="*/ 1036760 w 1036760"/>
              <a:gd name="connsiteY2" fmla="*/ 457167 h 457166"/>
              <a:gd name="connsiteX3" fmla="*/ 0 w 1036760"/>
              <a:gd name="connsiteY3" fmla="*/ 457167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457166">
                <a:moveTo>
                  <a:pt x="0" y="0"/>
                </a:moveTo>
                <a:lnTo>
                  <a:pt x="1036760" y="0"/>
                </a:lnTo>
                <a:lnTo>
                  <a:pt x="1036760" y="457167"/>
                </a:lnTo>
                <a:lnTo>
                  <a:pt x="0" y="457167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" name="Forma Livre: Forma 8">
            <a:extLst>
              <a:ext uri="{FF2B5EF4-FFF2-40B4-BE49-F238E27FC236}">
                <a16:creationId xmlns:a16="http://schemas.microsoft.com/office/drawing/2014/main" id="{B3668BA2-2CC4-4ACF-B23B-2AC9796A0A72}"/>
              </a:ext>
            </a:extLst>
          </xdr:cNvPr>
          <xdr:cNvSpPr/>
        </xdr:nvSpPr>
        <xdr:spPr>
          <a:xfrm>
            <a:off x="106073" y="6078495"/>
            <a:ext cx="806032" cy="137068"/>
          </a:xfrm>
          <a:custGeom>
            <a:avLst/>
            <a:gdLst>
              <a:gd name="connsiteX0" fmla="*/ 1152033 w 1152032"/>
              <a:gd name="connsiteY0" fmla="*/ 5341 h 195906"/>
              <a:gd name="connsiteX1" fmla="*/ 1152033 w 1152032"/>
              <a:gd name="connsiteY1" fmla="*/ 195906 h 195906"/>
              <a:gd name="connsiteX2" fmla="*/ 0 w 1152032"/>
              <a:gd name="connsiteY2" fmla="*/ 195906 h 195906"/>
              <a:gd name="connsiteX3" fmla="*/ 0 w 1152032"/>
              <a:gd name="connsiteY3" fmla="*/ 0 h 195906"/>
              <a:gd name="connsiteX4" fmla="*/ 1094397 w 1152032"/>
              <a:gd name="connsiteY4" fmla="*/ 0 h 1959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52032" h="195906">
                <a:moveTo>
                  <a:pt x="1152033" y="5341"/>
                </a:moveTo>
                <a:lnTo>
                  <a:pt x="1152033" y="195906"/>
                </a:lnTo>
                <a:lnTo>
                  <a:pt x="0" y="195906"/>
                </a:lnTo>
                <a:lnTo>
                  <a:pt x="0" y="0"/>
                </a:lnTo>
                <a:lnTo>
                  <a:pt x="1094397" y="0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AD85FEFC-86A8-4FBA-98A6-50E71BD289F8}"/>
              </a:ext>
            </a:extLst>
          </xdr:cNvPr>
          <xdr:cNvSpPr/>
        </xdr:nvSpPr>
        <xdr:spPr>
          <a:xfrm>
            <a:off x="146399" y="6215563"/>
            <a:ext cx="725380" cy="45726"/>
          </a:xfrm>
          <a:custGeom>
            <a:avLst/>
            <a:gdLst>
              <a:gd name="connsiteX0" fmla="*/ 0 w 1036760"/>
              <a:gd name="connsiteY0" fmla="*/ 0 h 65354"/>
              <a:gd name="connsiteX1" fmla="*/ 1036760 w 1036760"/>
              <a:gd name="connsiteY1" fmla="*/ 0 h 65354"/>
              <a:gd name="connsiteX2" fmla="*/ 1036760 w 1036760"/>
              <a:gd name="connsiteY2" fmla="*/ 65354 h 65354"/>
              <a:gd name="connsiteX3" fmla="*/ 0 w 103676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65354">
                <a:moveTo>
                  <a:pt x="0" y="0"/>
                </a:moveTo>
                <a:lnTo>
                  <a:pt x="1036760" y="0"/>
                </a:lnTo>
                <a:lnTo>
                  <a:pt x="1036760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" name="Forma Livre: Forma 11">
            <a:extLst>
              <a:ext uri="{FF2B5EF4-FFF2-40B4-BE49-F238E27FC236}">
                <a16:creationId xmlns:a16="http://schemas.microsoft.com/office/drawing/2014/main" id="{EFEC46AF-3976-4585-A5D7-701BE55B24F9}"/>
              </a:ext>
            </a:extLst>
          </xdr:cNvPr>
          <xdr:cNvSpPr/>
        </xdr:nvSpPr>
        <xdr:spPr>
          <a:xfrm>
            <a:off x="106073" y="5667182"/>
            <a:ext cx="805935" cy="91341"/>
          </a:xfrm>
          <a:custGeom>
            <a:avLst/>
            <a:gdLst>
              <a:gd name="connsiteX0" fmla="*/ 0 w 1151894"/>
              <a:gd name="connsiteY0" fmla="*/ 0 h 130551"/>
              <a:gd name="connsiteX1" fmla="*/ 1151894 w 1151894"/>
              <a:gd name="connsiteY1" fmla="*/ 0 h 130551"/>
              <a:gd name="connsiteX2" fmla="*/ 1151894 w 1151894"/>
              <a:gd name="connsiteY2" fmla="*/ 130552 h 130551"/>
              <a:gd name="connsiteX3" fmla="*/ 0 w 1151894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894" h="130551">
                <a:moveTo>
                  <a:pt x="0" y="0"/>
                </a:moveTo>
                <a:lnTo>
                  <a:pt x="1151894" y="0"/>
                </a:lnTo>
                <a:lnTo>
                  <a:pt x="1151894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" name="Forma Livre: Forma 12">
            <a:extLst>
              <a:ext uri="{FF2B5EF4-FFF2-40B4-BE49-F238E27FC236}">
                <a16:creationId xmlns:a16="http://schemas.microsoft.com/office/drawing/2014/main" id="{6B578B21-FE43-4023-85DB-08F8F9129665}"/>
              </a:ext>
            </a:extLst>
          </xdr:cNvPr>
          <xdr:cNvSpPr/>
        </xdr:nvSpPr>
        <xdr:spPr>
          <a:xfrm>
            <a:off x="3209128" y="6169837"/>
            <a:ext cx="1370206" cy="685449"/>
          </a:xfrm>
          <a:custGeom>
            <a:avLst/>
            <a:gdLst>
              <a:gd name="connsiteX0" fmla="*/ 0 w 1958386"/>
              <a:gd name="connsiteY0" fmla="*/ 0 h 979688"/>
              <a:gd name="connsiteX1" fmla="*/ 1958387 w 1958386"/>
              <a:gd name="connsiteY1" fmla="*/ 0 h 979688"/>
              <a:gd name="connsiteX2" fmla="*/ 1958387 w 1958386"/>
              <a:gd name="connsiteY2" fmla="*/ 979688 h 979688"/>
              <a:gd name="connsiteX3" fmla="*/ 0 w 1958386"/>
              <a:gd name="connsiteY3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979688">
                <a:moveTo>
                  <a:pt x="0" y="0"/>
                </a:moveTo>
                <a:lnTo>
                  <a:pt x="1958387" y="0"/>
                </a:lnTo>
                <a:lnTo>
                  <a:pt x="1958387" y="979688"/>
                </a:lnTo>
                <a:lnTo>
                  <a:pt x="0" y="97968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" name="Forma Livre: Forma 13">
            <a:extLst>
              <a:ext uri="{FF2B5EF4-FFF2-40B4-BE49-F238E27FC236}">
                <a16:creationId xmlns:a16="http://schemas.microsoft.com/office/drawing/2014/main" id="{6867FFD9-B79D-4BCA-B958-C78F74C61696}"/>
              </a:ext>
            </a:extLst>
          </xdr:cNvPr>
          <xdr:cNvSpPr/>
        </xdr:nvSpPr>
        <xdr:spPr>
          <a:xfrm>
            <a:off x="3209128" y="5690044"/>
            <a:ext cx="1370206" cy="411313"/>
          </a:xfrm>
          <a:custGeom>
            <a:avLst/>
            <a:gdLst>
              <a:gd name="connsiteX0" fmla="*/ 0 w 1958386"/>
              <a:gd name="connsiteY0" fmla="*/ 0 h 587875"/>
              <a:gd name="connsiteX1" fmla="*/ 1958387 w 1958386"/>
              <a:gd name="connsiteY1" fmla="*/ 0 h 587875"/>
              <a:gd name="connsiteX2" fmla="*/ 1958387 w 1958386"/>
              <a:gd name="connsiteY2" fmla="*/ 587876 h 587875"/>
              <a:gd name="connsiteX3" fmla="*/ 0 w 1958386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587875">
                <a:moveTo>
                  <a:pt x="0" y="0"/>
                </a:moveTo>
                <a:lnTo>
                  <a:pt x="1958387" y="0"/>
                </a:lnTo>
                <a:lnTo>
                  <a:pt x="1958387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" name="Forma Livre: Forma 15">
            <a:extLst>
              <a:ext uri="{FF2B5EF4-FFF2-40B4-BE49-F238E27FC236}">
                <a16:creationId xmlns:a16="http://schemas.microsoft.com/office/drawing/2014/main" id="{C95F7CA5-BA1A-4CEF-B8E9-EE2B0ED2F97B}"/>
              </a:ext>
            </a:extLst>
          </xdr:cNvPr>
          <xdr:cNvSpPr/>
        </xdr:nvSpPr>
        <xdr:spPr>
          <a:xfrm>
            <a:off x="3168802" y="6101358"/>
            <a:ext cx="1450761" cy="68588"/>
          </a:xfrm>
          <a:custGeom>
            <a:avLst/>
            <a:gdLst>
              <a:gd name="connsiteX0" fmla="*/ 0 w 2073520"/>
              <a:gd name="connsiteY0" fmla="*/ 0 h 98031"/>
              <a:gd name="connsiteX1" fmla="*/ 2073521 w 2073520"/>
              <a:gd name="connsiteY1" fmla="*/ 0 h 98031"/>
              <a:gd name="connsiteX2" fmla="*/ 2073521 w 2073520"/>
              <a:gd name="connsiteY2" fmla="*/ 98032 h 98031"/>
              <a:gd name="connsiteX3" fmla="*/ 0 w 2073520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98031">
                <a:moveTo>
                  <a:pt x="0" y="0"/>
                </a:moveTo>
                <a:lnTo>
                  <a:pt x="2073521" y="0"/>
                </a:lnTo>
                <a:lnTo>
                  <a:pt x="2073521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93F04B1D-587F-4F76-A755-BA914532B065}"/>
              </a:ext>
            </a:extLst>
          </xdr:cNvPr>
          <xdr:cNvSpPr/>
        </xdr:nvSpPr>
        <xdr:spPr>
          <a:xfrm>
            <a:off x="3249454" y="5964290"/>
            <a:ext cx="1289554" cy="45726"/>
          </a:xfrm>
          <a:custGeom>
            <a:avLst/>
            <a:gdLst>
              <a:gd name="connsiteX0" fmla="*/ 0 w 1843113"/>
              <a:gd name="connsiteY0" fmla="*/ 0 h 65354"/>
              <a:gd name="connsiteX1" fmla="*/ 1843114 w 1843113"/>
              <a:gd name="connsiteY1" fmla="*/ 0 h 65354"/>
              <a:gd name="connsiteX2" fmla="*/ 1843114 w 1843113"/>
              <a:gd name="connsiteY2" fmla="*/ 65354 h 65354"/>
              <a:gd name="connsiteX3" fmla="*/ 0 w 1843113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43113" h="65354">
                <a:moveTo>
                  <a:pt x="0" y="0"/>
                </a:moveTo>
                <a:lnTo>
                  <a:pt x="1843114" y="0"/>
                </a:lnTo>
                <a:lnTo>
                  <a:pt x="1843114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75B75A7-99D7-49B4-AB58-0387A9757DED}"/>
              </a:ext>
            </a:extLst>
          </xdr:cNvPr>
          <xdr:cNvSpPr/>
        </xdr:nvSpPr>
        <xdr:spPr>
          <a:xfrm>
            <a:off x="3289683" y="6009906"/>
            <a:ext cx="1208999" cy="91341"/>
          </a:xfrm>
          <a:custGeom>
            <a:avLst/>
            <a:gdLst>
              <a:gd name="connsiteX0" fmla="*/ 0 w 1727979"/>
              <a:gd name="connsiteY0" fmla="*/ 0 h 130551"/>
              <a:gd name="connsiteX1" fmla="*/ 1727980 w 1727979"/>
              <a:gd name="connsiteY1" fmla="*/ 0 h 130551"/>
              <a:gd name="connsiteX2" fmla="*/ 1727980 w 1727979"/>
              <a:gd name="connsiteY2" fmla="*/ 130552 h 130551"/>
              <a:gd name="connsiteX3" fmla="*/ 0 w 1727979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979" h="130551">
                <a:moveTo>
                  <a:pt x="0" y="0"/>
                </a:moveTo>
                <a:lnTo>
                  <a:pt x="1727980" y="0"/>
                </a:lnTo>
                <a:lnTo>
                  <a:pt x="1727980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B4A8DE44-FA16-484E-B5F3-BBA4421A75A8}"/>
              </a:ext>
            </a:extLst>
          </xdr:cNvPr>
          <xdr:cNvSpPr/>
        </xdr:nvSpPr>
        <xdr:spPr>
          <a:xfrm>
            <a:off x="3168802" y="5644428"/>
            <a:ext cx="1450761" cy="45726"/>
          </a:xfrm>
          <a:custGeom>
            <a:avLst/>
            <a:gdLst>
              <a:gd name="connsiteX0" fmla="*/ 0 w 2073520"/>
              <a:gd name="connsiteY0" fmla="*/ 0 h 65354"/>
              <a:gd name="connsiteX1" fmla="*/ 2073521 w 2073520"/>
              <a:gd name="connsiteY1" fmla="*/ 0 h 65354"/>
              <a:gd name="connsiteX2" fmla="*/ 2073521 w 2073520"/>
              <a:gd name="connsiteY2" fmla="*/ 65354 h 65354"/>
              <a:gd name="connsiteX3" fmla="*/ 0 w 207352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65354">
                <a:moveTo>
                  <a:pt x="0" y="0"/>
                </a:moveTo>
                <a:lnTo>
                  <a:pt x="2073521" y="0"/>
                </a:lnTo>
                <a:lnTo>
                  <a:pt x="2073521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445A864B-0FC8-4BEE-B302-7E76805CB178}"/>
              </a:ext>
            </a:extLst>
          </xdr:cNvPr>
          <xdr:cNvSpPr/>
        </xdr:nvSpPr>
        <xdr:spPr>
          <a:xfrm>
            <a:off x="227051" y="6626877"/>
            <a:ext cx="161206" cy="228520"/>
          </a:xfrm>
          <a:custGeom>
            <a:avLst/>
            <a:gdLst>
              <a:gd name="connsiteX0" fmla="*/ 0 w 230406"/>
              <a:gd name="connsiteY0" fmla="*/ 0 h 326615"/>
              <a:gd name="connsiteX1" fmla="*/ 230407 w 230406"/>
              <a:gd name="connsiteY1" fmla="*/ 0 h 326615"/>
              <a:gd name="connsiteX2" fmla="*/ 230407 w 230406"/>
              <a:gd name="connsiteY2" fmla="*/ 326615 h 326615"/>
              <a:gd name="connsiteX3" fmla="*/ 0 w 230406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326615">
                <a:moveTo>
                  <a:pt x="0" y="0"/>
                </a:moveTo>
                <a:lnTo>
                  <a:pt x="230407" y="0"/>
                </a:lnTo>
                <a:lnTo>
                  <a:pt x="230407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0C4E35A3-72C8-46C0-922C-B003DA5056FD}"/>
              </a:ext>
            </a:extLst>
          </xdr:cNvPr>
          <xdr:cNvSpPr/>
        </xdr:nvSpPr>
        <xdr:spPr>
          <a:xfrm>
            <a:off x="388160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40583D04-F3F7-4C67-AF7E-E6FF4DFCC434}"/>
              </a:ext>
            </a:extLst>
          </xdr:cNvPr>
          <xdr:cNvSpPr/>
        </xdr:nvSpPr>
        <xdr:spPr>
          <a:xfrm>
            <a:off x="589693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" name="Forma Livre: Forma 23">
            <a:extLst>
              <a:ext uri="{FF2B5EF4-FFF2-40B4-BE49-F238E27FC236}">
                <a16:creationId xmlns:a16="http://schemas.microsoft.com/office/drawing/2014/main" id="{BC0D8239-E12E-45CB-BD11-AA43823E1E2E}"/>
              </a:ext>
            </a:extLst>
          </xdr:cNvPr>
          <xdr:cNvSpPr/>
        </xdr:nvSpPr>
        <xdr:spPr>
          <a:xfrm>
            <a:off x="9136" y="6760098"/>
            <a:ext cx="940581" cy="6265"/>
          </a:xfrm>
          <a:custGeom>
            <a:avLst/>
            <a:gdLst>
              <a:gd name="connsiteX0" fmla="*/ 1344339 w 1344338"/>
              <a:gd name="connsiteY0" fmla="*/ 0 h 8954"/>
              <a:gd name="connsiteX1" fmla="*/ 1117811 w 1344338"/>
              <a:gd name="connsiteY1" fmla="*/ 8955 h 8954"/>
              <a:gd name="connsiteX2" fmla="*/ 0 w 1344338"/>
              <a:gd name="connsiteY2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4338" h="8954">
                <a:moveTo>
                  <a:pt x="1344339" y="0"/>
                </a:moveTo>
                <a:cubicBezTo>
                  <a:pt x="1269107" y="5970"/>
                  <a:pt x="1193459" y="8955"/>
                  <a:pt x="1117811" y="8955"/>
                </a:cubicBezTo>
                <a:lnTo>
                  <a:pt x="0" y="895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" name="Forma Livre: Forma 24">
            <a:extLst>
              <a:ext uri="{FF2B5EF4-FFF2-40B4-BE49-F238E27FC236}">
                <a16:creationId xmlns:a16="http://schemas.microsoft.com/office/drawing/2014/main" id="{025DE84B-B300-473F-8617-AE512D47081B}"/>
              </a:ext>
            </a:extLst>
          </xdr:cNvPr>
          <xdr:cNvSpPr/>
        </xdr:nvSpPr>
        <xdr:spPr>
          <a:xfrm>
            <a:off x="1073409" y="6616545"/>
            <a:ext cx="482940" cy="129923"/>
          </a:xfrm>
          <a:custGeom>
            <a:avLst/>
            <a:gdLst>
              <a:gd name="connsiteX0" fmla="*/ 690250 w 690249"/>
              <a:gd name="connsiteY0" fmla="*/ 0 h 185694"/>
              <a:gd name="connsiteX1" fmla="*/ 0 w 690249"/>
              <a:gd name="connsiteY1" fmla="*/ 185695 h 1856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85694">
                <a:moveTo>
                  <a:pt x="690250" y="0"/>
                </a:moveTo>
                <a:cubicBezTo>
                  <a:pt x="466854" y="90349"/>
                  <a:pt x="235380" y="152609"/>
                  <a:pt x="0" y="18569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" name="Forma Livre: Forma 25">
            <a:extLst>
              <a:ext uri="{FF2B5EF4-FFF2-40B4-BE49-F238E27FC236}">
                <a16:creationId xmlns:a16="http://schemas.microsoft.com/office/drawing/2014/main" id="{83D5B4B4-E8F3-4348-966B-9B94CA95B3CB}"/>
              </a:ext>
            </a:extLst>
          </xdr:cNvPr>
          <xdr:cNvSpPr/>
        </xdr:nvSpPr>
        <xdr:spPr>
          <a:xfrm>
            <a:off x="1677521" y="6009906"/>
            <a:ext cx="1531607" cy="553658"/>
          </a:xfrm>
          <a:custGeom>
            <a:avLst/>
            <a:gdLst>
              <a:gd name="connsiteX0" fmla="*/ 2189070 w 2189070"/>
              <a:gd name="connsiteY0" fmla="*/ 0 h 791323"/>
              <a:gd name="connsiteX1" fmla="*/ 2131434 w 2189070"/>
              <a:gd name="connsiteY1" fmla="*/ 0 h 791323"/>
              <a:gd name="connsiteX2" fmla="*/ 522190 w 2189070"/>
              <a:gd name="connsiteY2" fmla="*/ 483246 h 791323"/>
              <a:gd name="connsiteX3" fmla="*/ 342077 w 2189070"/>
              <a:gd name="connsiteY3" fmla="*/ 599502 h 791323"/>
              <a:gd name="connsiteX4" fmla="*/ 0 w 2189070"/>
              <a:gd name="connsiteY4" fmla="*/ 791323 h 7913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9070" h="791323">
                <a:moveTo>
                  <a:pt x="2189070" y="0"/>
                </a:moveTo>
                <a:lnTo>
                  <a:pt x="2131434" y="0"/>
                </a:lnTo>
                <a:cubicBezTo>
                  <a:pt x="1567097" y="-204"/>
                  <a:pt x="1012459" y="166356"/>
                  <a:pt x="522190" y="483246"/>
                </a:cubicBezTo>
                <a:lnTo>
                  <a:pt x="342077" y="599502"/>
                </a:lnTo>
                <a:cubicBezTo>
                  <a:pt x="231501" y="671077"/>
                  <a:pt x="117281" y="735128"/>
                  <a:pt x="0" y="7913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7" name="Forma Livre: Forma 26">
            <a:extLst>
              <a:ext uri="{FF2B5EF4-FFF2-40B4-BE49-F238E27FC236}">
                <a16:creationId xmlns:a16="http://schemas.microsoft.com/office/drawing/2014/main" id="{9FFF9552-B842-4D1D-8F75-79EBD879D1E2}"/>
              </a:ext>
            </a:extLst>
          </xdr:cNvPr>
          <xdr:cNvSpPr/>
        </xdr:nvSpPr>
        <xdr:spPr>
          <a:xfrm>
            <a:off x="106073" y="6851659"/>
            <a:ext cx="846261" cy="3627"/>
          </a:xfrm>
          <a:custGeom>
            <a:avLst/>
            <a:gdLst>
              <a:gd name="connsiteX0" fmla="*/ 1209531 w 1209530"/>
              <a:gd name="connsiteY0" fmla="*/ 0 h 5184"/>
              <a:gd name="connsiteX1" fmla="*/ 1036760 w 1209530"/>
              <a:gd name="connsiteY1" fmla="*/ 5184 h 5184"/>
              <a:gd name="connsiteX2" fmla="*/ 0 w 1209530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09530" h="5184">
                <a:moveTo>
                  <a:pt x="1209531" y="0"/>
                </a:moveTo>
                <a:cubicBezTo>
                  <a:pt x="1152171" y="3456"/>
                  <a:pt x="1094577" y="5184"/>
                  <a:pt x="1036760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8" name="Forma Livre: Forma 27">
            <a:extLst>
              <a:ext uri="{FF2B5EF4-FFF2-40B4-BE49-F238E27FC236}">
                <a16:creationId xmlns:a16="http://schemas.microsoft.com/office/drawing/2014/main" id="{00B024D5-38D9-4482-98A4-F031243454A0}"/>
              </a:ext>
            </a:extLst>
          </xdr:cNvPr>
          <xdr:cNvSpPr/>
        </xdr:nvSpPr>
        <xdr:spPr>
          <a:xfrm>
            <a:off x="1073894" y="6721736"/>
            <a:ext cx="483037" cy="119480"/>
          </a:xfrm>
          <a:custGeom>
            <a:avLst/>
            <a:gdLst>
              <a:gd name="connsiteX0" fmla="*/ 690388 w 690388"/>
              <a:gd name="connsiteY0" fmla="*/ 0 h 170769"/>
              <a:gd name="connsiteX1" fmla="*/ 0 w 690388"/>
              <a:gd name="connsiteY1" fmla="*/ 170770 h 1707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388" h="170769">
                <a:moveTo>
                  <a:pt x="690388" y="0"/>
                </a:moveTo>
                <a:cubicBezTo>
                  <a:pt x="466411" y="85181"/>
                  <a:pt x="234923" y="142444"/>
                  <a:pt x="0" y="17077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9" name="Forma Livre: Forma 28">
            <a:extLst>
              <a:ext uri="{FF2B5EF4-FFF2-40B4-BE49-F238E27FC236}">
                <a16:creationId xmlns:a16="http://schemas.microsoft.com/office/drawing/2014/main" id="{F8787E5A-3A50-46B1-AD3E-882C58A73175}"/>
              </a:ext>
            </a:extLst>
          </xdr:cNvPr>
          <xdr:cNvSpPr/>
        </xdr:nvSpPr>
        <xdr:spPr>
          <a:xfrm>
            <a:off x="1676649" y="6098939"/>
            <a:ext cx="1532478" cy="572784"/>
          </a:xfrm>
          <a:custGeom>
            <a:avLst/>
            <a:gdLst>
              <a:gd name="connsiteX0" fmla="*/ 2190317 w 2190316"/>
              <a:gd name="connsiteY0" fmla="*/ 1 h 818659"/>
              <a:gd name="connsiteX1" fmla="*/ 2190317 w 2190316"/>
              <a:gd name="connsiteY1" fmla="*/ 1 h 818659"/>
              <a:gd name="connsiteX2" fmla="*/ 581073 w 2190316"/>
              <a:gd name="connsiteY2" fmla="*/ 482461 h 818659"/>
              <a:gd name="connsiteX3" fmla="*/ 400960 w 2190316"/>
              <a:gd name="connsiteY3" fmla="*/ 598717 h 818659"/>
              <a:gd name="connsiteX4" fmla="*/ 0 w 2190316"/>
              <a:gd name="connsiteY4" fmla="*/ 818660 h 8186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90316" h="818659">
                <a:moveTo>
                  <a:pt x="2190317" y="1"/>
                </a:moveTo>
                <a:lnTo>
                  <a:pt x="2190317" y="1"/>
                </a:lnTo>
                <a:cubicBezTo>
                  <a:pt x="1626050" y="-439"/>
                  <a:pt x="1071411" y="165838"/>
                  <a:pt x="581073" y="482461"/>
                </a:cubicBezTo>
                <a:lnTo>
                  <a:pt x="400960" y="598717"/>
                </a:lnTo>
                <a:cubicBezTo>
                  <a:pt x="271943" y="682437"/>
                  <a:pt x="137967" y="755913"/>
                  <a:pt x="0" y="81866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0" name="Forma Livre: Forma 29">
            <a:extLst>
              <a:ext uri="{FF2B5EF4-FFF2-40B4-BE49-F238E27FC236}">
                <a16:creationId xmlns:a16="http://schemas.microsoft.com/office/drawing/2014/main" id="{4856A5F5-0F39-4287-9492-A4099C7B5BAA}"/>
              </a:ext>
            </a:extLst>
          </xdr:cNvPr>
          <xdr:cNvSpPr/>
        </xdr:nvSpPr>
        <xdr:spPr>
          <a:xfrm>
            <a:off x="9136" y="6828797"/>
            <a:ext cx="943586" cy="3627"/>
          </a:xfrm>
          <a:custGeom>
            <a:avLst/>
            <a:gdLst>
              <a:gd name="connsiteX0" fmla="*/ 1348633 w 1348633"/>
              <a:gd name="connsiteY0" fmla="*/ 0 h 5184"/>
              <a:gd name="connsiteX1" fmla="*/ 1175309 w 1348633"/>
              <a:gd name="connsiteY1" fmla="*/ 5184 h 5184"/>
              <a:gd name="connsiteX2" fmla="*/ 0 w 1348633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8633" h="5184">
                <a:moveTo>
                  <a:pt x="1348633" y="0"/>
                </a:moveTo>
                <a:cubicBezTo>
                  <a:pt x="1290997" y="3456"/>
                  <a:pt x="1233222" y="5184"/>
                  <a:pt x="1175309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1" name="Forma Livre: Forma 30">
            <a:extLst>
              <a:ext uri="{FF2B5EF4-FFF2-40B4-BE49-F238E27FC236}">
                <a16:creationId xmlns:a16="http://schemas.microsoft.com/office/drawing/2014/main" id="{C9EAEE80-A00B-47D4-B3EF-53443A299688}"/>
              </a:ext>
            </a:extLst>
          </xdr:cNvPr>
          <xdr:cNvSpPr/>
        </xdr:nvSpPr>
        <xdr:spPr>
          <a:xfrm>
            <a:off x="1073312" y="6698544"/>
            <a:ext cx="482940" cy="119371"/>
          </a:xfrm>
          <a:custGeom>
            <a:avLst/>
            <a:gdLst>
              <a:gd name="connsiteX0" fmla="*/ 690250 w 690249"/>
              <a:gd name="connsiteY0" fmla="*/ 0 h 170612"/>
              <a:gd name="connsiteX1" fmla="*/ 0 w 690249"/>
              <a:gd name="connsiteY1" fmla="*/ 170613 h 1706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70612">
                <a:moveTo>
                  <a:pt x="690250" y="0"/>
                </a:moveTo>
                <a:cubicBezTo>
                  <a:pt x="466313" y="85118"/>
                  <a:pt x="234868" y="142334"/>
                  <a:pt x="0" y="17061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2" name="Forma Livre: Forma 31">
            <a:extLst>
              <a:ext uri="{FF2B5EF4-FFF2-40B4-BE49-F238E27FC236}">
                <a16:creationId xmlns:a16="http://schemas.microsoft.com/office/drawing/2014/main" id="{9AD5D008-5CF6-4062-98F9-C204878A9E31}"/>
              </a:ext>
            </a:extLst>
          </xdr:cNvPr>
          <xdr:cNvSpPr/>
        </xdr:nvSpPr>
        <xdr:spPr>
          <a:xfrm>
            <a:off x="1677618" y="6076077"/>
            <a:ext cx="1531509" cy="572124"/>
          </a:xfrm>
          <a:custGeom>
            <a:avLst/>
            <a:gdLst>
              <a:gd name="connsiteX0" fmla="*/ 2188932 w 2188931"/>
              <a:gd name="connsiteY0" fmla="*/ 0 h 817716"/>
              <a:gd name="connsiteX1" fmla="*/ 2188932 w 2188931"/>
              <a:gd name="connsiteY1" fmla="*/ 0 h 817716"/>
              <a:gd name="connsiteX2" fmla="*/ 579688 w 2188931"/>
              <a:gd name="connsiteY2" fmla="*/ 482932 h 817716"/>
              <a:gd name="connsiteX3" fmla="*/ 399575 w 2188931"/>
              <a:gd name="connsiteY3" fmla="*/ 599187 h 817716"/>
              <a:gd name="connsiteX4" fmla="*/ 0 w 2188931"/>
              <a:gd name="connsiteY4" fmla="*/ 817716 h 8177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8931" h="817716">
                <a:moveTo>
                  <a:pt x="2188932" y="0"/>
                </a:moveTo>
                <a:lnTo>
                  <a:pt x="2188932" y="0"/>
                </a:lnTo>
                <a:cubicBezTo>
                  <a:pt x="1624623" y="-298"/>
                  <a:pt x="1069984" y="166151"/>
                  <a:pt x="579688" y="482932"/>
                </a:cubicBezTo>
                <a:lnTo>
                  <a:pt x="399575" y="599187"/>
                </a:lnTo>
                <a:cubicBezTo>
                  <a:pt x="270960" y="682326"/>
                  <a:pt x="137454" y="755347"/>
                  <a:pt x="0" y="81771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3" name="Forma Livre: Forma 32">
            <a:extLst>
              <a:ext uri="{FF2B5EF4-FFF2-40B4-BE49-F238E27FC236}">
                <a16:creationId xmlns:a16="http://schemas.microsoft.com/office/drawing/2014/main" id="{C52C3B30-6D2C-46F8-A251-2F777795A18E}"/>
              </a:ext>
            </a:extLst>
          </xdr:cNvPr>
          <xdr:cNvSpPr/>
        </xdr:nvSpPr>
        <xdr:spPr>
          <a:xfrm>
            <a:off x="3086211" y="6753393"/>
            <a:ext cx="122237" cy="8793"/>
          </a:xfrm>
          <a:custGeom>
            <a:avLst/>
            <a:gdLst>
              <a:gd name="connsiteX0" fmla="*/ 0 w 174709"/>
              <a:gd name="connsiteY0" fmla="*/ 0 h 12567"/>
              <a:gd name="connsiteX1" fmla="*/ 174710 w 174709"/>
              <a:gd name="connsiteY1" fmla="*/ 12568 h 125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4709" h="12567">
                <a:moveTo>
                  <a:pt x="0" y="0"/>
                </a:moveTo>
                <a:cubicBezTo>
                  <a:pt x="58010" y="5970"/>
                  <a:pt x="116242" y="10164"/>
                  <a:pt x="174710" y="12568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4" name="Forma Livre: Forma 33">
            <a:extLst>
              <a:ext uri="{FF2B5EF4-FFF2-40B4-BE49-F238E27FC236}">
                <a16:creationId xmlns:a16="http://schemas.microsoft.com/office/drawing/2014/main" id="{F33EBD17-C3E4-4337-B09F-783D079088A0}"/>
              </a:ext>
            </a:extLst>
          </xdr:cNvPr>
          <xdr:cNvSpPr/>
        </xdr:nvSpPr>
        <xdr:spPr>
          <a:xfrm>
            <a:off x="2483263" y="6592473"/>
            <a:ext cx="482650" cy="144652"/>
          </a:xfrm>
          <a:custGeom>
            <a:avLst/>
            <a:gdLst>
              <a:gd name="connsiteX0" fmla="*/ 0 w 689834"/>
              <a:gd name="connsiteY0" fmla="*/ 0 h 206746"/>
              <a:gd name="connsiteX1" fmla="*/ 689834 w 689834"/>
              <a:gd name="connsiteY1" fmla="*/ 206746 h 2067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9834" h="206746">
                <a:moveTo>
                  <a:pt x="0" y="0"/>
                </a:moveTo>
                <a:cubicBezTo>
                  <a:pt x="222385" y="98000"/>
                  <a:pt x="453789" y="167361"/>
                  <a:pt x="689834" y="20674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5" name="Forma Livre: Forma 34">
            <a:extLst>
              <a:ext uri="{FF2B5EF4-FFF2-40B4-BE49-F238E27FC236}">
                <a16:creationId xmlns:a16="http://schemas.microsoft.com/office/drawing/2014/main" id="{2C310C22-7F9F-4A88-B459-139C57C0E5E5}"/>
              </a:ext>
            </a:extLst>
          </xdr:cNvPr>
          <xdr:cNvSpPr/>
        </xdr:nvSpPr>
        <xdr:spPr>
          <a:xfrm>
            <a:off x="2140590" y="6401874"/>
            <a:ext cx="221986" cy="132781"/>
          </a:xfrm>
          <a:custGeom>
            <a:avLst/>
            <a:gdLst>
              <a:gd name="connsiteX0" fmla="*/ 0 w 317276"/>
              <a:gd name="connsiteY0" fmla="*/ 0 h 189779"/>
              <a:gd name="connsiteX1" fmla="*/ 33113 w 317276"/>
              <a:gd name="connsiteY1" fmla="*/ 21994 h 189779"/>
              <a:gd name="connsiteX2" fmla="*/ 317276 w 317276"/>
              <a:gd name="connsiteY2" fmla="*/ 189779 h 1897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17276" h="189779">
                <a:moveTo>
                  <a:pt x="0" y="0"/>
                </a:moveTo>
                <a:lnTo>
                  <a:pt x="33113" y="21994"/>
                </a:lnTo>
                <a:cubicBezTo>
                  <a:pt x="125483" y="83468"/>
                  <a:pt x="220195" y="139397"/>
                  <a:pt x="317276" y="18977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6" name="Forma Livre: Forma 35">
            <a:extLst>
              <a:ext uri="{FF2B5EF4-FFF2-40B4-BE49-F238E27FC236}">
                <a16:creationId xmlns:a16="http://schemas.microsoft.com/office/drawing/2014/main" id="{213587B1-635D-405B-964C-7A72853A898C}"/>
              </a:ext>
            </a:extLst>
          </xdr:cNvPr>
          <xdr:cNvSpPr/>
        </xdr:nvSpPr>
        <xdr:spPr>
          <a:xfrm>
            <a:off x="871780" y="5987043"/>
            <a:ext cx="1178367" cy="354706"/>
          </a:xfrm>
          <a:custGeom>
            <a:avLst/>
            <a:gdLst>
              <a:gd name="connsiteX0" fmla="*/ 0 w 1684198"/>
              <a:gd name="connsiteY0" fmla="*/ 0 h 506968"/>
              <a:gd name="connsiteX1" fmla="*/ 57636 w 1684198"/>
              <a:gd name="connsiteY1" fmla="*/ 0 h 506968"/>
              <a:gd name="connsiteX2" fmla="*/ 1666880 w 1684198"/>
              <a:gd name="connsiteY2" fmla="*/ 495500 h 506968"/>
              <a:gd name="connsiteX3" fmla="*/ 1684199 w 1684198"/>
              <a:gd name="connsiteY3" fmla="*/ 506968 h 5069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84198" h="506968">
                <a:moveTo>
                  <a:pt x="0" y="0"/>
                </a:moveTo>
                <a:lnTo>
                  <a:pt x="57636" y="0"/>
                </a:lnTo>
                <a:cubicBezTo>
                  <a:pt x="623358" y="16"/>
                  <a:pt x="1178856" y="171053"/>
                  <a:pt x="1666880" y="495500"/>
                </a:cubicBezTo>
                <a:lnTo>
                  <a:pt x="1684199" y="50696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7" name="Forma Livre: Forma 36">
            <a:extLst>
              <a:ext uri="{FF2B5EF4-FFF2-40B4-BE49-F238E27FC236}">
                <a16:creationId xmlns:a16="http://schemas.microsoft.com/office/drawing/2014/main" id="{7D28E51E-2ABB-440A-B868-3611127748D9}"/>
              </a:ext>
            </a:extLst>
          </xdr:cNvPr>
          <xdr:cNvSpPr/>
        </xdr:nvSpPr>
        <xdr:spPr>
          <a:xfrm>
            <a:off x="3088538" y="6825829"/>
            <a:ext cx="120880" cy="6265"/>
          </a:xfrm>
          <a:custGeom>
            <a:avLst/>
            <a:gdLst>
              <a:gd name="connsiteX0" fmla="*/ 0 w 172770"/>
              <a:gd name="connsiteY0" fmla="*/ 0 h 8954"/>
              <a:gd name="connsiteX1" fmla="*/ 172770 w 172770"/>
              <a:gd name="connsiteY1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2770" h="8954">
                <a:moveTo>
                  <a:pt x="0" y="0"/>
                </a:moveTo>
                <a:cubicBezTo>
                  <a:pt x="57359" y="4713"/>
                  <a:pt x="114954" y="7698"/>
                  <a:pt x="172770" y="895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8" name="Forma Livre: Forma 37">
            <a:extLst>
              <a:ext uri="{FF2B5EF4-FFF2-40B4-BE49-F238E27FC236}">
                <a16:creationId xmlns:a16="http://schemas.microsoft.com/office/drawing/2014/main" id="{31D123D1-B882-43B6-8F0C-19E4D477BAA2}"/>
              </a:ext>
            </a:extLst>
          </xdr:cNvPr>
          <xdr:cNvSpPr/>
        </xdr:nvSpPr>
        <xdr:spPr>
          <a:xfrm>
            <a:off x="2482196" y="6677769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53" y="93130"/>
                  <a:pt x="456227" y="157416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9" name="Forma Livre: Forma 38">
            <a:extLst>
              <a:ext uri="{FF2B5EF4-FFF2-40B4-BE49-F238E27FC236}">
                <a16:creationId xmlns:a16="http://schemas.microsoft.com/office/drawing/2014/main" id="{EB549642-F224-43E1-8A27-4353CE3F880C}"/>
              </a:ext>
            </a:extLst>
          </xdr:cNvPr>
          <xdr:cNvSpPr/>
        </xdr:nvSpPr>
        <xdr:spPr>
          <a:xfrm>
            <a:off x="2066239" y="6447710"/>
            <a:ext cx="296724" cy="176089"/>
          </a:xfrm>
          <a:custGeom>
            <a:avLst/>
            <a:gdLst>
              <a:gd name="connsiteX0" fmla="*/ 0 w 424097"/>
              <a:gd name="connsiteY0" fmla="*/ 0 h 251677"/>
              <a:gd name="connsiteX1" fmla="*/ 81744 w 424097"/>
              <a:gd name="connsiteY1" fmla="*/ 54514 h 251677"/>
              <a:gd name="connsiteX2" fmla="*/ 424098 w 424097"/>
              <a:gd name="connsiteY2" fmla="*/ 251677 h 2516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24097" h="251677">
                <a:moveTo>
                  <a:pt x="0" y="0"/>
                </a:moveTo>
                <a:lnTo>
                  <a:pt x="81744" y="54514"/>
                </a:lnTo>
                <a:cubicBezTo>
                  <a:pt x="192264" y="127975"/>
                  <a:pt x="306595" y="193817"/>
                  <a:pt x="424098" y="251677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0" name="Forma Livre: Forma 39">
            <a:extLst>
              <a:ext uri="{FF2B5EF4-FFF2-40B4-BE49-F238E27FC236}">
                <a16:creationId xmlns:a16="http://schemas.microsoft.com/office/drawing/2014/main" id="{8B16A2DA-F149-444F-9404-0A807CE317B4}"/>
              </a:ext>
            </a:extLst>
          </xdr:cNvPr>
          <xdr:cNvSpPr/>
        </xdr:nvSpPr>
        <xdr:spPr>
          <a:xfrm>
            <a:off x="871780" y="6055632"/>
            <a:ext cx="1106343" cy="333711"/>
          </a:xfrm>
          <a:custGeom>
            <a:avLst/>
            <a:gdLst>
              <a:gd name="connsiteX0" fmla="*/ 1581257 w 1581256"/>
              <a:gd name="connsiteY0" fmla="*/ 476962 h 476961"/>
              <a:gd name="connsiteX1" fmla="*/ 0 w 1581256"/>
              <a:gd name="connsiteY1" fmla="*/ 0 h 4769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581256" h="476961">
                <a:moveTo>
                  <a:pt x="1581257" y="476962"/>
                </a:moveTo>
                <a:cubicBezTo>
                  <a:pt x="1099842" y="164407"/>
                  <a:pt x="554735" y="-16"/>
                  <a:pt x="0" y="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1" name="Forma Livre: Forma 40">
            <a:extLst>
              <a:ext uri="{FF2B5EF4-FFF2-40B4-BE49-F238E27FC236}">
                <a16:creationId xmlns:a16="http://schemas.microsoft.com/office/drawing/2014/main" id="{97BF67CF-BBEE-4E7E-B06D-5F32D71255A5}"/>
              </a:ext>
            </a:extLst>
          </xdr:cNvPr>
          <xdr:cNvSpPr/>
        </xdr:nvSpPr>
        <xdr:spPr>
          <a:xfrm>
            <a:off x="3089604" y="6848801"/>
            <a:ext cx="159849" cy="6484"/>
          </a:xfrm>
          <a:custGeom>
            <a:avLst/>
            <a:gdLst>
              <a:gd name="connsiteX0" fmla="*/ 0 w 228467"/>
              <a:gd name="connsiteY0" fmla="*/ 0 h 9268"/>
              <a:gd name="connsiteX1" fmla="*/ 228467 w 228467"/>
              <a:gd name="connsiteY1" fmla="*/ 9269 h 92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8467" h="9268">
                <a:moveTo>
                  <a:pt x="0" y="0"/>
                </a:moveTo>
                <a:cubicBezTo>
                  <a:pt x="75925" y="6080"/>
                  <a:pt x="152085" y="9159"/>
                  <a:pt x="228467" y="926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2" name="Forma Livre: Forma 41">
            <a:extLst>
              <a:ext uri="{FF2B5EF4-FFF2-40B4-BE49-F238E27FC236}">
                <a16:creationId xmlns:a16="http://schemas.microsoft.com/office/drawing/2014/main" id="{2EC8E0CB-5349-4597-A36D-8300353FD441}"/>
              </a:ext>
            </a:extLst>
          </xdr:cNvPr>
          <xdr:cNvSpPr/>
        </xdr:nvSpPr>
        <xdr:spPr>
          <a:xfrm>
            <a:off x="2482584" y="6700852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67" y="93083"/>
                  <a:pt x="456227" y="157369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3" name="Forma Livre: Forma 42">
            <a:extLst>
              <a:ext uri="{FF2B5EF4-FFF2-40B4-BE49-F238E27FC236}">
                <a16:creationId xmlns:a16="http://schemas.microsoft.com/office/drawing/2014/main" id="{945C5717-73AA-4EB8-9DB3-8ECA3C058EEF}"/>
              </a:ext>
            </a:extLst>
          </xdr:cNvPr>
          <xdr:cNvSpPr/>
        </xdr:nvSpPr>
        <xdr:spPr>
          <a:xfrm>
            <a:off x="2048984" y="6459142"/>
            <a:ext cx="312525" cy="186531"/>
          </a:xfrm>
          <a:custGeom>
            <a:avLst/>
            <a:gdLst>
              <a:gd name="connsiteX0" fmla="*/ 0 w 446681"/>
              <a:gd name="connsiteY0" fmla="*/ 0 h 266602"/>
              <a:gd name="connsiteX1" fmla="*/ 106406 w 446681"/>
              <a:gd name="connsiteY1" fmla="*/ 70853 h 266602"/>
              <a:gd name="connsiteX2" fmla="*/ 446681 w 446681"/>
              <a:gd name="connsiteY2" fmla="*/ 266602 h 2666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46681" h="266602">
                <a:moveTo>
                  <a:pt x="0" y="0"/>
                </a:moveTo>
                <a:lnTo>
                  <a:pt x="106406" y="70853"/>
                </a:lnTo>
                <a:cubicBezTo>
                  <a:pt x="216302" y="143701"/>
                  <a:pt x="329926" y="209071"/>
                  <a:pt x="446681" y="266602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4" name="Forma Livre: Forma 43">
            <a:extLst>
              <a:ext uri="{FF2B5EF4-FFF2-40B4-BE49-F238E27FC236}">
                <a16:creationId xmlns:a16="http://schemas.microsoft.com/office/drawing/2014/main" id="{8F00D0C8-669A-4AC0-8D5C-2C1835043EEB}"/>
              </a:ext>
            </a:extLst>
          </xdr:cNvPr>
          <xdr:cNvSpPr/>
        </xdr:nvSpPr>
        <xdr:spPr>
          <a:xfrm>
            <a:off x="871780" y="6078495"/>
            <a:ext cx="1088506" cy="322280"/>
          </a:xfrm>
          <a:custGeom>
            <a:avLst/>
            <a:gdLst>
              <a:gd name="connsiteX0" fmla="*/ 0 w 1555763"/>
              <a:gd name="connsiteY0" fmla="*/ 0 h 460623"/>
              <a:gd name="connsiteX1" fmla="*/ 0 w 1555763"/>
              <a:gd name="connsiteY1" fmla="*/ 0 h 460623"/>
              <a:gd name="connsiteX2" fmla="*/ 1555764 w 1555763"/>
              <a:gd name="connsiteY2" fmla="*/ 460623 h 4606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555763" h="460623">
                <a:moveTo>
                  <a:pt x="0" y="0"/>
                </a:moveTo>
                <a:lnTo>
                  <a:pt x="0" y="0"/>
                </a:lnTo>
                <a:cubicBezTo>
                  <a:pt x="544815" y="16"/>
                  <a:pt x="1080500" y="158610"/>
                  <a:pt x="1555764" y="4606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5" name="Forma Livre: Forma 44">
            <a:extLst>
              <a:ext uri="{FF2B5EF4-FFF2-40B4-BE49-F238E27FC236}">
                <a16:creationId xmlns:a16="http://schemas.microsoft.com/office/drawing/2014/main" id="{7013FBA6-2C4E-4C15-8F0D-2A9D48692C78}"/>
              </a:ext>
            </a:extLst>
          </xdr:cNvPr>
          <xdr:cNvSpPr/>
        </xdr:nvSpPr>
        <xdr:spPr>
          <a:xfrm>
            <a:off x="1153867" y="6101358"/>
            <a:ext cx="9693" cy="753928"/>
          </a:xfrm>
          <a:custGeom>
            <a:avLst/>
            <a:gdLst>
              <a:gd name="connsiteX0" fmla="*/ 0 w 13854"/>
              <a:gd name="connsiteY0" fmla="*/ 0 h 1077562"/>
              <a:gd name="connsiteX1" fmla="*/ 0 w 13854"/>
              <a:gd name="connsiteY1" fmla="*/ 1077563 h 107756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077562">
                <a:moveTo>
                  <a:pt x="0" y="0"/>
                </a:moveTo>
                <a:lnTo>
                  <a:pt x="0" y="107756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6" name="Forma Livre: Forma 45">
            <a:extLst>
              <a:ext uri="{FF2B5EF4-FFF2-40B4-BE49-F238E27FC236}">
                <a16:creationId xmlns:a16="http://schemas.microsoft.com/office/drawing/2014/main" id="{DC44C1CE-992D-42C6-B8E1-C0653E5C1303}"/>
              </a:ext>
            </a:extLst>
          </xdr:cNvPr>
          <xdr:cNvSpPr/>
        </xdr:nvSpPr>
        <xdr:spPr>
          <a:xfrm>
            <a:off x="1476280" y="6169837"/>
            <a:ext cx="9693" cy="685449"/>
          </a:xfrm>
          <a:custGeom>
            <a:avLst/>
            <a:gdLst>
              <a:gd name="connsiteX0" fmla="*/ 0 w 13854"/>
              <a:gd name="connsiteY0" fmla="*/ 0 h 979688"/>
              <a:gd name="connsiteX1" fmla="*/ 0 w 13854"/>
              <a:gd name="connsiteY1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9688">
                <a:moveTo>
                  <a:pt x="0" y="0"/>
                </a:moveTo>
                <a:lnTo>
                  <a:pt x="0" y="9796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7" name="Forma Livre: Forma 46">
            <a:extLst>
              <a:ext uri="{FF2B5EF4-FFF2-40B4-BE49-F238E27FC236}">
                <a16:creationId xmlns:a16="http://schemas.microsoft.com/office/drawing/2014/main" id="{9D687ED3-ACCA-4B21-BC40-9A32B74BD0FF}"/>
              </a:ext>
            </a:extLst>
          </xdr:cNvPr>
          <xdr:cNvSpPr/>
        </xdr:nvSpPr>
        <xdr:spPr>
          <a:xfrm>
            <a:off x="1798693" y="6307015"/>
            <a:ext cx="9693" cy="548271"/>
          </a:xfrm>
          <a:custGeom>
            <a:avLst/>
            <a:gdLst>
              <a:gd name="connsiteX0" fmla="*/ 0 w 13854"/>
              <a:gd name="connsiteY0" fmla="*/ 0 h 783624"/>
              <a:gd name="connsiteX1" fmla="*/ 0 w 13854"/>
              <a:gd name="connsiteY1" fmla="*/ 783625 h 7836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783624">
                <a:moveTo>
                  <a:pt x="0" y="0"/>
                </a:moveTo>
                <a:lnTo>
                  <a:pt x="0" y="78362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8" name="Forma Livre: Forma 47">
            <a:extLst>
              <a:ext uri="{FF2B5EF4-FFF2-40B4-BE49-F238E27FC236}">
                <a16:creationId xmlns:a16="http://schemas.microsoft.com/office/drawing/2014/main" id="{2755C5D7-7F75-4367-B9D1-B17E0F03BBC4}"/>
              </a:ext>
            </a:extLst>
          </xdr:cNvPr>
          <xdr:cNvSpPr/>
        </xdr:nvSpPr>
        <xdr:spPr>
          <a:xfrm>
            <a:off x="2080780" y="6480576"/>
            <a:ext cx="9693" cy="374710"/>
          </a:xfrm>
          <a:custGeom>
            <a:avLst/>
            <a:gdLst>
              <a:gd name="connsiteX0" fmla="*/ 0 w 13854"/>
              <a:gd name="connsiteY0" fmla="*/ 0 h 535560"/>
              <a:gd name="connsiteX1" fmla="*/ 0 w 13854"/>
              <a:gd name="connsiteY1" fmla="*/ 535561 h 535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35560">
                <a:moveTo>
                  <a:pt x="0" y="0"/>
                </a:moveTo>
                <a:lnTo>
                  <a:pt x="0" y="53556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9" name="Forma Livre: Forma 48">
            <a:extLst>
              <a:ext uri="{FF2B5EF4-FFF2-40B4-BE49-F238E27FC236}">
                <a16:creationId xmlns:a16="http://schemas.microsoft.com/office/drawing/2014/main" id="{CB56452C-6030-47ED-89A7-0C09C621EF89}"/>
              </a:ext>
            </a:extLst>
          </xdr:cNvPr>
          <xdr:cNvSpPr/>
        </xdr:nvSpPr>
        <xdr:spPr>
          <a:xfrm>
            <a:off x="2000128" y="6489699"/>
            <a:ext cx="9693" cy="365588"/>
          </a:xfrm>
          <a:custGeom>
            <a:avLst/>
            <a:gdLst>
              <a:gd name="connsiteX0" fmla="*/ 0 w 13854"/>
              <a:gd name="connsiteY0" fmla="*/ 0 h 522521"/>
              <a:gd name="connsiteX1" fmla="*/ 0 w 13854"/>
              <a:gd name="connsiteY1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22521">
                <a:moveTo>
                  <a:pt x="0" y="0"/>
                </a:moveTo>
                <a:lnTo>
                  <a:pt x="0" y="52252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0" name="Forma Livre: Forma 49">
            <a:extLst>
              <a:ext uri="{FF2B5EF4-FFF2-40B4-BE49-F238E27FC236}">
                <a16:creationId xmlns:a16="http://schemas.microsoft.com/office/drawing/2014/main" id="{0E5E8477-72A1-406D-B39F-4C2C537823DE}"/>
              </a:ext>
            </a:extLst>
          </xdr:cNvPr>
          <xdr:cNvSpPr/>
        </xdr:nvSpPr>
        <xdr:spPr>
          <a:xfrm>
            <a:off x="2564302" y="6734267"/>
            <a:ext cx="9693" cy="121020"/>
          </a:xfrm>
          <a:custGeom>
            <a:avLst/>
            <a:gdLst>
              <a:gd name="connsiteX0" fmla="*/ 0 w 13854"/>
              <a:gd name="connsiteY0" fmla="*/ 0 h 172969"/>
              <a:gd name="connsiteX1" fmla="*/ 0 w 13854"/>
              <a:gd name="connsiteY1" fmla="*/ 172969 h 172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2969">
                <a:moveTo>
                  <a:pt x="0" y="0"/>
                </a:moveTo>
                <a:lnTo>
                  <a:pt x="0" y="172969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1" name="Forma Livre: Forma 50">
            <a:extLst>
              <a:ext uri="{FF2B5EF4-FFF2-40B4-BE49-F238E27FC236}">
                <a16:creationId xmlns:a16="http://schemas.microsoft.com/office/drawing/2014/main" id="{6FD236F5-E8BB-441A-BCC6-FBFD0AD90567}"/>
              </a:ext>
            </a:extLst>
          </xdr:cNvPr>
          <xdr:cNvSpPr/>
        </xdr:nvSpPr>
        <xdr:spPr>
          <a:xfrm>
            <a:off x="2564302" y="6206440"/>
            <a:ext cx="9693" cy="419228"/>
          </a:xfrm>
          <a:custGeom>
            <a:avLst/>
            <a:gdLst>
              <a:gd name="connsiteX0" fmla="*/ 0 w 13854"/>
              <a:gd name="connsiteY0" fmla="*/ 0 h 599187"/>
              <a:gd name="connsiteX1" fmla="*/ 0 w 13854"/>
              <a:gd name="connsiteY1" fmla="*/ 599187 h 5991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99187">
                <a:moveTo>
                  <a:pt x="0" y="0"/>
                </a:moveTo>
                <a:lnTo>
                  <a:pt x="0" y="59918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2" name="Forma Livre: Forma 51">
            <a:extLst>
              <a:ext uri="{FF2B5EF4-FFF2-40B4-BE49-F238E27FC236}">
                <a16:creationId xmlns:a16="http://schemas.microsoft.com/office/drawing/2014/main" id="{EFAF9956-725A-4F25-A8A1-3AC47DCEE5D1}"/>
              </a:ext>
            </a:extLst>
          </xdr:cNvPr>
          <xdr:cNvSpPr/>
        </xdr:nvSpPr>
        <xdr:spPr>
          <a:xfrm>
            <a:off x="2241986" y="6583459"/>
            <a:ext cx="9693" cy="271827"/>
          </a:xfrm>
          <a:custGeom>
            <a:avLst/>
            <a:gdLst>
              <a:gd name="connsiteX0" fmla="*/ 0 w 13854"/>
              <a:gd name="connsiteY0" fmla="*/ 0 h 388513"/>
              <a:gd name="connsiteX1" fmla="*/ 0 w 13854"/>
              <a:gd name="connsiteY1" fmla="*/ 388513 h 3885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388513">
                <a:moveTo>
                  <a:pt x="0" y="0"/>
                </a:moveTo>
                <a:lnTo>
                  <a:pt x="0" y="38851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3" name="Forma Livre: Forma 52">
            <a:extLst>
              <a:ext uri="{FF2B5EF4-FFF2-40B4-BE49-F238E27FC236}">
                <a16:creationId xmlns:a16="http://schemas.microsoft.com/office/drawing/2014/main" id="{3FD8408B-DD0E-42C6-99A0-2FECAF2FBF8F}"/>
              </a:ext>
            </a:extLst>
          </xdr:cNvPr>
          <xdr:cNvSpPr/>
        </xdr:nvSpPr>
        <xdr:spPr>
          <a:xfrm>
            <a:off x="2241986" y="6343508"/>
            <a:ext cx="9693" cy="122229"/>
          </a:xfrm>
          <a:custGeom>
            <a:avLst/>
            <a:gdLst>
              <a:gd name="connsiteX0" fmla="*/ 0 w 13854"/>
              <a:gd name="connsiteY0" fmla="*/ 0 h 174697"/>
              <a:gd name="connsiteX1" fmla="*/ 0 w 13854"/>
              <a:gd name="connsiteY1" fmla="*/ 174698 h 1746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4697">
                <a:moveTo>
                  <a:pt x="0" y="0"/>
                </a:moveTo>
                <a:lnTo>
                  <a:pt x="0" y="17469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4" name="Forma Livre: Forma 53">
            <a:extLst>
              <a:ext uri="{FF2B5EF4-FFF2-40B4-BE49-F238E27FC236}">
                <a16:creationId xmlns:a16="http://schemas.microsoft.com/office/drawing/2014/main" id="{F462E8DA-7BC2-4A36-ADEE-45F39F72796B}"/>
              </a:ext>
            </a:extLst>
          </xdr:cNvPr>
          <xdr:cNvSpPr/>
        </xdr:nvSpPr>
        <xdr:spPr>
          <a:xfrm>
            <a:off x="2886715" y="6824510"/>
            <a:ext cx="9693" cy="30777"/>
          </a:xfrm>
          <a:custGeom>
            <a:avLst/>
            <a:gdLst>
              <a:gd name="connsiteX0" fmla="*/ 0 w 13854"/>
              <a:gd name="connsiteY0" fmla="*/ 0 h 43988"/>
              <a:gd name="connsiteX1" fmla="*/ 0 w 13854"/>
              <a:gd name="connsiteY1" fmla="*/ 43988 h 439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43988">
                <a:moveTo>
                  <a:pt x="0" y="0"/>
                </a:moveTo>
                <a:lnTo>
                  <a:pt x="0" y="439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5" name="Forma Livre: Forma 54">
            <a:extLst>
              <a:ext uri="{FF2B5EF4-FFF2-40B4-BE49-F238E27FC236}">
                <a16:creationId xmlns:a16="http://schemas.microsoft.com/office/drawing/2014/main" id="{7E0015C4-63C1-48EC-8777-85C855CAE104}"/>
              </a:ext>
            </a:extLst>
          </xdr:cNvPr>
          <xdr:cNvSpPr/>
        </xdr:nvSpPr>
        <xdr:spPr>
          <a:xfrm>
            <a:off x="2886715" y="6128728"/>
            <a:ext cx="9693" cy="594107"/>
          </a:xfrm>
          <a:custGeom>
            <a:avLst/>
            <a:gdLst>
              <a:gd name="connsiteX0" fmla="*/ 0 w 13854"/>
              <a:gd name="connsiteY0" fmla="*/ 0 h 849136"/>
              <a:gd name="connsiteX1" fmla="*/ 0 w 13854"/>
              <a:gd name="connsiteY1" fmla="*/ 849137 h 84913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849136">
                <a:moveTo>
                  <a:pt x="0" y="0"/>
                </a:moveTo>
                <a:lnTo>
                  <a:pt x="0" y="84913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6" name="Forma Livre: Forma 55">
            <a:extLst>
              <a:ext uri="{FF2B5EF4-FFF2-40B4-BE49-F238E27FC236}">
                <a16:creationId xmlns:a16="http://schemas.microsoft.com/office/drawing/2014/main" id="{70A43857-9776-4353-9E0D-9D8B67A988D5}"/>
              </a:ext>
            </a:extLst>
          </xdr:cNvPr>
          <xdr:cNvSpPr/>
        </xdr:nvSpPr>
        <xdr:spPr>
          <a:xfrm>
            <a:off x="1556835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0 w 172770"/>
              <a:gd name="connsiteY1" fmla="*/ 0 h 522521"/>
              <a:gd name="connsiteX2" fmla="*/ 172770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0" y="0"/>
                </a:lnTo>
                <a:lnTo>
                  <a:pt x="172770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7" name="Forma Livre: Forma 56">
            <a:extLst>
              <a:ext uri="{FF2B5EF4-FFF2-40B4-BE49-F238E27FC236}">
                <a16:creationId xmlns:a16="http://schemas.microsoft.com/office/drawing/2014/main" id="{81D7C134-0DDC-4ADC-83DA-0608793004CA}"/>
              </a:ext>
            </a:extLst>
          </xdr:cNvPr>
          <xdr:cNvSpPr/>
        </xdr:nvSpPr>
        <xdr:spPr>
          <a:xfrm>
            <a:off x="952431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8" name="Forma Livre: Forma 57">
            <a:extLst>
              <a:ext uri="{FF2B5EF4-FFF2-40B4-BE49-F238E27FC236}">
                <a16:creationId xmlns:a16="http://schemas.microsoft.com/office/drawing/2014/main" id="{12CE8140-C529-4A7A-9F81-DE357EE47B40}"/>
              </a:ext>
            </a:extLst>
          </xdr:cNvPr>
          <xdr:cNvSpPr/>
        </xdr:nvSpPr>
        <xdr:spPr>
          <a:xfrm>
            <a:off x="2967366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9" name="Forma Livre: Forma 58">
            <a:extLst>
              <a:ext uri="{FF2B5EF4-FFF2-40B4-BE49-F238E27FC236}">
                <a16:creationId xmlns:a16="http://schemas.microsoft.com/office/drawing/2014/main" id="{49C970F8-1D2C-45CD-9B99-490308AC4E70}"/>
              </a:ext>
            </a:extLst>
          </xdr:cNvPr>
          <xdr:cNvSpPr/>
        </xdr:nvSpPr>
        <xdr:spPr>
          <a:xfrm>
            <a:off x="2362866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1 w 172770"/>
              <a:gd name="connsiteY1" fmla="*/ 0 h 522521"/>
              <a:gd name="connsiteX2" fmla="*/ 172771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1" y="0"/>
                </a:lnTo>
                <a:lnTo>
                  <a:pt x="172771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0" name="Forma Livre: Forma 59">
            <a:extLst>
              <a:ext uri="{FF2B5EF4-FFF2-40B4-BE49-F238E27FC236}">
                <a16:creationId xmlns:a16="http://schemas.microsoft.com/office/drawing/2014/main" id="{C5C4CD2E-49B8-4F1D-B9E5-60FC55EB8989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1" name="Forma Livre: Forma 60">
            <a:extLst>
              <a:ext uri="{FF2B5EF4-FFF2-40B4-BE49-F238E27FC236}">
                <a16:creationId xmlns:a16="http://schemas.microsoft.com/office/drawing/2014/main" id="{30F345C3-7203-48C7-9456-38B277736263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2" name="Forma Livre: Forma 61">
            <a:extLst>
              <a:ext uri="{FF2B5EF4-FFF2-40B4-BE49-F238E27FC236}">
                <a16:creationId xmlns:a16="http://schemas.microsoft.com/office/drawing/2014/main" id="{D940F505-E752-40F7-BFA6-06457F040E26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3" name="Forma Livre: Forma 62">
            <a:extLst>
              <a:ext uri="{FF2B5EF4-FFF2-40B4-BE49-F238E27FC236}">
                <a16:creationId xmlns:a16="http://schemas.microsoft.com/office/drawing/2014/main" id="{50345CAC-1EA9-4261-A51F-08921672D3E4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4" name="Forma Livre: Forma 63">
            <a:extLst>
              <a:ext uri="{FF2B5EF4-FFF2-40B4-BE49-F238E27FC236}">
                <a16:creationId xmlns:a16="http://schemas.microsoft.com/office/drawing/2014/main" id="{9EA6233A-9CF3-4545-8325-D51573D29448}"/>
              </a:ext>
            </a:extLst>
          </xdr:cNvPr>
          <xdr:cNvSpPr/>
        </xdr:nvSpPr>
        <xdr:spPr>
          <a:xfrm>
            <a:off x="227051" y="6626877"/>
            <a:ext cx="564174" cy="10992"/>
          </a:xfrm>
          <a:custGeom>
            <a:avLst/>
            <a:gdLst>
              <a:gd name="connsiteX0" fmla="*/ 0 w 806353"/>
              <a:gd name="connsiteY0" fmla="*/ 0 h 15710"/>
              <a:gd name="connsiteX1" fmla="*/ 806354 w 8063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806353" h="15710">
                <a:moveTo>
                  <a:pt x="0" y="0"/>
                </a:moveTo>
                <a:lnTo>
                  <a:pt x="8063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5" name="Forma Livre: Forma 64">
            <a:extLst>
              <a:ext uri="{FF2B5EF4-FFF2-40B4-BE49-F238E27FC236}">
                <a16:creationId xmlns:a16="http://schemas.microsoft.com/office/drawing/2014/main" id="{139E6877-A435-4270-9DA3-05DDF2E08022}"/>
              </a:ext>
            </a:extLst>
          </xdr:cNvPr>
          <xdr:cNvSpPr/>
        </xdr:nvSpPr>
        <xdr:spPr>
          <a:xfrm>
            <a:off x="227051" y="6718219"/>
            <a:ext cx="161110" cy="10992"/>
          </a:xfrm>
          <a:custGeom>
            <a:avLst/>
            <a:gdLst>
              <a:gd name="connsiteX0" fmla="*/ 230268 w 230268"/>
              <a:gd name="connsiteY0" fmla="*/ 0 h 15710"/>
              <a:gd name="connsiteX1" fmla="*/ 0 w 230268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30268" h="15710">
                <a:moveTo>
                  <a:pt x="230268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6" name="Forma Livre: Forma 65">
            <a:extLst>
              <a:ext uri="{FF2B5EF4-FFF2-40B4-BE49-F238E27FC236}">
                <a16:creationId xmlns:a16="http://schemas.microsoft.com/office/drawing/2014/main" id="{1E5748AF-79FB-4FF2-B232-6681D20DAA32}"/>
              </a:ext>
            </a:extLst>
          </xdr:cNvPr>
          <xdr:cNvSpPr/>
        </xdr:nvSpPr>
        <xdr:spPr>
          <a:xfrm>
            <a:off x="307606" y="6626877"/>
            <a:ext cx="9693" cy="91341"/>
          </a:xfrm>
          <a:custGeom>
            <a:avLst/>
            <a:gdLst>
              <a:gd name="connsiteX0" fmla="*/ 0 w 13854"/>
              <a:gd name="connsiteY0" fmla="*/ 0 h 130551"/>
              <a:gd name="connsiteX1" fmla="*/ 0 w 13854"/>
              <a:gd name="connsiteY1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30551">
                <a:moveTo>
                  <a:pt x="0" y="0"/>
                </a:moveTo>
                <a:lnTo>
                  <a:pt x="0" y="130552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7" name="Forma Livre: Forma 66">
            <a:extLst>
              <a:ext uri="{FF2B5EF4-FFF2-40B4-BE49-F238E27FC236}">
                <a16:creationId xmlns:a16="http://schemas.microsoft.com/office/drawing/2014/main" id="{F34944E6-72C0-4AFF-A151-C7842FFFC238}"/>
              </a:ext>
            </a:extLst>
          </xdr:cNvPr>
          <xdr:cNvSpPr/>
        </xdr:nvSpPr>
        <xdr:spPr>
          <a:xfrm>
            <a:off x="227051" y="6626877"/>
            <a:ext cx="80555" cy="91341"/>
          </a:xfrm>
          <a:custGeom>
            <a:avLst/>
            <a:gdLst>
              <a:gd name="connsiteX0" fmla="*/ 0 w 115134"/>
              <a:gd name="connsiteY0" fmla="*/ 130552 h 130551"/>
              <a:gd name="connsiteX1" fmla="*/ 115134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0" y="130552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8" name="Forma Livre: Forma 67">
            <a:extLst>
              <a:ext uri="{FF2B5EF4-FFF2-40B4-BE49-F238E27FC236}">
                <a16:creationId xmlns:a16="http://schemas.microsoft.com/office/drawing/2014/main" id="{2DB0DA59-CAD4-4F78-889C-2B7AAFDF0DB4}"/>
              </a:ext>
            </a:extLst>
          </xdr:cNvPr>
          <xdr:cNvSpPr/>
        </xdr:nvSpPr>
        <xdr:spPr>
          <a:xfrm>
            <a:off x="307606" y="6626877"/>
            <a:ext cx="80555" cy="91341"/>
          </a:xfrm>
          <a:custGeom>
            <a:avLst/>
            <a:gdLst>
              <a:gd name="connsiteX0" fmla="*/ 115134 w 115134"/>
              <a:gd name="connsiteY0" fmla="*/ 130552 h 130551"/>
              <a:gd name="connsiteX1" fmla="*/ 0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115134" y="130552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9" name="Forma Livre: Forma 68">
            <a:extLst>
              <a:ext uri="{FF2B5EF4-FFF2-40B4-BE49-F238E27FC236}">
                <a16:creationId xmlns:a16="http://schemas.microsoft.com/office/drawing/2014/main" id="{1605FF0C-0222-4047-BB21-7CBF2AEF4A69}"/>
              </a:ext>
            </a:extLst>
          </xdr:cNvPr>
          <xdr:cNvSpPr/>
        </xdr:nvSpPr>
        <xdr:spPr>
          <a:xfrm>
            <a:off x="227051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0" name="Forma Livre: Forma 69">
            <a:extLst>
              <a:ext uri="{FF2B5EF4-FFF2-40B4-BE49-F238E27FC236}">
                <a16:creationId xmlns:a16="http://schemas.microsoft.com/office/drawing/2014/main" id="{6DAEC7DB-8C6D-4013-A04E-74D682F88D86}"/>
              </a:ext>
            </a:extLst>
          </xdr:cNvPr>
          <xdr:cNvSpPr/>
        </xdr:nvSpPr>
        <xdr:spPr>
          <a:xfrm>
            <a:off x="388160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1" name="Forma Livre: Forma 70">
            <a:extLst>
              <a:ext uri="{FF2B5EF4-FFF2-40B4-BE49-F238E27FC236}">
                <a16:creationId xmlns:a16="http://schemas.microsoft.com/office/drawing/2014/main" id="{0884699B-9F35-4034-BDB4-954B78E72792}"/>
              </a:ext>
            </a:extLst>
          </xdr:cNvPr>
          <xdr:cNvSpPr/>
        </xdr:nvSpPr>
        <xdr:spPr>
          <a:xfrm>
            <a:off x="549367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2" name="Forma Livre: Forma 71">
            <a:extLst>
              <a:ext uri="{FF2B5EF4-FFF2-40B4-BE49-F238E27FC236}">
                <a16:creationId xmlns:a16="http://schemas.microsoft.com/office/drawing/2014/main" id="{A7C84677-6A6D-4689-82B2-1F516D18B56C}"/>
              </a:ext>
            </a:extLst>
          </xdr:cNvPr>
          <xdr:cNvSpPr/>
        </xdr:nvSpPr>
        <xdr:spPr>
          <a:xfrm>
            <a:off x="710573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3" name="Forma Livre: Forma 72">
            <a:extLst>
              <a:ext uri="{FF2B5EF4-FFF2-40B4-BE49-F238E27FC236}">
                <a16:creationId xmlns:a16="http://schemas.microsoft.com/office/drawing/2014/main" id="{F32A0AE0-A98D-4A09-8E1D-6FBB08A9F777}"/>
              </a:ext>
            </a:extLst>
          </xdr:cNvPr>
          <xdr:cNvSpPr/>
        </xdr:nvSpPr>
        <xdr:spPr>
          <a:xfrm>
            <a:off x="227051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4" name="Forma Livre: Forma 73">
            <a:extLst>
              <a:ext uri="{FF2B5EF4-FFF2-40B4-BE49-F238E27FC236}">
                <a16:creationId xmlns:a16="http://schemas.microsoft.com/office/drawing/2014/main" id="{6299C1CE-C142-4AA4-802D-8C6345316330}"/>
              </a:ext>
            </a:extLst>
          </xdr:cNvPr>
          <xdr:cNvSpPr/>
        </xdr:nvSpPr>
        <xdr:spPr>
          <a:xfrm>
            <a:off x="388160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5" name="Forma Livre: Forma 74">
            <a:extLst>
              <a:ext uri="{FF2B5EF4-FFF2-40B4-BE49-F238E27FC236}">
                <a16:creationId xmlns:a16="http://schemas.microsoft.com/office/drawing/2014/main" id="{F50CD440-6D13-4FCB-9752-ED30C5F50BE2}"/>
              </a:ext>
            </a:extLst>
          </xdr:cNvPr>
          <xdr:cNvSpPr/>
        </xdr:nvSpPr>
        <xdr:spPr>
          <a:xfrm>
            <a:off x="549367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6" name="Forma Livre: Forma 75">
            <a:extLst>
              <a:ext uri="{FF2B5EF4-FFF2-40B4-BE49-F238E27FC236}">
                <a16:creationId xmlns:a16="http://schemas.microsoft.com/office/drawing/2014/main" id="{063C329F-43D2-4341-B2C5-088A50DF5296}"/>
              </a:ext>
            </a:extLst>
          </xdr:cNvPr>
          <xdr:cNvSpPr/>
        </xdr:nvSpPr>
        <xdr:spPr>
          <a:xfrm>
            <a:off x="710573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7" name="Forma Livre: Forma 76">
            <a:extLst>
              <a:ext uri="{FF2B5EF4-FFF2-40B4-BE49-F238E27FC236}">
                <a16:creationId xmlns:a16="http://schemas.microsoft.com/office/drawing/2014/main" id="{7AF618EC-AAAC-4957-8B81-3AB9FC1D886A}"/>
              </a:ext>
            </a:extLst>
          </xdr:cNvPr>
          <xdr:cNvSpPr/>
        </xdr:nvSpPr>
        <xdr:spPr>
          <a:xfrm>
            <a:off x="22705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8" name="Forma Livre: Forma 77">
            <a:extLst>
              <a:ext uri="{FF2B5EF4-FFF2-40B4-BE49-F238E27FC236}">
                <a16:creationId xmlns:a16="http://schemas.microsoft.com/office/drawing/2014/main" id="{EC4C9D38-1A6C-494F-8470-14D223526103}"/>
              </a:ext>
            </a:extLst>
          </xdr:cNvPr>
          <xdr:cNvSpPr/>
        </xdr:nvSpPr>
        <xdr:spPr>
          <a:xfrm>
            <a:off x="22705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9" name="Forma Livre: Forma 78">
            <a:extLst>
              <a:ext uri="{FF2B5EF4-FFF2-40B4-BE49-F238E27FC236}">
                <a16:creationId xmlns:a16="http://schemas.microsoft.com/office/drawing/2014/main" id="{8B787143-3978-44D2-88F7-744343BF9297}"/>
              </a:ext>
            </a:extLst>
          </xdr:cNvPr>
          <xdr:cNvSpPr/>
        </xdr:nvSpPr>
        <xdr:spPr>
          <a:xfrm>
            <a:off x="22705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0" name="Forma Livre: Forma 79">
            <a:extLst>
              <a:ext uri="{FF2B5EF4-FFF2-40B4-BE49-F238E27FC236}">
                <a16:creationId xmlns:a16="http://schemas.microsoft.com/office/drawing/2014/main" id="{556CBEB2-30B5-4318-BCF4-A4DA0A4D295A}"/>
              </a:ext>
            </a:extLst>
          </xdr:cNvPr>
          <xdr:cNvSpPr/>
        </xdr:nvSpPr>
        <xdr:spPr>
          <a:xfrm>
            <a:off x="227051" y="594142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1" name="Forma Livre: Forma 80">
            <a:extLst>
              <a:ext uri="{FF2B5EF4-FFF2-40B4-BE49-F238E27FC236}">
                <a16:creationId xmlns:a16="http://schemas.microsoft.com/office/drawing/2014/main" id="{F3082A2F-566B-43F1-A3D6-CC2844FF054A}"/>
              </a:ext>
            </a:extLst>
          </xdr:cNvPr>
          <xdr:cNvSpPr/>
        </xdr:nvSpPr>
        <xdr:spPr>
          <a:xfrm>
            <a:off x="227051" y="598704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2" name="Forma Livre: Forma 81">
            <a:extLst>
              <a:ext uri="{FF2B5EF4-FFF2-40B4-BE49-F238E27FC236}">
                <a16:creationId xmlns:a16="http://schemas.microsoft.com/office/drawing/2014/main" id="{9E1CBBB5-891C-4208-8A2F-81602D58D0B3}"/>
              </a:ext>
            </a:extLst>
          </xdr:cNvPr>
          <xdr:cNvSpPr/>
        </xdr:nvSpPr>
        <xdr:spPr>
          <a:xfrm>
            <a:off x="388160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3" name="Forma Livre: Forma 82">
            <a:extLst>
              <a:ext uri="{FF2B5EF4-FFF2-40B4-BE49-F238E27FC236}">
                <a16:creationId xmlns:a16="http://schemas.microsoft.com/office/drawing/2014/main" id="{114D7C7A-5486-44E7-8A54-E82CC1297CC2}"/>
              </a:ext>
            </a:extLst>
          </xdr:cNvPr>
          <xdr:cNvSpPr/>
        </xdr:nvSpPr>
        <xdr:spPr>
          <a:xfrm>
            <a:off x="388160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4" name="Forma Livre: Forma 83">
            <a:extLst>
              <a:ext uri="{FF2B5EF4-FFF2-40B4-BE49-F238E27FC236}">
                <a16:creationId xmlns:a16="http://schemas.microsoft.com/office/drawing/2014/main" id="{DC42BD00-64A7-45CA-8E91-2978CD4029F4}"/>
              </a:ext>
            </a:extLst>
          </xdr:cNvPr>
          <xdr:cNvSpPr/>
        </xdr:nvSpPr>
        <xdr:spPr>
          <a:xfrm>
            <a:off x="388160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5" name="Forma Livre: Forma 84">
            <a:extLst>
              <a:ext uri="{FF2B5EF4-FFF2-40B4-BE49-F238E27FC236}">
                <a16:creationId xmlns:a16="http://schemas.microsoft.com/office/drawing/2014/main" id="{4107CDA2-91FF-4F08-8B23-25600ACC11D2}"/>
              </a:ext>
            </a:extLst>
          </xdr:cNvPr>
          <xdr:cNvSpPr/>
        </xdr:nvSpPr>
        <xdr:spPr>
          <a:xfrm>
            <a:off x="388160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6" name="Forma Livre: Forma 85">
            <a:extLst>
              <a:ext uri="{FF2B5EF4-FFF2-40B4-BE49-F238E27FC236}">
                <a16:creationId xmlns:a16="http://schemas.microsoft.com/office/drawing/2014/main" id="{99C197B3-2BF7-4009-A6FD-3AC493498FAE}"/>
              </a:ext>
            </a:extLst>
          </xdr:cNvPr>
          <xdr:cNvSpPr/>
        </xdr:nvSpPr>
        <xdr:spPr>
          <a:xfrm>
            <a:off x="388160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7" name="Forma Livre: Forma 86">
            <a:extLst>
              <a:ext uri="{FF2B5EF4-FFF2-40B4-BE49-F238E27FC236}">
                <a16:creationId xmlns:a16="http://schemas.microsoft.com/office/drawing/2014/main" id="{1D48B807-7ABD-4B72-9C70-15ACC3FC23B5}"/>
              </a:ext>
            </a:extLst>
          </xdr:cNvPr>
          <xdr:cNvSpPr/>
        </xdr:nvSpPr>
        <xdr:spPr>
          <a:xfrm>
            <a:off x="549367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8" name="Forma Livre: Forma 87">
            <a:extLst>
              <a:ext uri="{FF2B5EF4-FFF2-40B4-BE49-F238E27FC236}">
                <a16:creationId xmlns:a16="http://schemas.microsoft.com/office/drawing/2014/main" id="{7CD3E483-CF28-466B-9450-3305BFD340F9}"/>
              </a:ext>
            </a:extLst>
          </xdr:cNvPr>
          <xdr:cNvSpPr/>
        </xdr:nvSpPr>
        <xdr:spPr>
          <a:xfrm>
            <a:off x="549367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9" name="Forma Livre: Forma 88">
            <a:extLst>
              <a:ext uri="{FF2B5EF4-FFF2-40B4-BE49-F238E27FC236}">
                <a16:creationId xmlns:a16="http://schemas.microsoft.com/office/drawing/2014/main" id="{9BB0B78F-8583-4694-9119-C573CF65ADBD}"/>
              </a:ext>
            </a:extLst>
          </xdr:cNvPr>
          <xdr:cNvSpPr/>
        </xdr:nvSpPr>
        <xdr:spPr>
          <a:xfrm>
            <a:off x="549367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0" name="Forma Livre: Forma 89">
            <a:extLst>
              <a:ext uri="{FF2B5EF4-FFF2-40B4-BE49-F238E27FC236}">
                <a16:creationId xmlns:a16="http://schemas.microsoft.com/office/drawing/2014/main" id="{C833C940-44C1-4644-910A-6567B9D3AFBD}"/>
              </a:ext>
            </a:extLst>
          </xdr:cNvPr>
          <xdr:cNvSpPr/>
        </xdr:nvSpPr>
        <xdr:spPr>
          <a:xfrm>
            <a:off x="549367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1" name="Forma Livre: Forma 90">
            <a:extLst>
              <a:ext uri="{FF2B5EF4-FFF2-40B4-BE49-F238E27FC236}">
                <a16:creationId xmlns:a16="http://schemas.microsoft.com/office/drawing/2014/main" id="{E8E1DE50-85EA-445F-AB00-1B8D2744F1F4}"/>
              </a:ext>
            </a:extLst>
          </xdr:cNvPr>
          <xdr:cNvSpPr/>
        </xdr:nvSpPr>
        <xdr:spPr>
          <a:xfrm>
            <a:off x="549367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2" name="Forma Livre: Forma 91">
            <a:extLst>
              <a:ext uri="{FF2B5EF4-FFF2-40B4-BE49-F238E27FC236}">
                <a16:creationId xmlns:a16="http://schemas.microsoft.com/office/drawing/2014/main" id="{1F0ED80C-DFE0-4240-8669-9F440E4F2F97}"/>
              </a:ext>
            </a:extLst>
          </xdr:cNvPr>
          <xdr:cNvSpPr/>
        </xdr:nvSpPr>
        <xdr:spPr>
          <a:xfrm>
            <a:off x="71057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3" name="Forma Livre: Forma 92">
            <a:extLst>
              <a:ext uri="{FF2B5EF4-FFF2-40B4-BE49-F238E27FC236}">
                <a16:creationId xmlns:a16="http://schemas.microsoft.com/office/drawing/2014/main" id="{249123FF-F324-40CA-98D0-BDE076FA5D5B}"/>
              </a:ext>
            </a:extLst>
          </xdr:cNvPr>
          <xdr:cNvSpPr/>
        </xdr:nvSpPr>
        <xdr:spPr>
          <a:xfrm>
            <a:off x="71057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4" name="Forma Livre: Forma 93">
            <a:extLst>
              <a:ext uri="{FF2B5EF4-FFF2-40B4-BE49-F238E27FC236}">
                <a16:creationId xmlns:a16="http://schemas.microsoft.com/office/drawing/2014/main" id="{D46373E9-EF16-4E57-A26C-42BA15C2F21F}"/>
              </a:ext>
            </a:extLst>
          </xdr:cNvPr>
          <xdr:cNvSpPr/>
        </xdr:nvSpPr>
        <xdr:spPr>
          <a:xfrm>
            <a:off x="71057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5" name="Forma Livre: Forma 94">
            <a:extLst>
              <a:ext uri="{FF2B5EF4-FFF2-40B4-BE49-F238E27FC236}">
                <a16:creationId xmlns:a16="http://schemas.microsoft.com/office/drawing/2014/main" id="{DA59BC55-4769-4A79-A5F8-33402B17DD8B}"/>
              </a:ext>
            </a:extLst>
          </xdr:cNvPr>
          <xdr:cNvSpPr/>
        </xdr:nvSpPr>
        <xdr:spPr>
          <a:xfrm>
            <a:off x="710573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6" name="Forma Livre: Forma 95">
            <a:extLst>
              <a:ext uri="{FF2B5EF4-FFF2-40B4-BE49-F238E27FC236}">
                <a16:creationId xmlns:a16="http://schemas.microsoft.com/office/drawing/2014/main" id="{DBA1A12C-48DA-4454-91DE-7B0D5C43C1FB}"/>
              </a:ext>
            </a:extLst>
          </xdr:cNvPr>
          <xdr:cNvSpPr/>
        </xdr:nvSpPr>
        <xdr:spPr>
          <a:xfrm>
            <a:off x="710573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7" name="Forma Livre: Forma 96">
            <a:extLst>
              <a:ext uri="{FF2B5EF4-FFF2-40B4-BE49-F238E27FC236}">
                <a16:creationId xmlns:a16="http://schemas.microsoft.com/office/drawing/2014/main" id="{383B91B4-F7A0-453A-B787-29407A3A529B}"/>
              </a:ext>
            </a:extLst>
          </xdr:cNvPr>
          <xdr:cNvSpPr/>
        </xdr:nvSpPr>
        <xdr:spPr>
          <a:xfrm>
            <a:off x="71057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8" name="Forma Livre: Forma 97">
            <a:extLst>
              <a:ext uri="{FF2B5EF4-FFF2-40B4-BE49-F238E27FC236}">
                <a16:creationId xmlns:a16="http://schemas.microsoft.com/office/drawing/2014/main" id="{0FCD8088-C5D5-46BA-93BA-7CE5C723FD6A}"/>
              </a:ext>
            </a:extLst>
          </xdr:cNvPr>
          <xdr:cNvSpPr/>
        </xdr:nvSpPr>
        <xdr:spPr>
          <a:xfrm>
            <a:off x="710573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9" name="Forma Livre: Forma 98">
            <a:extLst>
              <a:ext uri="{FF2B5EF4-FFF2-40B4-BE49-F238E27FC236}">
                <a16:creationId xmlns:a16="http://schemas.microsoft.com/office/drawing/2014/main" id="{6DDDFD51-2CDE-4485-8502-2824BAC3A617}"/>
              </a:ext>
            </a:extLst>
          </xdr:cNvPr>
          <xdr:cNvSpPr/>
        </xdr:nvSpPr>
        <xdr:spPr>
          <a:xfrm>
            <a:off x="71057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0" name="Forma Livre: Forma 99">
            <a:extLst>
              <a:ext uri="{FF2B5EF4-FFF2-40B4-BE49-F238E27FC236}">
                <a16:creationId xmlns:a16="http://schemas.microsoft.com/office/drawing/2014/main" id="{71CFC5D3-4F1C-4686-99E6-557F97677FC3}"/>
              </a:ext>
            </a:extLst>
          </xdr:cNvPr>
          <xdr:cNvSpPr/>
        </xdr:nvSpPr>
        <xdr:spPr>
          <a:xfrm>
            <a:off x="71057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1" name="Forma Livre: Forma 100">
            <a:extLst>
              <a:ext uri="{FF2B5EF4-FFF2-40B4-BE49-F238E27FC236}">
                <a16:creationId xmlns:a16="http://schemas.microsoft.com/office/drawing/2014/main" id="{A36A4433-4B55-44CE-ACFF-4A85DFEF20AB}"/>
              </a:ext>
            </a:extLst>
          </xdr:cNvPr>
          <xdr:cNvSpPr/>
        </xdr:nvSpPr>
        <xdr:spPr>
          <a:xfrm>
            <a:off x="71057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2" name="Forma Livre: Forma 101">
            <a:extLst>
              <a:ext uri="{FF2B5EF4-FFF2-40B4-BE49-F238E27FC236}">
                <a16:creationId xmlns:a16="http://schemas.microsoft.com/office/drawing/2014/main" id="{7EF271B1-3B06-4406-8999-66BF8B3FB509}"/>
              </a:ext>
            </a:extLst>
          </xdr:cNvPr>
          <xdr:cNvSpPr/>
        </xdr:nvSpPr>
        <xdr:spPr>
          <a:xfrm>
            <a:off x="549367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3" name="Forma Livre: Forma 102">
            <a:extLst>
              <a:ext uri="{FF2B5EF4-FFF2-40B4-BE49-F238E27FC236}">
                <a16:creationId xmlns:a16="http://schemas.microsoft.com/office/drawing/2014/main" id="{8BEB497A-BCF9-4477-BD08-59FFA6283AA0}"/>
              </a:ext>
            </a:extLst>
          </xdr:cNvPr>
          <xdr:cNvSpPr/>
        </xdr:nvSpPr>
        <xdr:spPr>
          <a:xfrm>
            <a:off x="549367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4" name="Forma Livre: Forma 103">
            <a:extLst>
              <a:ext uri="{FF2B5EF4-FFF2-40B4-BE49-F238E27FC236}">
                <a16:creationId xmlns:a16="http://schemas.microsoft.com/office/drawing/2014/main" id="{F7A04F0A-5BA5-428D-A297-98DAFDF4B66A}"/>
              </a:ext>
            </a:extLst>
          </xdr:cNvPr>
          <xdr:cNvSpPr/>
        </xdr:nvSpPr>
        <xdr:spPr>
          <a:xfrm>
            <a:off x="549367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5" name="Forma Livre: Forma 104">
            <a:extLst>
              <a:ext uri="{FF2B5EF4-FFF2-40B4-BE49-F238E27FC236}">
                <a16:creationId xmlns:a16="http://schemas.microsoft.com/office/drawing/2014/main" id="{8843EE5A-B536-4032-8892-87A3874289B1}"/>
              </a:ext>
            </a:extLst>
          </xdr:cNvPr>
          <xdr:cNvSpPr/>
        </xdr:nvSpPr>
        <xdr:spPr>
          <a:xfrm>
            <a:off x="549367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6" name="Forma Livre: Forma 105">
            <a:extLst>
              <a:ext uri="{FF2B5EF4-FFF2-40B4-BE49-F238E27FC236}">
                <a16:creationId xmlns:a16="http://schemas.microsoft.com/office/drawing/2014/main" id="{BF7F4C5C-36C9-4541-9DDA-C7F47D2D1700}"/>
              </a:ext>
            </a:extLst>
          </xdr:cNvPr>
          <xdr:cNvSpPr/>
        </xdr:nvSpPr>
        <xdr:spPr>
          <a:xfrm>
            <a:off x="549367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7" name="Forma Livre: Forma 106">
            <a:extLst>
              <a:ext uri="{FF2B5EF4-FFF2-40B4-BE49-F238E27FC236}">
                <a16:creationId xmlns:a16="http://schemas.microsoft.com/office/drawing/2014/main" id="{1A652FEE-D51C-4D3C-AE43-0F1B46AE8565}"/>
              </a:ext>
            </a:extLst>
          </xdr:cNvPr>
          <xdr:cNvSpPr/>
        </xdr:nvSpPr>
        <xdr:spPr>
          <a:xfrm>
            <a:off x="388160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8" name="Forma Livre: Forma 107">
            <a:extLst>
              <a:ext uri="{FF2B5EF4-FFF2-40B4-BE49-F238E27FC236}">
                <a16:creationId xmlns:a16="http://schemas.microsoft.com/office/drawing/2014/main" id="{510AC73E-6C56-4943-805B-DBBBF757E0FA}"/>
              </a:ext>
            </a:extLst>
          </xdr:cNvPr>
          <xdr:cNvSpPr/>
        </xdr:nvSpPr>
        <xdr:spPr>
          <a:xfrm>
            <a:off x="388160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9" name="Forma Livre: Forma 108">
            <a:extLst>
              <a:ext uri="{FF2B5EF4-FFF2-40B4-BE49-F238E27FC236}">
                <a16:creationId xmlns:a16="http://schemas.microsoft.com/office/drawing/2014/main" id="{8294038D-E7E4-4B32-B4BD-D35B484CF1E9}"/>
              </a:ext>
            </a:extLst>
          </xdr:cNvPr>
          <xdr:cNvSpPr/>
        </xdr:nvSpPr>
        <xdr:spPr>
          <a:xfrm>
            <a:off x="388160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0" name="Forma Livre: Forma 109">
            <a:extLst>
              <a:ext uri="{FF2B5EF4-FFF2-40B4-BE49-F238E27FC236}">
                <a16:creationId xmlns:a16="http://schemas.microsoft.com/office/drawing/2014/main" id="{42AD1F7F-F1FD-49E2-A2F1-987CB5FE79B1}"/>
              </a:ext>
            </a:extLst>
          </xdr:cNvPr>
          <xdr:cNvSpPr/>
        </xdr:nvSpPr>
        <xdr:spPr>
          <a:xfrm>
            <a:off x="388160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1" name="Forma Livre: Forma 110">
            <a:extLst>
              <a:ext uri="{FF2B5EF4-FFF2-40B4-BE49-F238E27FC236}">
                <a16:creationId xmlns:a16="http://schemas.microsoft.com/office/drawing/2014/main" id="{776F9419-66C0-46EA-99E3-AD66083F10ED}"/>
              </a:ext>
            </a:extLst>
          </xdr:cNvPr>
          <xdr:cNvSpPr/>
        </xdr:nvSpPr>
        <xdr:spPr>
          <a:xfrm>
            <a:off x="388160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2" name="Forma Livre: Forma 111">
            <a:extLst>
              <a:ext uri="{FF2B5EF4-FFF2-40B4-BE49-F238E27FC236}">
                <a16:creationId xmlns:a16="http://schemas.microsoft.com/office/drawing/2014/main" id="{0DAAF0CD-2866-48FC-B23E-72DA1A0CC65E}"/>
              </a:ext>
            </a:extLst>
          </xdr:cNvPr>
          <xdr:cNvSpPr/>
        </xdr:nvSpPr>
        <xdr:spPr>
          <a:xfrm>
            <a:off x="22705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3" name="Forma Livre: Forma 112">
            <a:extLst>
              <a:ext uri="{FF2B5EF4-FFF2-40B4-BE49-F238E27FC236}">
                <a16:creationId xmlns:a16="http://schemas.microsoft.com/office/drawing/2014/main" id="{2F7178D5-6B0D-46C9-9C0B-256DABF61E8D}"/>
              </a:ext>
            </a:extLst>
          </xdr:cNvPr>
          <xdr:cNvSpPr/>
        </xdr:nvSpPr>
        <xdr:spPr>
          <a:xfrm>
            <a:off x="227051" y="639835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4" name="Forma Livre: Forma 113">
            <a:extLst>
              <a:ext uri="{FF2B5EF4-FFF2-40B4-BE49-F238E27FC236}">
                <a16:creationId xmlns:a16="http://schemas.microsoft.com/office/drawing/2014/main" id="{37FDE2FC-CCEB-463B-BF70-CF3524F0C147}"/>
              </a:ext>
            </a:extLst>
          </xdr:cNvPr>
          <xdr:cNvSpPr/>
        </xdr:nvSpPr>
        <xdr:spPr>
          <a:xfrm>
            <a:off x="22705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5" name="Forma Livre: Forma 114">
            <a:extLst>
              <a:ext uri="{FF2B5EF4-FFF2-40B4-BE49-F238E27FC236}">
                <a16:creationId xmlns:a16="http://schemas.microsoft.com/office/drawing/2014/main" id="{75417FED-81DD-4E8D-80FC-D9B181214706}"/>
              </a:ext>
            </a:extLst>
          </xdr:cNvPr>
          <xdr:cNvSpPr/>
        </xdr:nvSpPr>
        <xdr:spPr>
          <a:xfrm>
            <a:off x="22705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6" name="Forma Livre: Forma 115">
            <a:extLst>
              <a:ext uri="{FF2B5EF4-FFF2-40B4-BE49-F238E27FC236}">
                <a16:creationId xmlns:a16="http://schemas.microsoft.com/office/drawing/2014/main" id="{366D5AE2-8AD6-4628-9EDC-D94C5F3C55A1}"/>
              </a:ext>
            </a:extLst>
          </xdr:cNvPr>
          <xdr:cNvSpPr/>
        </xdr:nvSpPr>
        <xdr:spPr>
          <a:xfrm>
            <a:off x="227051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7" name="Forma Livre: Forma 116">
            <a:extLst>
              <a:ext uri="{FF2B5EF4-FFF2-40B4-BE49-F238E27FC236}">
                <a16:creationId xmlns:a16="http://schemas.microsoft.com/office/drawing/2014/main" id="{38F8A1D8-EA80-4EE6-BBF5-FD2F65CC008E}"/>
              </a:ext>
            </a:extLst>
          </xdr:cNvPr>
          <xdr:cNvSpPr/>
        </xdr:nvSpPr>
        <xdr:spPr>
          <a:xfrm>
            <a:off x="3209128" y="6398357"/>
            <a:ext cx="1370206" cy="228520"/>
          </a:xfrm>
          <a:custGeom>
            <a:avLst/>
            <a:gdLst>
              <a:gd name="connsiteX0" fmla="*/ 403177 w 1958386"/>
              <a:gd name="connsiteY0" fmla="*/ 326615 h 326615"/>
              <a:gd name="connsiteX1" fmla="*/ 0 w 1958386"/>
              <a:gd name="connsiteY1" fmla="*/ 326615 h 326615"/>
              <a:gd name="connsiteX2" fmla="*/ 0 w 1958386"/>
              <a:gd name="connsiteY2" fmla="*/ 0 h 326615"/>
              <a:gd name="connsiteX3" fmla="*/ 1958387 w 1958386"/>
              <a:gd name="connsiteY3" fmla="*/ 0 h 326615"/>
              <a:gd name="connsiteX4" fmla="*/ 1958387 w 1958386"/>
              <a:gd name="connsiteY4" fmla="*/ 326615 h 326615"/>
              <a:gd name="connsiteX5" fmla="*/ 1555210 w 1958386"/>
              <a:gd name="connsiteY5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615">
                <a:moveTo>
                  <a:pt x="403177" y="326615"/>
                </a:moveTo>
                <a:lnTo>
                  <a:pt x="0" y="326615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615"/>
                </a:lnTo>
                <a:lnTo>
                  <a:pt x="1555210" y="32661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8" name="Forma Livre: Forma 117">
            <a:extLst>
              <a:ext uri="{FF2B5EF4-FFF2-40B4-BE49-F238E27FC236}">
                <a16:creationId xmlns:a16="http://schemas.microsoft.com/office/drawing/2014/main" id="{5D78EB52-9485-489B-81E3-A4B162464544}"/>
              </a:ext>
            </a:extLst>
          </xdr:cNvPr>
          <xdr:cNvSpPr/>
        </xdr:nvSpPr>
        <xdr:spPr>
          <a:xfrm>
            <a:off x="3652421" y="6626877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9" name="Forma Livre: Forma 118">
            <a:extLst>
              <a:ext uri="{FF2B5EF4-FFF2-40B4-BE49-F238E27FC236}">
                <a16:creationId xmlns:a16="http://schemas.microsoft.com/office/drawing/2014/main" id="{249B7451-88C5-42C0-8175-36981695BEB5}"/>
              </a:ext>
            </a:extLst>
          </xdr:cNvPr>
          <xdr:cNvSpPr/>
        </xdr:nvSpPr>
        <xdr:spPr>
          <a:xfrm>
            <a:off x="3652421" y="6649630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0" name="Forma Livre: Forma 119">
            <a:extLst>
              <a:ext uri="{FF2B5EF4-FFF2-40B4-BE49-F238E27FC236}">
                <a16:creationId xmlns:a16="http://schemas.microsoft.com/office/drawing/2014/main" id="{5FFEE1A2-4C0A-472A-B63F-FB3FBED06FB8}"/>
              </a:ext>
            </a:extLst>
          </xdr:cNvPr>
          <xdr:cNvSpPr/>
        </xdr:nvSpPr>
        <xdr:spPr>
          <a:xfrm>
            <a:off x="3209128" y="6421220"/>
            <a:ext cx="1370206" cy="228410"/>
          </a:xfrm>
          <a:custGeom>
            <a:avLst/>
            <a:gdLst>
              <a:gd name="connsiteX0" fmla="*/ 403177 w 1958386"/>
              <a:gd name="connsiteY0" fmla="*/ 326458 h 326458"/>
              <a:gd name="connsiteX1" fmla="*/ 0 w 1958386"/>
              <a:gd name="connsiteY1" fmla="*/ 326458 h 326458"/>
              <a:gd name="connsiteX2" fmla="*/ 0 w 1958386"/>
              <a:gd name="connsiteY2" fmla="*/ 0 h 326458"/>
              <a:gd name="connsiteX3" fmla="*/ 1958387 w 1958386"/>
              <a:gd name="connsiteY3" fmla="*/ 0 h 326458"/>
              <a:gd name="connsiteX4" fmla="*/ 1958387 w 1958386"/>
              <a:gd name="connsiteY4" fmla="*/ 326458 h 326458"/>
              <a:gd name="connsiteX5" fmla="*/ 1555210 w 1958386"/>
              <a:gd name="connsiteY5" fmla="*/ 326458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458">
                <a:moveTo>
                  <a:pt x="403177" y="326458"/>
                </a:moveTo>
                <a:lnTo>
                  <a:pt x="0" y="326458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458"/>
                </a:lnTo>
                <a:lnTo>
                  <a:pt x="1555210" y="32645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1" name="Forma Livre: Forma 120">
            <a:extLst>
              <a:ext uri="{FF2B5EF4-FFF2-40B4-BE49-F238E27FC236}">
                <a16:creationId xmlns:a16="http://schemas.microsoft.com/office/drawing/2014/main" id="{F23BF085-3B3D-457E-AB9C-64DC94DC28B1}"/>
              </a:ext>
            </a:extLst>
          </xdr:cNvPr>
          <xdr:cNvSpPr/>
        </xdr:nvSpPr>
        <xdr:spPr>
          <a:xfrm>
            <a:off x="3289683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2" name="Forma Livre: Forma 121">
            <a:extLst>
              <a:ext uri="{FF2B5EF4-FFF2-40B4-BE49-F238E27FC236}">
                <a16:creationId xmlns:a16="http://schemas.microsoft.com/office/drawing/2014/main" id="{3298443C-95E5-4E56-A5FC-5DFB62E76A26}"/>
              </a:ext>
            </a:extLst>
          </xdr:cNvPr>
          <xdr:cNvSpPr/>
        </xdr:nvSpPr>
        <xdr:spPr>
          <a:xfrm>
            <a:off x="3289683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3" name="Forma Livre: Forma 122">
            <a:extLst>
              <a:ext uri="{FF2B5EF4-FFF2-40B4-BE49-F238E27FC236}">
                <a16:creationId xmlns:a16="http://schemas.microsoft.com/office/drawing/2014/main" id="{3095D062-CA91-4242-A792-5F16B3C6B57B}"/>
              </a:ext>
            </a:extLst>
          </xdr:cNvPr>
          <xdr:cNvSpPr/>
        </xdr:nvSpPr>
        <xdr:spPr>
          <a:xfrm>
            <a:off x="3289683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4" name="Forma Livre: Forma 123">
            <a:extLst>
              <a:ext uri="{FF2B5EF4-FFF2-40B4-BE49-F238E27FC236}">
                <a16:creationId xmlns:a16="http://schemas.microsoft.com/office/drawing/2014/main" id="{EC2E542B-F7AC-467B-9ED2-36EA134140B9}"/>
              </a:ext>
            </a:extLst>
          </xdr:cNvPr>
          <xdr:cNvSpPr/>
        </xdr:nvSpPr>
        <xdr:spPr>
          <a:xfrm>
            <a:off x="3289683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5" name="Forma Livre: Forma 124">
            <a:extLst>
              <a:ext uri="{FF2B5EF4-FFF2-40B4-BE49-F238E27FC236}">
                <a16:creationId xmlns:a16="http://schemas.microsoft.com/office/drawing/2014/main" id="{9BB4C394-2E8A-4E4E-8AC0-EFC9F5533021}"/>
              </a:ext>
            </a:extLst>
          </xdr:cNvPr>
          <xdr:cNvSpPr/>
        </xdr:nvSpPr>
        <xdr:spPr>
          <a:xfrm>
            <a:off x="328968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6" name="Forma Livre: Forma 125">
            <a:extLst>
              <a:ext uri="{FF2B5EF4-FFF2-40B4-BE49-F238E27FC236}">
                <a16:creationId xmlns:a16="http://schemas.microsoft.com/office/drawing/2014/main" id="{B7F34479-F0AA-4848-A9F2-928A248D5D46}"/>
              </a:ext>
            </a:extLst>
          </xdr:cNvPr>
          <xdr:cNvSpPr/>
        </xdr:nvSpPr>
        <xdr:spPr>
          <a:xfrm>
            <a:off x="3450889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7" name="Forma Livre: Forma 126">
            <a:extLst>
              <a:ext uri="{FF2B5EF4-FFF2-40B4-BE49-F238E27FC236}">
                <a16:creationId xmlns:a16="http://schemas.microsoft.com/office/drawing/2014/main" id="{AD80369A-18E0-480B-A4F5-53B9C483F54C}"/>
              </a:ext>
            </a:extLst>
          </xdr:cNvPr>
          <xdr:cNvSpPr/>
        </xdr:nvSpPr>
        <xdr:spPr>
          <a:xfrm>
            <a:off x="3450889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8" name="Forma Livre: Forma 127">
            <a:extLst>
              <a:ext uri="{FF2B5EF4-FFF2-40B4-BE49-F238E27FC236}">
                <a16:creationId xmlns:a16="http://schemas.microsoft.com/office/drawing/2014/main" id="{05CFB2B7-579C-4AAA-87DE-E6B9E981C991}"/>
              </a:ext>
            </a:extLst>
          </xdr:cNvPr>
          <xdr:cNvSpPr/>
        </xdr:nvSpPr>
        <xdr:spPr>
          <a:xfrm>
            <a:off x="3450889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9" name="Forma Livre: Forma 128">
            <a:extLst>
              <a:ext uri="{FF2B5EF4-FFF2-40B4-BE49-F238E27FC236}">
                <a16:creationId xmlns:a16="http://schemas.microsoft.com/office/drawing/2014/main" id="{5EC7782E-F567-4F65-A8B1-500C916D3CC8}"/>
              </a:ext>
            </a:extLst>
          </xdr:cNvPr>
          <xdr:cNvSpPr/>
        </xdr:nvSpPr>
        <xdr:spPr>
          <a:xfrm>
            <a:off x="3450889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0" name="Forma Livre: Forma 129">
            <a:extLst>
              <a:ext uri="{FF2B5EF4-FFF2-40B4-BE49-F238E27FC236}">
                <a16:creationId xmlns:a16="http://schemas.microsoft.com/office/drawing/2014/main" id="{2AA5017D-5F2C-4FD7-9FE5-6E13909A7AAC}"/>
              </a:ext>
            </a:extLst>
          </xdr:cNvPr>
          <xdr:cNvSpPr/>
        </xdr:nvSpPr>
        <xdr:spPr>
          <a:xfrm>
            <a:off x="3450889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1" name="Forma Livre: Forma 130">
            <a:extLst>
              <a:ext uri="{FF2B5EF4-FFF2-40B4-BE49-F238E27FC236}">
                <a16:creationId xmlns:a16="http://schemas.microsoft.com/office/drawing/2014/main" id="{02EBEE06-0D5B-416D-8FA2-46859232F566}"/>
              </a:ext>
            </a:extLst>
          </xdr:cNvPr>
          <xdr:cNvSpPr/>
        </xdr:nvSpPr>
        <xdr:spPr>
          <a:xfrm>
            <a:off x="3612095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2" name="Forma Livre: Forma 131">
            <a:extLst>
              <a:ext uri="{FF2B5EF4-FFF2-40B4-BE49-F238E27FC236}">
                <a16:creationId xmlns:a16="http://schemas.microsoft.com/office/drawing/2014/main" id="{E072BC00-152E-43AC-9D96-C866813492D9}"/>
              </a:ext>
            </a:extLst>
          </xdr:cNvPr>
          <xdr:cNvSpPr/>
        </xdr:nvSpPr>
        <xdr:spPr>
          <a:xfrm>
            <a:off x="3612095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3" name="Forma Livre: Forma 132">
            <a:extLst>
              <a:ext uri="{FF2B5EF4-FFF2-40B4-BE49-F238E27FC236}">
                <a16:creationId xmlns:a16="http://schemas.microsoft.com/office/drawing/2014/main" id="{5EBD17CD-242F-45DF-8EE2-9ECF61C16102}"/>
              </a:ext>
            </a:extLst>
          </xdr:cNvPr>
          <xdr:cNvSpPr/>
        </xdr:nvSpPr>
        <xdr:spPr>
          <a:xfrm>
            <a:off x="3612095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4" name="Forma Livre: Forma 133">
            <a:extLst>
              <a:ext uri="{FF2B5EF4-FFF2-40B4-BE49-F238E27FC236}">
                <a16:creationId xmlns:a16="http://schemas.microsoft.com/office/drawing/2014/main" id="{212617C8-6D33-4522-940A-BEE56EBC265D}"/>
              </a:ext>
            </a:extLst>
          </xdr:cNvPr>
          <xdr:cNvSpPr/>
        </xdr:nvSpPr>
        <xdr:spPr>
          <a:xfrm>
            <a:off x="3612095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5" name="Forma Livre: Forma 134">
            <a:extLst>
              <a:ext uri="{FF2B5EF4-FFF2-40B4-BE49-F238E27FC236}">
                <a16:creationId xmlns:a16="http://schemas.microsoft.com/office/drawing/2014/main" id="{65286D84-CA35-4D68-89EB-1986EA44B84E}"/>
              </a:ext>
            </a:extLst>
          </xdr:cNvPr>
          <xdr:cNvSpPr/>
        </xdr:nvSpPr>
        <xdr:spPr>
          <a:xfrm>
            <a:off x="3612095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6" name="Forma Livre: Forma 135">
            <a:extLst>
              <a:ext uri="{FF2B5EF4-FFF2-40B4-BE49-F238E27FC236}">
                <a16:creationId xmlns:a16="http://schemas.microsoft.com/office/drawing/2014/main" id="{9BB275C2-544F-4514-B116-2A5E5205EB7F}"/>
              </a:ext>
            </a:extLst>
          </xdr:cNvPr>
          <xdr:cNvSpPr/>
        </xdr:nvSpPr>
        <xdr:spPr>
          <a:xfrm>
            <a:off x="3773302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7" name="Forma Livre: Forma 136">
            <a:extLst>
              <a:ext uri="{FF2B5EF4-FFF2-40B4-BE49-F238E27FC236}">
                <a16:creationId xmlns:a16="http://schemas.microsoft.com/office/drawing/2014/main" id="{6F42613E-6709-4D9A-BA84-B8FFBD53FF93}"/>
              </a:ext>
            </a:extLst>
          </xdr:cNvPr>
          <xdr:cNvSpPr/>
        </xdr:nvSpPr>
        <xdr:spPr>
          <a:xfrm>
            <a:off x="3773302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8" name="Forma Livre: Forma 137">
            <a:extLst>
              <a:ext uri="{FF2B5EF4-FFF2-40B4-BE49-F238E27FC236}">
                <a16:creationId xmlns:a16="http://schemas.microsoft.com/office/drawing/2014/main" id="{D66F7D47-04DF-4006-907D-EC84DA7B4358}"/>
              </a:ext>
            </a:extLst>
          </xdr:cNvPr>
          <xdr:cNvSpPr/>
        </xdr:nvSpPr>
        <xdr:spPr>
          <a:xfrm>
            <a:off x="3773302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9" name="Forma Livre: Forma 138">
            <a:extLst>
              <a:ext uri="{FF2B5EF4-FFF2-40B4-BE49-F238E27FC236}">
                <a16:creationId xmlns:a16="http://schemas.microsoft.com/office/drawing/2014/main" id="{423084FF-827C-4658-A652-522D153ADFE6}"/>
              </a:ext>
            </a:extLst>
          </xdr:cNvPr>
          <xdr:cNvSpPr/>
        </xdr:nvSpPr>
        <xdr:spPr>
          <a:xfrm>
            <a:off x="3773302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0" name="Forma Livre: Forma 139">
            <a:extLst>
              <a:ext uri="{FF2B5EF4-FFF2-40B4-BE49-F238E27FC236}">
                <a16:creationId xmlns:a16="http://schemas.microsoft.com/office/drawing/2014/main" id="{A666C212-EAC5-45EC-A78D-0292118074E7}"/>
              </a:ext>
            </a:extLst>
          </xdr:cNvPr>
          <xdr:cNvSpPr/>
        </xdr:nvSpPr>
        <xdr:spPr>
          <a:xfrm>
            <a:off x="3773302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1" name="Forma Livre: Forma 140">
            <a:extLst>
              <a:ext uri="{FF2B5EF4-FFF2-40B4-BE49-F238E27FC236}">
                <a16:creationId xmlns:a16="http://schemas.microsoft.com/office/drawing/2014/main" id="{55B5C8A1-88C4-4763-A5B1-4828A65A968D}"/>
              </a:ext>
            </a:extLst>
          </xdr:cNvPr>
          <xdr:cNvSpPr/>
        </xdr:nvSpPr>
        <xdr:spPr>
          <a:xfrm>
            <a:off x="393450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2" name="Forma Livre: Forma 141">
            <a:extLst>
              <a:ext uri="{FF2B5EF4-FFF2-40B4-BE49-F238E27FC236}">
                <a16:creationId xmlns:a16="http://schemas.microsoft.com/office/drawing/2014/main" id="{2513ADE7-5E14-4AA4-90BB-799DA28A7D44}"/>
              </a:ext>
            </a:extLst>
          </xdr:cNvPr>
          <xdr:cNvSpPr/>
        </xdr:nvSpPr>
        <xdr:spPr>
          <a:xfrm>
            <a:off x="393450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3" name="Forma Livre: Forma 142">
            <a:extLst>
              <a:ext uri="{FF2B5EF4-FFF2-40B4-BE49-F238E27FC236}">
                <a16:creationId xmlns:a16="http://schemas.microsoft.com/office/drawing/2014/main" id="{AEF4FFDE-68AE-4855-9E2B-EDD85DA6F059}"/>
              </a:ext>
            </a:extLst>
          </xdr:cNvPr>
          <xdr:cNvSpPr/>
        </xdr:nvSpPr>
        <xdr:spPr>
          <a:xfrm>
            <a:off x="393450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4" name="Forma Livre: Forma 143">
            <a:extLst>
              <a:ext uri="{FF2B5EF4-FFF2-40B4-BE49-F238E27FC236}">
                <a16:creationId xmlns:a16="http://schemas.microsoft.com/office/drawing/2014/main" id="{5539689D-CDC7-49C3-8996-CB2C6B0EA078}"/>
              </a:ext>
            </a:extLst>
          </xdr:cNvPr>
          <xdr:cNvSpPr/>
        </xdr:nvSpPr>
        <xdr:spPr>
          <a:xfrm>
            <a:off x="393450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5" name="Forma Livre: Forma 144">
            <a:extLst>
              <a:ext uri="{FF2B5EF4-FFF2-40B4-BE49-F238E27FC236}">
                <a16:creationId xmlns:a16="http://schemas.microsoft.com/office/drawing/2014/main" id="{EE3A248E-C768-4ABB-B391-7E01A8A3611B}"/>
              </a:ext>
            </a:extLst>
          </xdr:cNvPr>
          <xdr:cNvSpPr/>
        </xdr:nvSpPr>
        <xdr:spPr>
          <a:xfrm>
            <a:off x="393450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6" name="Forma Livre: Forma 145">
            <a:extLst>
              <a:ext uri="{FF2B5EF4-FFF2-40B4-BE49-F238E27FC236}">
                <a16:creationId xmlns:a16="http://schemas.microsoft.com/office/drawing/2014/main" id="{AB6F4AA3-0029-4572-B4C1-BFF8ACAC1B6C}"/>
              </a:ext>
            </a:extLst>
          </xdr:cNvPr>
          <xdr:cNvSpPr/>
        </xdr:nvSpPr>
        <xdr:spPr>
          <a:xfrm>
            <a:off x="4095715" y="6421220"/>
            <a:ext cx="80554" cy="68479"/>
          </a:xfrm>
          <a:custGeom>
            <a:avLst/>
            <a:gdLst>
              <a:gd name="connsiteX0" fmla="*/ 115134 w 115133"/>
              <a:gd name="connsiteY0" fmla="*/ 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7" name="Forma Livre: Forma 146">
            <a:extLst>
              <a:ext uri="{FF2B5EF4-FFF2-40B4-BE49-F238E27FC236}">
                <a16:creationId xmlns:a16="http://schemas.microsoft.com/office/drawing/2014/main" id="{45A9396C-FA5A-4674-9F17-CBC15F1F1F94}"/>
              </a:ext>
            </a:extLst>
          </xdr:cNvPr>
          <xdr:cNvSpPr/>
        </xdr:nvSpPr>
        <xdr:spPr>
          <a:xfrm>
            <a:off x="4095715" y="6169837"/>
            <a:ext cx="80554" cy="223903"/>
          </a:xfrm>
          <a:custGeom>
            <a:avLst/>
            <a:gdLst>
              <a:gd name="connsiteX0" fmla="*/ 0 w 115133"/>
              <a:gd name="connsiteY0" fmla="*/ 320017 h 320016"/>
              <a:gd name="connsiteX1" fmla="*/ 0 w 115133"/>
              <a:gd name="connsiteY1" fmla="*/ 0 h 320016"/>
              <a:gd name="connsiteX2" fmla="*/ 115134 w 115133"/>
              <a:gd name="connsiteY2" fmla="*/ 0 h 320016"/>
              <a:gd name="connsiteX3" fmla="*/ 115134 w 115133"/>
              <a:gd name="connsiteY3" fmla="*/ 320017 h 3200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0016">
                <a:moveTo>
                  <a:pt x="0" y="320017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0017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8" name="Forma Livre: Forma 147">
            <a:extLst>
              <a:ext uri="{FF2B5EF4-FFF2-40B4-BE49-F238E27FC236}">
                <a16:creationId xmlns:a16="http://schemas.microsoft.com/office/drawing/2014/main" id="{2CEC7936-F035-4DFC-B511-2F158AA60F33}"/>
              </a:ext>
            </a:extLst>
          </xdr:cNvPr>
          <xdr:cNvSpPr/>
        </xdr:nvSpPr>
        <xdr:spPr>
          <a:xfrm>
            <a:off x="4095715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9" name="Forma Livre: Forma 148">
            <a:extLst>
              <a:ext uri="{FF2B5EF4-FFF2-40B4-BE49-F238E27FC236}">
                <a16:creationId xmlns:a16="http://schemas.microsoft.com/office/drawing/2014/main" id="{2D5478D9-A21A-4817-960F-90BA4DA8F3F3}"/>
              </a:ext>
            </a:extLst>
          </xdr:cNvPr>
          <xdr:cNvSpPr/>
        </xdr:nvSpPr>
        <xdr:spPr>
          <a:xfrm>
            <a:off x="4095715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0" name="Forma Livre: Forma 149">
            <a:extLst>
              <a:ext uri="{FF2B5EF4-FFF2-40B4-BE49-F238E27FC236}">
                <a16:creationId xmlns:a16="http://schemas.microsoft.com/office/drawing/2014/main" id="{3C2AAEF1-7C2F-4F44-804E-F3DAA860CF53}"/>
              </a:ext>
            </a:extLst>
          </xdr:cNvPr>
          <xdr:cNvSpPr/>
        </xdr:nvSpPr>
        <xdr:spPr>
          <a:xfrm>
            <a:off x="4095715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1" name="Forma Livre: Forma 150">
            <a:extLst>
              <a:ext uri="{FF2B5EF4-FFF2-40B4-BE49-F238E27FC236}">
                <a16:creationId xmlns:a16="http://schemas.microsoft.com/office/drawing/2014/main" id="{9D440979-7FE5-4AEB-9860-EEFD79220247}"/>
              </a:ext>
            </a:extLst>
          </xdr:cNvPr>
          <xdr:cNvSpPr/>
        </xdr:nvSpPr>
        <xdr:spPr>
          <a:xfrm>
            <a:off x="4095715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2" name="Forma Livre: Forma 151">
            <a:extLst>
              <a:ext uri="{FF2B5EF4-FFF2-40B4-BE49-F238E27FC236}">
                <a16:creationId xmlns:a16="http://schemas.microsoft.com/office/drawing/2014/main" id="{0B398807-1A2E-4439-83CF-40776A843B6D}"/>
              </a:ext>
            </a:extLst>
          </xdr:cNvPr>
          <xdr:cNvSpPr/>
        </xdr:nvSpPr>
        <xdr:spPr>
          <a:xfrm>
            <a:off x="4256921" y="6421220"/>
            <a:ext cx="80554" cy="68479"/>
          </a:xfrm>
          <a:custGeom>
            <a:avLst/>
            <a:gdLst>
              <a:gd name="connsiteX0" fmla="*/ 115134 w 115133"/>
              <a:gd name="connsiteY0" fmla="*/ 110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110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3" name="Forma Livre: Forma 152">
            <a:extLst>
              <a:ext uri="{FF2B5EF4-FFF2-40B4-BE49-F238E27FC236}">
                <a16:creationId xmlns:a16="http://schemas.microsoft.com/office/drawing/2014/main" id="{804F633D-D845-4E65-9DC4-99584F7D69FD}"/>
              </a:ext>
            </a:extLst>
          </xdr:cNvPr>
          <xdr:cNvSpPr/>
        </xdr:nvSpPr>
        <xdr:spPr>
          <a:xfrm>
            <a:off x="4256921" y="6169837"/>
            <a:ext cx="80554" cy="226211"/>
          </a:xfrm>
          <a:custGeom>
            <a:avLst/>
            <a:gdLst>
              <a:gd name="connsiteX0" fmla="*/ 0 w 115133"/>
              <a:gd name="connsiteY0" fmla="*/ 323316 h 323315"/>
              <a:gd name="connsiteX1" fmla="*/ 0 w 115133"/>
              <a:gd name="connsiteY1" fmla="*/ 0 h 323315"/>
              <a:gd name="connsiteX2" fmla="*/ 115134 w 115133"/>
              <a:gd name="connsiteY2" fmla="*/ 0 h 323315"/>
              <a:gd name="connsiteX3" fmla="*/ 115134 w 115133"/>
              <a:gd name="connsiteY3" fmla="*/ 323316 h 323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3315">
                <a:moveTo>
                  <a:pt x="0" y="323316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3316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4" name="Forma Livre: Forma 153">
            <a:extLst>
              <a:ext uri="{FF2B5EF4-FFF2-40B4-BE49-F238E27FC236}">
                <a16:creationId xmlns:a16="http://schemas.microsoft.com/office/drawing/2014/main" id="{32412B4A-4EEA-4380-90FE-1977AB77BC21}"/>
              </a:ext>
            </a:extLst>
          </xdr:cNvPr>
          <xdr:cNvSpPr/>
        </xdr:nvSpPr>
        <xdr:spPr>
          <a:xfrm>
            <a:off x="4256921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5" name="Forma Livre: Forma 154">
            <a:extLst>
              <a:ext uri="{FF2B5EF4-FFF2-40B4-BE49-F238E27FC236}">
                <a16:creationId xmlns:a16="http://schemas.microsoft.com/office/drawing/2014/main" id="{FECE08F3-298F-4576-A8DA-58C00FD8DAE0}"/>
              </a:ext>
            </a:extLst>
          </xdr:cNvPr>
          <xdr:cNvSpPr/>
        </xdr:nvSpPr>
        <xdr:spPr>
          <a:xfrm>
            <a:off x="4256921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6" name="Forma Livre: Forma 155">
            <a:extLst>
              <a:ext uri="{FF2B5EF4-FFF2-40B4-BE49-F238E27FC236}">
                <a16:creationId xmlns:a16="http://schemas.microsoft.com/office/drawing/2014/main" id="{572B6B6E-53D0-4D68-AC1C-1AF5FD45112F}"/>
              </a:ext>
            </a:extLst>
          </xdr:cNvPr>
          <xdr:cNvSpPr/>
        </xdr:nvSpPr>
        <xdr:spPr>
          <a:xfrm>
            <a:off x="4256921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7" name="Forma Livre: Forma 156">
            <a:extLst>
              <a:ext uri="{FF2B5EF4-FFF2-40B4-BE49-F238E27FC236}">
                <a16:creationId xmlns:a16="http://schemas.microsoft.com/office/drawing/2014/main" id="{6FE5C211-EF9E-4AA6-9DB7-D699A1698FDA}"/>
              </a:ext>
            </a:extLst>
          </xdr:cNvPr>
          <xdr:cNvSpPr/>
        </xdr:nvSpPr>
        <xdr:spPr>
          <a:xfrm>
            <a:off x="425692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8" name="Forma Livre: Forma 157">
            <a:extLst>
              <a:ext uri="{FF2B5EF4-FFF2-40B4-BE49-F238E27FC236}">
                <a16:creationId xmlns:a16="http://schemas.microsoft.com/office/drawing/2014/main" id="{B3CC4061-0C0C-45E9-B9CF-1B860796DDB7}"/>
              </a:ext>
            </a:extLst>
          </xdr:cNvPr>
          <xdr:cNvSpPr/>
        </xdr:nvSpPr>
        <xdr:spPr>
          <a:xfrm>
            <a:off x="441812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9" name="Forma Livre: Forma 158">
            <a:extLst>
              <a:ext uri="{FF2B5EF4-FFF2-40B4-BE49-F238E27FC236}">
                <a16:creationId xmlns:a16="http://schemas.microsoft.com/office/drawing/2014/main" id="{8E593640-4187-4AF4-B33B-AD54728DA7BC}"/>
              </a:ext>
            </a:extLst>
          </xdr:cNvPr>
          <xdr:cNvSpPr/>
        </xdr:nvSpPr>
        <xdr:spPr>
          <a:xfrm>
            <a:off x="441812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0" name="Forma Livre: Forma 159">
            <a:extLst>
              <a:ext uri="{FF2B5EF4-FFF2-40B4-BE49-F238E27FC236}">
                <a16:creationId xmlns:a16="http://schemas.microsoft.com/office/drawing/2014/main" id="{B4A152F9-543F-44F5-8484-E6FF030144FF}"/>
              </a:ext>
            </a:extLst>
          </xdr:cNvPr>
          <xdr:cNvSpPr/>
        </xdr:nvSpPr>
        <xdr:spPr>
          <a:xfrm>
            <a:off x="441812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1" name="Forma Livre: Forma 160">
            <a:extLst>
              <a:ext uri="{FF2B5EF4-FFF2-40B4-BE49-F238E27FC236}">
                <a16:creationId xmlns:a16="http://schemas.microsoft.com/office/drawing/2014/main" id="{FF5EB026-2D4C-4DCE-A6DE-CA4FABD7673E}"/>
              </a:ext>
            </a:extLst>
          </xdr:cNvPr>
          <xdr:cNvSpPr/>
        </xdr:nvSpPr>
        <xdr:spPr>
          <a:xfrm>
            <a:off x="441812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2" name="Forma Livre: Forma 161">
            <a:extLst>
              <a:ext uri="{FF2B5EF4-FFF2-40B4-BE49-F238E27FC236}">
                <a16:creationId xmlns:a16="http://schemas.microsoft.com/office/drawing/2014/main" id="{D326ED37-3546-4C21-A6BD-BC6307FEE215}"/>
              </a:ext>
            </a:extLst>
          </xdr:cNvPr>
          <xdr:cNvSpPr/>
        </xdr:nvSpPr>
        <xdr:spPr>
          <a:xfrm>
            <a:off x="441812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3" name="Forma Livre: Forma 162">
            <a:extLst>
              <a:ext uri="{FF2B5EF4-FFF2-40B4-BE49-F238E27FC236}">
                <a16:creationId xmlns:a16="http://schemas.microsoft.com/office/drawing/2014/main" id="{5EDD0A9E-8A06-4C07-BD10-2BA786A4FAAE}"/>
              </a:ext>
            </a:extLst>
          </xdr:cNvPr>
          <xdr:cNvSpPr/>
        </xdr:nvSpPr>
        <xdr:spPr>
          <a:xfrm>
            <a:off x="3289683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4" name="Forma Livre: Forma 163">
            <a:extLst>
              <a:ext uri="{FF2B5EF4-FFF2-40B4-BE49-F238E27FC236}">
                <a16:creationId xmlns:a16="http://schemas.microsoft.com/office/drawing/2014/main" id="{A8DCC01C-93A4-4A9D-9C31-2B5955EDD344}"/>
              </a:ext>
            </a:extLst>
          </xdr:cNvPr>
          <xdr:cNvSpPr/>
        </xdr:nvSpPr>
        <xdr:spPr>
          <a:xfrm>
            <a:off x="328968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5" name="Forma Livre: Forma 164">
            <a:extLst>
              <a:ext uri="{FF2B5EF4-FFF2-40B4-BE49-F238E27FC236}">
                <a16:creationId xmlns:a16="http://schemas.microsoft.com/office/drawing/2014/main" id="{6B315478-19F1-40E2-AFEE-EAEBAF3FD820}"/>
              </a:ext>
            </a:extLst>
          </xdr:cNvPr>
          <xdr:cNvSpPr/>
        </xdr:nvSpPr>
        <xdr:spPr>
          <a:xfrm>
            <a:off x="328968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6" name="Forma Livre: Forma 165">
            <a:extLst>
              <a:ext uri="{FF2B5EF4-FFF2-40B4-BE49-F238E27FC236}">
                <a16:creationId xmlns:a16="http://schemas.microsoft.com/office/drawing/2014/main" id="{B593A442-FC75-44D2-B208-F6F8C9BF3C55}"/>
              </a:ext>
            </a:extLst>
          </xdr:cNvPr>
          <xdr:cNvSpPr/>
        </xdr:nvSpPr>
        <xdr:spPr>
          <a:xfrm>
            <a:off x="328968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7" name="Forma Livre: Forma 166">
            <a:extLst>
              <a:ext uri="{FF2B5EF4-FFF2-40B4-BE49-F238E27FC236}">
                <a16:creationId xmlns:a16="http://schemas.microsoft.com/office/drawing/2014/main" id="{0F276796-18A4-44E2-9843-ACC04E0E2FA1}"/>
              </a:ext>
            </a:extLst>
          </xdr:cNvPr>
          <xdr:cNvSpPr/>
        </xdr:nvSpPr>
        <xdr:spPr>
          <a:xfrm>
            <a:off x="3289683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8" name="Forma Livre: Forma 167">
            <a:extLst>
              <a:ext uri="{FF2B5EF4-FFF2-40B4-BE49-F238E27FC236}">
                <a16:creationId xmlns:a16="http://schemas.microsoft.com/office/drawing/2014/main" id="{E969CB48-357A-4646-86B9-F861D8E3909F}"/>
              </a:ext>
            </a:extLst>
          </xdr:cNvPr>
          <xdr:cNvSpPr/>
        </xdr:nvSpPr>
        <xdr:spPr>
          <a:xfrm>
            <a:off x="3450889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9" name="Forma Livre: Forma 168">
            <a:extLst>
              <a:ext uri="{FF2B5EF4-FFF2-40B4-BE49-F238E27FC236}">
                <a16:creationId xmlns:a16="http://schemas.microsoft.com/office/drawing/2014/main" id="{D430BE4C-40BC-433D-A4F7-915771151E1F}"/>
              </a:ext>
            </a:extLst>
          </xdr:cNvPr>
          <xdr:cNvSpPr/>
        </xdr:nvSpPr>
        <xdr:spPr>
          <a:xfrm>
            <a:off x="3450889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0" name="Forma Livre: Forma 169">
            <a:extLst>
              <a:ext uri="{FF2B5EF4-FFF2-40B4-BE49-F238E27FC236}">
                <a16:creationId xmlns:a16="http://schemas.microsoft.com/office/drawing/2014/main" id="{892B7040-788B-4B0D-B4DF-E1D4935859F0}"/>
              </a:ext>
            </a:extLst>
          </xdr:cNvPr>
          <xdr:cNvSpPr/>
        </xdr:nvSpPr>
        <xdr:spPr>
          <a:xfrm>
            <a:off x="3612095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1" name="Forma Livre: Forma 170">
            <a:extLst>
              <a:ext uri="{FF2B5EF4-FFF2-40B4-BE49-F238E27FC236}">
                <a16:creationId xmlns:a16="http://schemas.microsoft.com/office/drawing/2014/main" id="{79AA0869-EC37-463F-896B-C8B5FF6E5580}"/>
              </a:ext>
            </a:extLst>
          </xdr:cNvPr>
          <xdr:cNvSpPr/>
        </xdr:nvSpPr>
        <xdr:spPr>
          <a:xfrm>
            <a:off x="3612095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2" name="Forma Livre: Forma 171">
            <a:extLst>
              <a:ext uri="{FF2B5EF4-FFF2-40B4-BE49-F238E27FC236}">
                <a16:creationId xmlns:a16="http://schemas.microsoft.com/office/drawing/2014/main" id="{2BBB2CA9-FD06-490A-A62B-2579D5CBF1B2}"/>
              </a:ext>
            </a:extLst>
          </xdr:cNvPr>
          <xdr:cNvSpPr/>
        </xdr:nvSpPr>
        <xdr:spPr>
          <a:xfrm>
            <a:off x="3773302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3" name="Forma Livre: Forma 172">
            <a:extLst>
              <a:ext uri="{FF2B5EF4-FFF2-40B4-BE49-F238E27FC236}">
                <a16:creationId xmlns:a16="http://schemas.microsoft.com/office/drawing/2014/main" id="{A6B77E34-91DE-4B0B-9DE5-A3086F49A671}"/>
              </a:ext>
            </a:extLst>
          </xdr:cNvPr>
          <xdr:cNvSpPr/>
        </xdr:nvSpPr>
        <xdr:spPr>
          <a:xfrm>
            <a:off x="3773302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4" name="Forma Livre: Forma 173">
            <a:extLst>
              <a:ext uri="{FF2B5EF4-FFF2-40B4-BE49-F238E27FC236}">
                <a16:creationId xmlns:a16="http://schemas.microsoft.com/office/drawing/2014/main" id="{3D5E6329-8C27-4893-925C-A98C97EFE040}"/>
              </a:ext>
            </a:extLst>
          </xdr:cNvPr>
          <xdr:cNvSpPr/>
        </xdr:nvSpPr>
        <xdr:spPr>
          <a:xfrm>
            <a:off x="3773302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5" name="Forma Livre: Forma 174">
            <a:extLst>
              <a:ext uri="{FF2B5EF4-FFF2-40B4-BE49-F238E27FC236}">
                <a16:creationId xmlns:a16="http://schemas.microsoft.com/office/drawing/2014/main" id="{6105F858-FB3B-4715-A728-C35D42A1B9AE}"/>
              </a:ext>
            </a:extLst>
          </xdr:cNvPr>
          <xdr:cNvSpPr/>
        </xdr:nvSpPr>
        <xdr:spPr>
          <a:xfrm>
            <a:off x="3773302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6" name="Forma Livre: Forma 175">
            <a:extLst>
              <a:ext uri="{FF2B5EF4-FFF2-40B4-BE49-F238E27FC236}">
                <a16:creationId xmlns:a16="http://schemas.microsoft.com/office/drawing/2014/main" id="{854E26E5-FA6C-4000-BB15-2958977DC058}"/>
              </a:ext>
            </a:extLst>
          </xdr:cNvPr>
          <xdr:cNvSpPr/>
        </xdr:nvSpPr>
        <xdr:spPr>
          <a:xfrm>
            <a:off x="3773302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7" name="Forma Livre: Forma 176">
            <a:extLst>
              <a:ext uri="{FF2B5EF4-FFF2-40B4-BE49-F238E27FC236}">
                <a16:creationId xmlns:a16="http://schemas.microsoft.com/office/drawing/2014/main" id="{07238D90-98BA-4E29-B56A-595891610EF0}"/>
              </a:ext>
            </a:extLst>
          </xdr:cNvPr>
          <xdr:cNvSpPr/>
        </xdr:nvSpPr>
        <xdr:spPr>
          <a:xfrm>
            <a:off x="393450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8" name="Forma Livre: Forma 177">
            <a:extLst>
              <a:ext uri="{FF2B5EF4-FFF2-40B4-BE49-F238E27FC236}">
                <a16:creationId xmlns:a16="http://schemas.microsoft.com/office/drawing/2014/main" id="{FB72582C-1AF2-42CC-BB28-1D9BDE1AEF51}"/>
              </a:ext>
            </a:extLst>
          </xdr:cNvPr>
          <xdr:cNvSpPr/>
        </xdr:nvSpPr>
        <xdr:spPr>
          <a:xfrm>
            <a:off x="393450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9" name="Forma Livre: Forma 178">
            <a:extLst>
              <a:ext uri="{FF2B5EF4-FFF2-40B4-BE49-F238E27FC236}">
                <a16:creationId xmlns:a16="http://schemas.microsoft.com/office/drawing/2014/main" id="{CF2D704B-C0D1-472C-B2AD-2C3479C793C0}"/>
              </a:ext>
            </a:extLst>
          </xdr:cNvPr>
          <xdr:cNvSpPr/>
        </xdr:nvSpPr>
        <xdr:spPr>
          <a:xfrm>
            <a:off x="393450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0" name="Forma Livre: Forma 179">
            <a:extLst>
              <a:ext uri="{FF2B5EF4-FFF2-40B4-BE49-F238E27FC236}">
                <a16:creationId xmlns:a16="http://schemas.microsoft.com/office/drawing/2014/main" id="{CC18AB65-FD00-48DE-A5D1-3B67B7B5353A}"/>
              </a:ext>
            </a:extLst>
          </xdr:cNvPr>
          <xdr:cNvSpPr/>
        </xdr:nvSpPr>
        <xdr:spPr>
          <a:xfrm>
            <a:off x="393450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1" name="Forma Livre: Forma 180">
            <a:extLst>
              <a:ext uri="{FF2B5EF4-FFF2-40B4-BE49-F238E27FC236}">
                <a16:creationId xmlns:a16="http://schemas.microsoft.com/office/drawing/2014/main" id="{88C5ADC9-B966-46BD-BE63-1830C24F0191}"/>
              </a:ext>
            </a:extLst>
          </xdr:cNvPr>
          <xdr:cNvSpPr/>
        </xdr:nvSpPr>
        <xdr:spPr>
          <a:xfrm>
            <a:off x="393450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2" name="Forma Livre: Forma 181">
            <a:extLst>
              <a:ext uri="{FF2B5EF4-FFF2-40B4-BE49-F238E27FC236}">
                <a16:creationId xmlns:a16="http://schemas.microsoft.com/office/drawing/2014/main" id="{7F98E36D-75B0-4A65-9457-924256B27A54}"/>
              </a:ext>
            </a:extLst>
          </xdr:cNvPr>
          <xdr:cNvSpPr/>
        </xdr:nvSpPr>
        <xdr:spPr>
          <a:xfrm>
            <a:off x="4095715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3" name="Forma Livre: Forma 182">
            <a:extLst>
              <a:ext uri="{FF2B5EF4-FFF2-40B4-BE49-F238E27FC236}">
                <a16:creationId xmlns:a16="http://schemas.microsoft.com/office/drawing/2014/main" id="{6442C485-2075-4FC3-A673-7C86517FFE21}"/>
              </a:ext>
            </a:extLst>
          </xdr:cNvPr>
          <xdr:cNvSpPr/>
        </xdr:nvSpPr>
        <xdr:spPr>
          <a:xfrm>
            <a:off x="4095715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4" name="Forma Livre: Forma 183">
            <a:extLst>
              <a:ext uri="{FF2B5EF4-FFF2-40B4-BE49-F238E27FC236}">
                <a16:creationId xmlns:a16="http://schemas.microsoft.com/office/drawing/2014/main" id="{256F0A71-4247-4F47-9F7D-944F795F9ED2}"/>
              </a:ext>
            </a:extLst>
          </xdr:cNvPr>
          <xdr:cNvSpPr/>
        </xdr:nvSpPr>
        <xdr:spPr>
          <a:xfrm>
            <a:off x="425692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" name="Forma Livre: Forma 184">
            <a:extLst>
              <a:ext uri="{FF2B5EF4-FFF2-40B4-BE49-F238E27FC236}">
                <a16:creationId xmlns:a16="http://schemas.microsoft.com/office/drawing/2014/main" id="{E22EA4EE-13F1-4569-9226-F488AAF24634}"/>
              </a:ext>
            </a:extLst>
          </xdr:cNvPr>
          <xdr:cNvSpPr/>
        </xdr:nvSpPr>
        <xdr:spPr>
          <a:xfrm>
            <a:off x="425692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6" name="Forma Livre: Forma 185">
            <a:extLst>
              <a:ext uri="{FF2B5EF4-FFF2-40B4-BE49-F238E27FC236}">
                <a16:creationId xmlns:a16="http://schemas.microsoft.com/office/drawing/2014/main" id="{A42CD15E-903A-4209-93F0-0DB11E32D82D}"/>
              </a:ext>
            </a:extLst>
          </xdr:cNvPr>
          <xdr:cNvSpPr/>
        </xdr:nvSpPr>
        <xdr:spPr>
          <a:xfrm>
            <a:off x="441812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7" name="Forma Livre: Forma 186">
            <a:extLst>
              <a:ext uri="{FF2B5EF4-FFF2-40B4-BE49-F238E27FC236}">
                <a16:creationId xmlns:a16="http://schemas.microsoft.com/office/drawing/2014/main" id="{151435E5-5F63-48C6-8DC3-6660EE9D7C0C}"/>
              </a:ext>
            </a:extLst>
          </xdr:cNvPr>
          <xdr:cNvSpPr/>
        </xdr:nvSpPr>
        <xdr:spPr>
          <a:xfrm>
            <a:off x="441812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8" name="Forma Livre: Forma 187">
            <a:extLst>
              <a:ext uri="{FF2B5EF4-FFF2-40B4-BE49-F238E27FC236}">
                <a16:creationId xmlns:a16="http://schemas.microsoft.com/office/drawing/2014/main" id="{1B26EC1B-EA8C-4D51-A827-E67D81AD9DF9}"/>
              </a:ext>
            </a:extLst>
          </xdr:cNvPr>
          <xdr:cNvSpPr/>
        </xdr:nvSpPr>
        <xdr:spPr>
          <a:xfrm>
            <a:off x="441812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9" name="Forma Livre: Forma 188">
            <a:extLst>
              <a:ext uri="{FF2B5EF4-FFF2-40B4-BE49-F238E27FC236}">
                <a16:creationId xmlns:a16="http://schemas.microsoft.com/office/drawing/2014/main" id="{28FA4DE3-5AC2-458B-8BD4-4F0C9351CA4A}"/>
              </a:ext>
            </a:extLst>
          </xdr:cNvPr>
          <xdr:cNvSpPr/>
        </xdr:nvSpPr>
        <xdr:spPr>
          <a:xfrm>
            <a:off x="441812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0" name="Forma Livre: Forma 189">
            <a:extLst>
              <a:ext uri="{FF2B5EF4-FFF2-40B4-BE49-F238E27FC236}">
                <a16:creationId xmlns:a16="http://schemas.microsoft.com/office/drawing/2014/main" id="{097B89D8-38C1-41E3-92F5-2E5A9EF2EAB1}"/>
              </a:ext>
            </a:extLst>
          </xdr:cNvPr>
          <xdr:cNvSpPr/>
        </xdr:nvSpPr>
        <xdr:spPr>
          <a:xfrm>
            <a:off x="441812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1" name="Forma Livre: Forma 190">
            <a:extLst>
              <a:ext uri="{FF2B5EF4-FFF2-40B4-BE49-F238E27FC236}">
                <a16:creationId xmlns:a16="http://schemas.microsoft.com/office/drawing/2014/main" id="{A82D23BF-B3B9-44B0-B495-04C96D6CE51C}"/>
              </a:ext>
            </a:extLst>
          </xdr:cNvPr>
          <xdr:cNvSpPr/>
        </xdr:nvSpPr>
        <xdr:spPr>
          <a:xfrm>
            <a:off x="441812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2" name="Forma Livre: Forma 191">
            <a:extLst>
              <a:ext uri="{FF2B5EF4-FFF2-40B4-BE49-F238E27FC236}">
                <a16:creationId xmlns:a16="http://schemas.microsoft.com/office/drawing/2014/main" id="{9946D5A8-B47E-4B51-A2F5-7AFCCA729A5E}"/>
              </a:ext>
            </a:extLst>
          </xdr:cNvPr>
          <xdr:cNvSpPr/>
        </xdr:nvSpPr>
        <xdr:spPr>
          <a:xfrm>
            <a:off x="441812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3" name="Forma Livre: Forma 192">
            <a:extLst>
              <a:ext uri="{FF2B5EF4-FFF2-40B4-BE49-F238E27FC236}">
                <a16:creationId xmlns:a16="http://schemas.microsoft.com/office/drawing/2014/main" id="{78217C40-F7A5-4907-BC54-9F47C7477119}"/>
              </a:ext>
            </a:extLst>
          </xdr:cNvPr>
          <xdr:cNvSpPr/>
        </xdr:nvSpPr>
        <xdr:spPr>
          <a:xfrm>
            <a:off x="441812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4" name="Forma Livre: Forma 193">
            <a:extLst>
              <a:ext uri="{FF2B5EF4-FFF2-40B4-BE49-F238E27FC236}">
                <a16:creationId xmlns:a16="http://schemas.microsoft.com/office/drawing/2014/main" id="{BA721DD7-D1A9-4858-B969-B7DAD107D0B9}"/>
              </a:ext>
            </a:extLst>
          </xdr:cNvPr>
          <xdr:cNvSpPr/>
        </xdr:nvSpPr>
        <xdr:spPr>
          <a:xfrm>
            <a:off x="441812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5" name="Forma Livre: Forma 194">
            <a:extLst>
              <a:ext uri="{FF2B5EF4-FFF2-40B4-BE49-F238E27FC236}">
                <a16:creationId xmlns:a16="http://schemas.microsoft.com/office/drawing/2014/main" id="{DF11BBD3-2284-4216-92AE-5EFC0E2E192D}"/>
              </a:ext>
            </a:extLst>
          </xdr:cNvPr>
          <xdr:cNvSpPr/>
        </xdr:nvSpPr>
        <xdr:spPr>
          <a:xfrm>
            <a:off x="441812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6" name="Forma Livre: Forma 195">
            <a:extLst>
              <a:ext uri="{FF2B5EF4-FFF2-40B4-BE49-F238E27FC236}">
                <a16:creationId xmlns:a16="http://schemas.microsoft.com/office/drawing/2014/main" id="{EA71B9A3-38F3-4050-A5CA-51929AC30E85}"/>
              </a:ext>
            </a:extLst>
          </xdr:cNvPr>
          <xdr:cNvSpPr/>
        </xdr:nvSpPr>
        <xdr:spPr>
          <a:xfrm>
            <a:off x="4256921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7" name="Forma Livre: Forma 196">
            <a:extLst>
              <a:ext uri="{FF2B5EF4-FFF2-40B4-BE49-F238E27FC236}">
                <a16:creationId xmlns:a16="http://schemas.microsoft.com/office/drawing/2014/main" id="{CF122AEB-283E-4F4C-A3A7-5A956354FC57}"/>
              </a:ext>
            </a:extLst>
          </xdr:cNvPr>
          <xdr:cNvSpPr/>
        </xdr:nvSpPr>
        <xdr:spPr>
          <a:xfrm>
            <a:off x="4256921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8" name="Forma Livre: Forma 197">
            <a:extLst>
              <a:ext uri="{FF2B5EF4-FFF2-40B4-BE49-F238E27FC236}">
                <a16:creationId xmlns:a16="http://schemas.microsoft.com/office/drawing/2014/main" id="{631675B7-3855-4741-9D73-A06CBA24C6AA}"/>
              </a:ext>
            </a:extLst>
          </xdr:cNvPr>
          <xdr:cNvSpPr/>
        </xdr:nvSpPr>
        <xdr:spPr>
          <a:xfrm>
            <a:off x="425692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9" name="Forma Livre: Forma 198">
            <a:extLst>
              <a:ext uri="{FF2B5EF4-FFF2-40B4-BE49-F238E27FC236}">
                <a16:creationId xmlns:a16="http://schemas.microsoft.com/office/drawing/2014/main" id="{B4001FEA-93A5-4F0D-AC35-6ADEE58CA559}"/>
              </a:ext>
            </a:extLst>
          </xdr:cNvPr>
          <xdr:cNvSpPr/>
        </xdr:nvSpPr>
        <xdr:spPr>
          <a:xfrm>
            <a:off x="425692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0" name="Forma Livre: Forma 199">
            <a:extLst>
              <a:ext uri="{FF2B5EF4-FFF2-40B4-BE49-F238E27FC236}">
                <a16:creationId xmlns:a16="http://schemas.microsoft.com/office/drawing/2014/main" id="{EAC634FB-2558-4238-B0EF-D06920E86EC9}"/>
              </a:ext>
            </a:extLst>
          </xdr:cNvPr>
          <xdr:cNvSpPr/>
        </xdr:nvSpPr>
        <xdr:spPr>
          <a:xfrm>
            <a:off x="425692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1" name="Forma Livre: Forma 200">
            <a:extLst>
              <a:ext uri="{FF2B5EF4-FFF2-40B4-BE49-F238E27FC236}">
                <a16:creationId xmlns:a16="http://schemas.microsoft.com/office/drawing/2014/main" id="{5BE3598C-BFFF-4812-A969-0A939A47A857}"/>
              </a:ext>
            </a:extLst>
          </xdr:cNvPr>
          <xdr:cNvSpPr/>
        </xdr:nvSpPr>
        <xdr:spPr>
          <a:xfrm>
            <a:off x="409571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2" name="Forma Livre: Forma 201">
            <a:extLst>
              <a:ext uri="{FF2B5EF4-FFF2-40B4-BE49-F238E27FC236}">
                <a16:creationId xmlns:a16="http://schemas.microsoft.com/office/drawing/2014/main" id="{332761A1-01DF-4490-9DE8-148AA87E77F6}"/>
              </a:ext>
            </a:extLst>
          </xdr:cNvPr>
          <xdr:cNvSpPr/>
        </xdr:nvSpPr>
        <xdr:spPr>
          <a:xfrm>
            <a:off x="4095715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3" name="Forma Livre: Forma 202">
            <a:extLst>
              <a:ext uri="{FF2B5EF4-FFF2-40B4-BE49-F238E27FC236}">
                <a16:creationId xmlns:a16="http://schemas.microsoft.com/office/drawing/2014/main" id="{7C5A0DE2-0369-4ED6-B9A0-930600F9FC97}"/>
              </a:ext>
            </a:extLst>
          </xdr:cNvPr>
          <xdr:cNvSpPr/>
        </xdr:nvSpPr>
        <xdr:spPr>
          <a:xfrm>
            <a:off x="4095715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4" name="Forma Livre: Forma 203">
            <a:extLst>
              <a:ext uri="{FF2B5EF4-FFF2-40B4-BE49-F238E27FC236}">
                <a16:creationId xmlns:a16="http://schemas.microsoft.com/office/drawing/2014/main" id="{004C7CC8-4241-4CFF-B40D-6C91E870B588}"/>
              </a:ext>
            </a:extLst>
          </xdr:cNvPr>
          <xdr:cNvSpPr/>
        </xdr:nvSpPr>
        <xdr:spPr>
          <a:xfrm>
            <a:off x="4095715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5" name="Forma Livre: Forma 204">
            <a:extLst>
              <a:ext uri="{FF2B5EF4-FFF2-40B4-BE49-F238E27FC236}">
                <a16:creationId xmlns:a16="http://schemas.microsoft.com/office/drawing/2014/main" id="{0802B69A-56CA-4F51-910D-EC6E09483056}"/>
              </a:ext>
            </a:extLst>
          </xdr:cNvPr>
          <xdr:cNvSpPr/>
        </xdr:nvSpPr>
        <xdr:spPr>
          <a:xfrm>
            <a:off x="4095715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6" name="Forma Livre: Forma 205">
            <a:extLst>
              <a:ext uri="{FF2B5EF4-FFF2-40B4-BE49-F238E27FC236}">
                <a16:creationId xmlns:a16="http://schemas.microsoft.com/office/drawing/2014/main" id="{441CCFF3-8F44-4D40-B082-E60A6B2DD1E0}"/>
              </a:ext>
            </a:extLst>
          </xdr:cNvPr>
          <xdr:cNvSpPr/>
        </xdr:nvSpPr>
        <xdr:spPr>
          <a:xfrm>
            <a:off x="393450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7" name="Forma Livre: Forma 206">
            <a:extLst>
              <a:ext uri="{FF2B5EF4-FFF2-40B4-BE49-F238E27FC236}">
                <a16:creationId xmlns:a16="http://schemas.microsoft.com/office/drawing/2014/main" id="{73C90119-3507-432F-A22E-4D7733B4965B}"/>
              </a:ext>
            </a:extLst>
          </xdr:cNvPr>
          <xdr:cNvSpPr/>
        </xdr:nvSpPr>
        <xdr:spPr>
          <a:xfrm>
            <a:off x="393450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8" name="Forma Livre: Forma 207">
            <a:extLst>
              <a:ext uri="{FF2B5EF4-FFF2-40B4-BE49-F238E27FC236}">
                <a16:creationId xmlns:a16="http://schemas.microsoft.com/office/drawing/2014/main" id="{5C82991B-0DC5-42F4-87B4-24672D0EE233}"/>
              </a:ext>
            </a:extLst>
          </xdr:cNvPr>
          <xdr:cNvSpPr/>
        </xdr:nvSpPr>
        <xdr:spPr>
          <a:xfrm>
            <a:off x="393450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9" name="Forma Livre: Forma 208">
            <a:extLst>
              <a:ext uri="{FF2B5EF4-FFF2-40B4-BE49-F238E27FC236}">
                <a16:creationId xmlns:a16="http://schemas.microsoft.com/office/drawing/2014/main" id="{85B27B6C-BCA3-4D0A-B742-DF51E2547066}"/>
              </a:ext>
            </a:extLst>
          </xdr:cNvPr>
          <xdr:cNvSpPr/>
        </xdr:nvSpPr>
        <xdr:spPr>
          <a:xfrm>
            <a:off x="393450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0" name="Forma Livre: Forma 209">
            <a:extLst>
              <a:ext uri="{FF2B5EF4-FFF2-40B4-BE49-F238E27FC236}">
                <a16:creationId xmlns:a16="http://schemas.microsoft.com/office/drawing/2014/main" id="{17718C79-4B60-4DC5-BA60-8B6ED32D8ADD}"/>
              </a:ext>
            </a:extLst>
          </xdr:cNvPr>
          <xdr:cNvSpPr/>
        </xdr:nvSpPr>
        <xdr:spPr>
          <a:xfrm>
            <a:off x="393450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1" name="Forma Livre: Forma 210">
            <a:extLst>
              <a:ext uri="{FF2B5EF4-FFF2-40B4-BE49-F238E27FC236}">
                <a16:creationId xmlns:a16="http://schemas.microsoft.com/office/drawing/2014/main" id="{E590B456-08B0-4F1B-9617-232863863532}"/>
              </a:ext>
            </a:extLst>
          </xdr:cNvPr>
          <xdr:cNvSpPr/>
        </xdr:nvSpPr>
        <xdr:spPr>
          <a:xfrm>
            <a:off x="3773302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2" name="Forma Livre: Forma 211">
            <a:extLst>
              <a:ext uri="{FF2B5EF4-FFF2-40B4-BE49-F238E27FC236}">
                <a16:creationId xmlns:a16="http://schemas.microsoft.com/office/drawing/2014/main" id="{DEF71540-20E9-4F87-88B7-66D3D7D03FE2}"/>
              </a:ext>
            </a:extLst>
          </xdr:cNvPr>
          <xdr:cNvSpPr/>
        </xdr:nvSpPr>
        <xdr:spPr>
          <a:xfrm>
            <a:off x="3773302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3" name="Forma Livre: Forma 212">
            <a:extLst>
              <a:ext uri="{FF2B5EF4-FFF2-40B4-BE49-F238E27FC236}">
                <a16:creationId xmlns:a16="http://schemas.microsoft.com/office/drawing/2014/main" id="{3A5A71EB-9D36-41DB-8580-53E1A075E50C}"/>
              </a:ext>
            </a:extLst>
          </xdr:cNvPr>
          <xdr:cNvSpPr/>
        </xdr:nvSpPr>
        <xdr:spPr>
          <a:xfrm>
            <a:off x="3773302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4" name="Forma Livre: Forma 213">
            <a:extLst>
              <a:ext uri="{FF2B5EF4-FFF2-40B4-BE49-F238E27FC236}">
                <a16:creationId xmlns:a16="http://schemas.microsoft.com/office/drawing/2014/main" id="{788A2AE6-D119-4585-97A7-0B98CE766814}"/>
              </a:ext>
            </a:extLst>
          </xdr:cNvPr>
          <xdr:cNvSpPr/>
        </xdr:nvSpPr>
        <xdr:spPr>
          <a:xfrm>
            <a:off x="3773302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5" name="Forma Livre: Forma 214">
            <a:extLst>
              <a:ext uri="{FF2B5EF4-FFF2-40B4-BE49-F238E27FC236}">
                <a16:creationId xmlns:a16="http://schemas.microsoft.com/office/drawing/2014/main" id="{C1547BF8-1E13-41EB-9174-2FE91DD75263}"/>
              </a:ext>
            </a:extLst>
          </xdr:cNvPr>
          <xdr:cNvSpPr/>
        </xdr:nvSpPr>
        <xdr:spPr>
          <a:xfrm>
            <a:off x="3773302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6" name="Forma Livre: Forma 215">
            <a:extLst>
              <a:ext uri="{FF2B5EF4-FFF2-40B4-BE49-F238E27FC236}">
                <a16:creationId xmlns:a16="http://schemas.microsoft.com/office/drawing/2014/main" id="{539EBF38-53B1-4447-9EBB-8042EB142906}"/>
              </a:ext>
            </a:extLst>
          </xdr:cNvPr>
          <xdr:cNvSpPr/>
        </xdr:nvSpPr>
        <xdr:spPr>
          <a:xfrm>
            <a:off x="361209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7" name="Forma Livre: Forma 216">
            <a:extLst>
              <a:ext uri="{FF2B5EF4-FFF2-40B4-BE49-F238E27FC236}">
                <a16:creationId xmlns:a16="http://schemas.microsoft.com/office/drawing/2014/main" id="{959BE2E8-364D-4E1D-8973-1A0A221745AB}"/>
              </a:ext>
            </a:extLst>
          </xdr:cNvPr>
          <xdr:cNvSpPr/>
        </xdr:nvSpPr>
        <xdr:spPr>
          <a:xfrm>
            <a:off x="3612095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8" name="Forma Livre: Forma 217">
            <a:extLst>
              <a:ext uri="{FF2B5EF4-FFF2-40B4-BE49-F238E27FC236}">
                <a16:creationId xmlns:a16="http://schemas.microsoft.com/office/drawing/2014/main" id="{18B0145F-D882-4CCA-8F8E-0503A89DBA3F}"/>
              </a:ext>
            </a:extLst>
          </xdr:cNvPr>
          <xdr:cNvSpPr/>
        </xdr:nvSpPr>
        <xdr:spPr>
          <a:xfrm>
            <a:off x="3612095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9" name="Forma Livre: Forma 218">
            <a:extLst>
              <a:ext uri="{FF2B5EF4-FFF2-40B4-BE49-F238E27FC236}">
                <a16:creationId xmlns:a16="http://schemas.microsoft.com/office/drawing/2014/main" id="{76B1D02B-0BC6-4F96-9CEB-5C23F1229AB5}"/>
              </a:ext>
            </a:extLst>
          </xdr:cNvPr>
          <xdr:cNvSpPr/>
        </xdr:nvSpPr>
        <xdr:spPr>
          <a:xfrm>
            <a:off x="3612095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0" name="Forma Livre: Forma 219">
            <a:extLst>
              <a:ext uri="{FF2B5EF4-FFF2-40B4-BE49-F238E27FC236}">
                <a16:creationId xmlns:a16="http://schemas.microsoft.com/office/drawing/2014/main" id="{F0E15E6A-7811-4AB4-86E7-02F74BA6CE65}"/>
              </a:ext>
            </a:extLst>
          </xdr:cNvPr>
          <xdr:cNvSpPr/>
        </xdr:nvSpPr>
        <xdr:spPr>
          <a:xfrm>
            <a:off x="3612095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1" name="Forma Livre: Forma 220">
            <a:extLst>
              <a:ext uri="{FF2B5EF4-FFF2-40B4-BE49-F238E27FC236}">
                <a16:creationId xmlns:a16="http://schemas.microsoft.com/office/drawing/2014/main" id="{D683B299-8208-47B2-9FE1-1E1B5E424B4F}"/>
              </a:ext>
            </a:extLst>
          </xdr:cNvPr>
          <xdr:cNvSpPr/>
        </xdr:nvSpPr>
        <xdr:spPr>
          <a:xfrm>
            <a:off x="3450889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2" name="Forma Livre: Forma 221">
            <a:extLst>
              <a:ext uri="{FF2B5EF4-FFF2-40B4-BE49-F238E27FC236}">
                <a16:creationId xmlns:a16="http://schemas.microsoft.com/office/drawing/2014/main" id="{24DD3E63-081B-473E-8D45-0E9114B396F5}"/>
              </a:ext>
            </a:extLst>
          </xdr:cNvPr>
          <xdr:cNvSpPr/>
        </xdr:nvSpPr>
        <xdr:spPr>
          <a:xfrm>
            <a:off x="3450889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3" name="Forma Livre: Forma 222">
            <a:extLst>
              <a:ext uri="{FF2B5EF4-FFF2-40B4-BE49-F238E27FC236}">
                <a16:creationId xmlns:a16="http://schemas.microsoft.com/office/drawing/2014/main" id="{F48782A9-6D56-44EE-BA33-EE4C7492138F}"/>
              </a:ext>
            </a:extLst>
          </xdr:cNvPr>
          <xdr:cNvSpPr/>
        </xdr:nvSpPr>
        <xdr:spPr>
          <a:xfrm>
            <a:off x="3450889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4" name="Forma Livre: Forma 223">
            <a:extLst>
              <a:ext uri="{FF2B5EF4-FFF2-40B4-BE49-F238E27FC236}">
                <a16:creationId xmlns:a16="http://schemas.microsoft.com/office/drawing/2014/main" id="{CA6F3811-7AEE-4136-BFCD-7B6A3B6B739F}"/>
              </a:ext>
            </a:extLst>
          </xdr:cNvPr>
          <xdr:cNvSpPr/>
        </xdr:nvSpPr>
        <xdr:spPr>
          <a:xfrm>
            <a:off x="3450889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5" name="Forma Livre: Forma 224">
            <a:extLst>
              <a:ext uri="{FF2B5EF4-FFF2-40B4-BE49-F238E27FC236}">
                <a16:creationId xmlns:a16="http://schemas.microsoft.com/office/drawing/2014/main" id="{F8DAB139-4507-46C9-9EA3-FA72A31AC018}"/>
              </a:ext>
            </a:extLst>
          </xdr:cNvPr>
          <xdr:cNvSpPr/>
        </xdr:nvSpPr>
        <xdr:spPr>
          <a:xfrm>
            <a:off x="3450889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6" name="Forma Livre: Forma 225">
            <a:extLst>
              <a:ext uri="{FF2B5EF4-FFF2-40B4-BE49-F238E27FC236}">
                <a16:creationId xmlns:a16="http://schemas.microsoft.com/office/drawing/2014/main" id="{8C94B09D-3354-4A2A-B2F6-38E991EF9FE3}"/>
              </a:ext>
            </a:extLst>
          </xdr:cNvPr>
          <xdr:cNvSpPr/>
        </xdr:nvSpPr>
        <xdr:spPr>
          <a:xfrm>
            <a:off x="3289683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7" name="Forma Livre: Forma 226">
            <a:extLst>
              <a:ext uri="{FF2B5EF4-FFF2-40B4-BE49-F238E27FC236}">
                <a16:creationId xmlns:a16="http://schemas.microsoft.com/office/drawing/2014/main" id="{93C57B9B-9243-4E84-B664-4CA4CCC5C242}"/>
              </a:ext>
            </a:extLst>
          </xdr:cNvPr>
          <xdr:cNvSpPr/>
        </xdr:nvSpPr>
        <xdr:spPr>
          <a:xfrm>
            <a:off x="3289683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8" name="Forma Livre: Forma 227">
            <a:extLst>
              <a:ext uri="{FF2B5EF4-FFF2-40B4-BE49-F238E27FC236}">
                <a16:creationId xmlns:a16="http://schemas.microsoft.com/office/drawing/2014/main" id="{51BF6800-6EDA-4651-AFB7-D94455E5087D}"/>
              </a:ext>
            </a:extLst>
          </xdr:cNvPr>
          <xdr:cNvSpPr/>
        </xdr:nvSpPr>
        <xdr:spPr>
          <a:xfrm>
            <a:off x="328968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9" name="Forma Livre: Forma 228">
            <a:extLst>
              <a:ext uri="{FF2B5EF4-FFF2-40B4-BE49-F238E27FC236}">
                <a16:creationId xmlns:a16="http://schemas.microsoft.com/office/drawing/2014/main" id="{85F1BB65-6777-41A4-9289-9FCB509A24E1}"/>
              </a:ext>
            </a:extLst>
          </xdr:cNvPr>
          <xdr:cNvSpPr/>
        </xdr:nvSpPr>
        <xdr:spPr>
          <a:xfrm>
            <a:off x="328968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0" name="Forma Livre: Forma 229">
            <a:extLst>
              <a:ext uri="{FF2B5EF4-FFF2-40B4-BE49-F238E27FC236}">
                <a16:creationId xmlns:a16="http://schemas.microsoft.com/office/drawing/2014/main" id="{6878B259-336D-4082-BF4D-CE03F0CB7401}"/>
              </a:ext>
            </a:extLst>
          </xdr:cNvPr>
          <xdr:cNvSpPr/>
        </xdr:nvSpPr>
        <xdr:spPr>
          <a:xfrm>
            <a:off x="328968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1" name="Forma Livre: Forma 230">
            <a:extLst>
              <a:ext uri="{FF2B5EF4-FFF2-40B4-BE49-F238E27FC236}">
                <a16:creationId xmlns:a16="http://schemas.microsoft.com/office/drawing/2014/main" id="{C873F2AB-62EB-4883-BD04-0FB4B2012905}"/>
              </a:ext>
            </a:extLst>
          </xdr:cNvPr>
          <xdr:cNvSpPr/>
        </xdr:nvSpPr>
        <xdr:spPr>
          <a:xfrm>
            <a:off x="3491215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2" name="Forma Livre: Forma 231">
            <a:extLst>
              <a:ext uri="{FF2B5EF4-FFF2-40B4-BE49-F238E27FC236}">
                <a16:creationId xmlns:a16="http://schemas.microsoft.com/office/drawing/2014/main" id="{977C5C19-C056-4FF8-B1CB-F3127C4CD2B5}"/>
              </a:ext>
            </a:extLst>
          </xdr:cNvPr>
          <xdr:cNvSpPr/>
        </xdr:nvSpPr>
        <xdr:spPr>
          <a:xfrm>
            <a:off x="3491215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3" name="Forma Livre: Forma 232">
            <a:extLst>
              <a:ext uri="{FF2B5EF4-FFF2-40B4-BE49-F238E27FC236}">
                <a16:creationId xmlns:a16="http://schemas.microsoft.com/office/drawing/2014/main" id="{77FFC008-7178-407C-A52C-9FE61237DCE1}"/>
              </a:ext>
            </a:extLst>
          </xdr:cNvPr>
          <xdr:cNvSpPr/>
        </xdr:nvSpPr>
        <xdr:spPr>
          <a:xfrm>
            <a:off x="4136041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4" name="Forma Livre: Forma 233">
            <a:extLst>
              <a:ext uri="{FF2B5EF4-FFF2-40B4-BE49-F238E27FC236}">
                <a16:creationId xmlns:a16="http://schemas.microsoft.com/office/drawing/2014/main" id="{8481FFF4-CCFF-4AA8-BE98-CA894009D8C3}"/>
              </a:ext>
            </a:extLst>
          </xdr:cNvPr>
          <xdr:cNvSpPr/>
        </xdr:nvSpPr>
        <xdr:spPr>
          <a:xfrm>
            <a:off x="4136041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5" name="Forma Livre: Forma 234">
            <a:extLst>
              <a:ext uri="{FF2B5EF4-FFF2-40B4-BE49-F238E27FC236}">
                <a16:creationId xmlns:a16="http://schemas.microsoft.com/office/drawing/2014/main" id="{5BEA1979-53A2-48E0-875B-281823777E4A}"/>
              </a:ext>
            </a:extLst>
          </xdr:cNvPr>
          <xdr:cNvSpPr/>
        </xdr:nvSpPr>
        <xdr:spPr>
          <a:xfrm>
            <a:off x="3450889" y="6421220"/>
            <a:ext cx="9693" cy="68479"/>
          </a:xfrm>
          <a:custGeom>
            <a:avLst/>
            <a:gdLst>
              <a:gd name="connsiteX0" fmla="*/ 0 w 13854"/>
              <a:gd name="connsiteY0" fmla="*/ 97875 h 97874"/>
              <a:gd name="connsiteX1" fmla="*/ 0 w 13854"/>
              <a:gd name="connsiteY1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97875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6" name="Forma Livre: Forma 235">
            <a:extLst>
              <a:ext uri="{FF2B5EF4-FFF2-40B4-BE49-F238E27FC236}">
                <a16:creationId xmlns:a16="http://schemas.microsoft.com/office/drawing/2014/main" id="{35A34301-FED7-4158-91F6-90D1FF6C2F0D}"/>
              </a:ext>
            </a:extLst>
          </xdr:cNvPr>
          <xdr:cNvSpPr/>
        </xdr:nvSpPr>
        <xdr:spPr>
          <a:xfrm>
            <a:off x="3531541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7" name="Forma Livre: Forma 236">
            <a:extLst>
              <a:ext uri="{FF2B5EF4-FFF2-40B4-BE49-F238E27FC236}">
                <a16:creationId xmlns:a16="http://schemas.microsoft.com/office/drawing/2014/main" id="{2C23DAA1-BFAD-4765-BDF2-F143EDE42BBC}"/>
              </a:ext>
            </a:extLst>
          </xdr:cNvPr>
          <xdr:cNvSpPr/>
        </xdr:nvSpPr>
        <xdr:spPr>
          <a:xfrm>
            <a:off x="3612095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8" name="Forma Livre: Forma 237">
            <a:extLst>
              <a:ext uri="{FF2B5EF4-FFF2-40B4-BE49-F238E27FC236}">
                <a16:creationId xmlns:a16="http://schemas.microsoft.com/office/drawing/2014/main" id="{035D48FE-007E-4A07-8513-E50B77B46083}"/>
              </a:ext>
            </a:extLst>
          </xdr:cNvPr>
          <xdr:cNvSpPr/>
        </xdr:nvSpPr>
        <xdr:spPr>
          <a:xfrm>
            <a:off x="3692747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9" name="Forma Livre: Forma 238">
            <a:extLst>
              <a:ext uri="{FF2B5EF4-FFF2-40B4-BE49-F238E27FC236}">
                <a16:creationId xmlns:a16="http://schemas.microsoft.com/office/drawing/2014/main" id="{B5560D83-5ED2-4923-9987-3F119CEC043E}"/>
              </a:ext>
            </a:extLst>
          </xdr:cNvPr>
          <xdr:cNvSpPr/>
        </xdr:nvSpPr>
        <xdr:spPr>
          <a:xfrm>
            <a:off x="9136" y="6855286"/>
            <a:ext cx="4762909" cy="10992"/>
          </a:xfrm>
          <a:custGeom>
            <a:avLst/>
            <a:gdLst>
              <a:gd name="connsiteX0" fmla="*/ 0 w 6807453"/>
              <a:gd name="connsiteY0" fmla="*/ 0 h 15710"/>
              <a:gd name="connsiteX1" fmla="*/ 6807454 w 68074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07453" h="15710">
                <a:moveTo>
                  <a:pt x="0" y="0"/>
                </a:moveTo>
                <a:lnTo>
                  <a:pt x="68074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0" name="Forma Livre: Forma 239">
            <a:extLst>
              <a:ext uri="{FF2B5EF4-FFF2-40B4-BE49-F238E27FC236}">
                <a16:creationId xmlns:a16="http://schemas.microsoft.com/office/drawing/2014/main" id="{2D1C8DA0-1C23-4C31-88A9-DC3297992267}"/>
              </a:ext>
            </a:extLst>
          </xdr:cNvPr>
          <xdr:cNvSpPr/>
        </xdr:nvSpPr>
        <xdr:spPr>
          <a:xfrm>
            <a:off x="-113004" y="6766363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1" name="Forma Livre: Forma 240">
            <a:extLst>
              <a:ext uri="{FF2B5EF4-FFF2-40B4-BE49-F238E27FC236}">
                <a16:creationId xmlns:a16="http://schemas.microsoft.com/office/drawing/2014/main" id="{E47D7D2D-F7FD-4FA5-AC1E-750FE5F99AE3}"/>
              </a:ext>
            </a:extLst>
          </xdr:cNvPr>
          <xdr:cNvSpPr/>
        </xdr:nvSpPr>
        <xdr:spPr>
          <a:xfrm>
            <a:off x="-113004" y="6832424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2" name="Forma Livre: Forma 241">
            <a:extLst>
              <a:ext uri="{FF2B5EF4-FFF2-40B4-BE49-F238E27FC236}">
                <a16:creationId xmlns:a16="http://schemas.microsoft.com/office/drawing/2014/main" id="{A27DDE5C-3E8D-4834-ADE8-E26EF8C7C414}"/>
              </a:ext>
            </a:extLst>
          </xdr:cNvPr>
          <xdr:cNvSpPr/>
        </xdr:nvSpPr>
        <xdr:spPr>
          <a:xfrm>
            <a:off x="-113004" y="6855286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3" name="Forma Livre: Forma 242">
            <a:extLst>
              <a:ext uri="{FF2B5EF4-FFF2-40B4-BE49-F238E27FC236}">
                <a16:creationId xmlns:a16="http://schemas.microsoft.com/office/drawing/2014/main" id="{75ED12D9-3534-4747-9D89-1765B7135CB1}"/>
              </a:ext>
            </a:extLst>
          </xdr:cNvPr>
          <xdr:cNvSpPr/>
        </xdr:nvSpPr>
        <xdr:spPr>
          <a:xfrm>
            <a:off x="871780" y="5987922"/>
            <a:ext cx="1178367" cy="388780"/>
          </a:xfrm>
          <a:custGeom>
            <a:avLst/>
            <a:gdLst>
              <a:gd name="connsiteX0" fmla="*/ 0 w 1684198"/>
              <a:gd name="connsiteY0" fmla="*/ 96775 h 555669"/>
              <a:gd name="connsiteX1" fmla="*/ 72322 w 1684198"/>
              <a:gd name="connsiteY1" fmla="*/ 0 h 555669"/>
              <a:gd name="connsiteX2" fmla="*/ 124832 w 1684198"/>
              <a:gd name="connsiteY2" fmla="*/ 100074 h 555669"/>
              <a:gd name="connsiteX3" fmla="*/ 194800 w 1684198"/>
              <a:gd name="connsiteY3" fmla="*/ 2514 h 555669"/>
              <a:gd name="connsiteX4" fmla="*/ 243846 w 1684198"/>
              <a:gd name="connsiteY4" fmla="*/ 104630 h 555669"/>
              <a:gd name="connsiteX5" fmla="*/ 309656 w 1684198"/>
              <a:gd name="connsiteY5" fmla="*/ 9740 h 555669"/>
              <a:gd name="connsiteX6" fmla="*/ 351221 w 1684198"/>
              <a:gd name="connsiteY6" fmla="*/ 116413 h 555669"/>
              <a:gd name="connsiteX7" fmla="*/ 424513 w 1684198"/>
              <a:gd name="connsiteY7" fmla="*/ 24822 h 555669"/>
              <a:gd name="connsiteX8" fmla="*/ 463168 w 1684198"/>
              <a:gd name="connsiteY8" fmla="*/ 133537 h 555669"/>
              <a:gd name="connsiteX9" fmla="*/ 543942 w 1684198"/>
              <a:gd name="connsiteY9" fmla="*/ 40532 h 555669"/>
              <a:gd name="connsiteX10" fmla="*/ 578580 w 1684198"/>
              <a:gd name="connsiteY10" fmla="*/ 154431 h 555669"/>
              <a:gd name="connsiteX11" fmla="*/ 681937 w 1684198"/>
              <a:gd name="connsiteY11" fmla="*/ 71953 h 555669"/>
              <a:gd name="connsiteX12" fmla="*/ 706737 w 1684198"/>
              <a:gd name="connsiteY12" fmla="*/ 185852 h 555669"/>
              <a:gd name="connsiteX13" fmla="*/ 804968 w 1684198"/>
              <a:gd name="connsiteY13" fmla="*/ 102116 h 555669"/>
              <a:gd name="connsiteX14" fmla="*/ 827967 w 1684198"/>
              <a:gd name="connsiteY14" fmla="*/ 221828 h 555669"/>
              <a:gd name="connsiteX15" fmla="*/ 935343 w 1684198"/>
              <a:gd name="connsiteY15" fmla="*/ 141392 h 555669"/>
              <a:gd name="connsiteX16" fmla="*/ 953908 w 1684198"/>
              <a:gd name="connsiteY16" fmla="*/ 259847 h 555669"/>
              <a:gd name="connsiteX17" fmla="*/ 1056018 w 1684198"/>
              <a:gd name="connsiteY17" fmla="*/ 184595 h 555669"/>
              <a:gd name="connsiteX18" fmla="*/ 1073891 w 1684198"/>
              <a:gd name="connsiteY18" fmla="*/ 303678 h 555669"/>
              <a:gd name="connsiteX19" fmla="*/ 1189995 w 1684198"/>
              <a:gd name="connsiteY19" fmla="*/ 239581 h 555669"/>
              <a:gd name="connsiteX20" fmla="*/ 1205513 w 1684198"/>
              <a:gd name="connsiteY20" fmla="*/ 362592 h 555669"/>
              <a:gd name="connsiteX21" fmla="*/ 1308870 w 1684198"/>
              <a:gd name="connsiteY21" fmla="*/ 293781 h 555669"/>
              <a:gd name="connsiteX22" fmla="*/ 1319261 w 1684198"/>
              <a:gd name="connsiteY22" fmla="*/ 418834 h 555669"/>
              <a:gd name="connsiteX23" fmla="*/ 1428438 w 1684198"/>
              <a:gd name="connsiteY23" fmla="*/ 354736 h 555669"/>
              <a:gd name="connsiteX24" fmla="*/ 1436473 w 1684198"/>
              <a:gd name="connsiteY24" fmla="*/ 486231 h 555669"/>
              <a:gd name="connsiteX25" fmla="*/ 1551330 w 1684198"/>
              <a:gd name="connsiteY25" fmla="*/ 423390 h 555669"/>
              <a:gd name="connsiteX26" fmla="*/ 1553131 w 1684198"/>
              <a:gd name="connsiteY26" fmla="*/ 555670 h 555669"/>
              <a:gd name="connsiteX27" fmla="*/ 1684199 w 1684198"/>
              <a:gd name="connsiteY27" fmla="*/ 505711 h 5556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1684198" h="555669">
                <a:moveTo>
                  <a:pt x="0" y="96775"/>
                </a:moveTo>
                <a:lnTo>
                  <a:pt x="72322" y="0"/>
                </a:lnTo>
                <a:lnTo>
                  <a:pt x="124832" y="100074"/>
                </a:lnTo>
                <a:lnTo>
                  <a:pt x="194800" y="2514"/>
                </a:lnTo>
                <a:lnTo>
                  <a:pt x="243846" y="104630"/>
                </a:lnTo>
                <a:lnTo>
                  <a:pt x="309656" y="9740"/>
                </a:lnTo>
                <a:lnTo>
                  <a:pt x="351221" y="116413"/>
                </a:lnTo>
                <a:lnTo>
                  <a:pt x="424513" y="24822"/>
                </a:lnTo>
                <a:lnTo>
                  <a:pt x="463168" y="133537"/>
                </a:lnTo>
                <a:lnTo>
                  <a:pt x="543942" y="40532"/>
                </a:lnTo>
                <a:lnTo>
                  <a:pt x="578580" y="154431"/>
                </a:lnTo>
                <a:lnTo>
                  <a:pt x="681937" y="71953"/>
                </a:lnTo>
                <a:lnTo>
                  <a:pt x="706737" y="185852"/>
                </a:lnTo>
                <a:lnTo>
                  <a:pt x="804968" y="102116"/>
                </a:lnTo>
                <a:lnTo>
                  <a:pt x="827967" y="221828"/>
                </a:lnTo>
                <a:lnTo>
                  <a:pt x="935343" y="141392"/>
                </a:lnTo>
                <a:lnTo>
                  <a:pt x="953908" y="259847"/>
                </a:lnTo>
                <a:lnTo>
                  <a:pt x="1056018" y="184595"/>
                </a:lnTo>
                <a:lnTo>
                  <a:pt x="1073891" y="303678"/>
                </a:lnTo>
                <a:lnTo>
                  <a:pt x="1189995" y="239581"/>
                </a:lnTo>
                <a:lnTo>
                  <a:pt x="1205513" y="362592"/>
                </a:lnTo>
                <a:lnTo>
                  <a:pt x="1308870" y="293781"/>
                </a:lnTo>
                <a:lnTo>
                  <a:pt x="1319261" y="418834"/>
                </a:lnTo>
                <a:lnTo>
                  <a:pt x="1428438" y="354736"/>
                </a:lnTo>
                <a:lnTo>
                  <a:pt x="1436473" y="486231"/>
                </a:lnTo>
                <a:lnTo>
                  <a:pt x="1551330" y="423390"/>
                </a:lnTo>
                <a:lnTo>
                  <a:pt x="1553131" y="555670"/>
                </a:lnTo>
                <a:lnTo>
                  <a:pt x="1684199" y="50571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4" name="Forma Livre: Forma 243">
            <a:extLst>
              <a:ext uri="{FF2B5EF4-FFF2-40B4-BE49-F238E27FC236}">
                <a16:creationId xmlns:a16="http://schemas.microsoft.com/office/drawing/2014/main" id="{FE7B5B41-87BB-47D6-8529-9F082741D572}"/>
              </a:ext>
            </a:extLst>
          </xdr:cNvPr>
          <xdr:cNvSpPr/>
        </xdr:nvSpPr>
        <xdr:spPr>
          <a:xfrm>
            <a:off x="3088247" y="6758229"/>
            <a:ext cx="120202" cy="73315"/>
          </a:xfrm>
          <a:custGeom>
            <a:avLst/>
            <a:gdLst>
              <a:gd name="connsiteX0" fmla="*/ 0 w 171800"/>
              <a:gd name="connsiteY0" fmla="*/ 96618 h 104787"/>
              <a:gd name="connsiteX1" fmla="*/ 62763 w 171800"/>
              <a:gd name="connsiteY1" fmla="*/ 0 h 104787"/>
              <a:gd name="connsiteX2" fmla="*/ 112363 w 171800"/>
              <a:gd name="connsiteY2" fmla="*/ 104787 h 104787"/>
              <a:gd name="connsiteX3" fmla="*/ 171800 w 171800"/>
              <a:gd name="connsiteY3" fmla="*/ 5813 h 104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800" h="104787">
                <a:moveTo>
                  <a:pt x="0" y="96618"/>
                </a:moveTo>
                <a:lnTo>
                  <a:pt x="62763" y="0"/>
                </a:lnTo>
                <a:lnTo>
                  <a:pt x="112363" y="104787"/>
                </a:lnTo>
                <a:lnTo>
                  <a:pt x="171800" y="581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5" name="Forma Livre: Forma 244">
            <a:extLst>
              <a:ext uri="{FF2B5EF4-FFF2-40B4-BE49-F238E27FC236}">
                <a16:creationId xmlns:a16="http://schemas.microsoft.com/office/drawing/2014/main" id="{49BF124E-43C6-4F10-AA9E-2BE3A773651A}"/>
              </a:ext>
            </a:extLst>
          </xdr:cNvPr>
          <xdr:cNvSpPr/>
        </xdr:nvSpPr>
        <xdr:spPr>
          <a:xfrm>
            <a:off x="2109473" y="6422099"/>
            <a:ext cx="252036" cy="174439"/>
          </a:xfrm>
          <a:custGeom>
            <a:avLst/>
            <a:gdLst>
              <a:gd name="connsiteX0" fmla="*/ 0 w 360226"/>
              <a:gd name="connsiteY0" fmla="*/ 0 h 249320"/>
              <a:gd name="connsiteX1" fmla="*/ 3464 w 360226"/>
              <a:gd name="connsiteY1" fmla="*/ 80436 h 249320"/>
              <a:gd name="connsiteX2" fmla="*/ 114303 w 360226"/>
              <a:gd name="connsiteY2" fmla="*/ 19638 h 249320"/>
              <a:gd name="connsiteX3" fmla="*/ 116104 w 360226"/>
              <a:gd name="connsiteY3" fmla="*/ 155060 h 249320"/>
              <a:gd name="connsiteX4" fmla="*/ 228605 w 360226"/>
              <a:gd name="connsiteY4" fmla="*/ 92219 h 249320"/>
              <a:gd name="connsiteX5" fmla="*/ 237334 w 360226"/>
              <a:gd name="connsiteY5" fmla="*/ 223870 h 249320"/>
              <a:gd name="connsiteX6" fmla="*/ 334318 w 360226"/>
              <a:gd name="connsiteY6" fmla="*/ 149247 h 249320"/>
              <a:gd name="connsiteX7" fmla="*/ 360227 w 360226"/>
              <a:gd name="connsiteY7" fmla="*/ 249321 h 24932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60226" h="249320">
                <a:moveTo>
                  <a:pt x="0" y="0"/>
                </a:moveTo>
                <a:lnTo>
                  <a:pt x="3464" y="80436"/>
                </a:lnTo>
                <a:lnTo>
                  <a:pt x="114303" y="19638"/>
                </a:lnTo>
                <a:lnTo>
                  <a:pt x="116104" y="155060"/>
                </a:lnTo>
                <a:lnTo>
                  <a:pt x="228605" y="92219"/>
                </a:lnTo>
                <a:lnTo>
                  <a:pt x="237334" y="223870"/>
                </a:lnTo>
                <a:lnTo>
                  <a:pt x="334318" y="149247"/>
                </a:lnTo>
                <a:lnTo>
                  <a:pt x="360227" y="24932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6" name="Forma Livre: Forma 245">
            <a:extLst>
              <a:ext uri="{FF2B5EF4-FFF2-40B4-BE49-F238E27FC236}">
                <a16:creationId xmlns:a16="http://schemas.microsoft.com/office/drawing/2014/main" id="{89486231-2C8B-40D1-8AEC-AFE6979933F0}"/>
              </a:ext>
            </a:extLst>
          </xdr:cNvPr>
          <xdr:cNvSpPr/>
        </xdr:nvSpPr>
        <xdr:spPr>
          <a:xfrm>
            <a:off x="2482196" y="6619952"/>
            <a:ext cx="485170" cy="185102"/>
          </a:xfrm>
          <a:custGeom>
            <a:avLst/>
            <a:gdLst>
              <a:gd name="connsiteX0" fmla="*/ 0 w 693436"/>
              <a:gd name="connsiteY0" fmla="*/ 82793 h 264559"/>
              <a:gd name="connsiteX1" fmla="*/ 89087 w 693436"/>
              <a:gd name="connsiteY1" fmla="*/ 0 h 264559"/>
              <a:gd name="connsiteX2" fmla="*/ 122477 w 693436"/>
              <a:gd name="connsiteY2" fmla="*/ 129609 h 264559"/>
              <a:gd name="connsiteX3" fmla="*/ 217244 w 693436"/>
              <a:gd name="connsiteY3" fmla="*/ 49016 h 264559"/>
              <a:gd name="connsiteX4" fmla="*/ 257562 w 693436"/>
              <a:gd name="connsiteY4" fmla="*/ 174697 h 264559"/>
              <a:gd name="connsiteX5" fmla="*/ 355793 w 693436"/>
              <a:gd name="connsiteY5" fmla="*/ 92219 h 264559"/>
              <a:gd name="connsiteX6" fmla="*/ 392924 w 693436"/>
              <a:gd name="connsiteY6" fmla="*/ 212716 h 264559"/>
              <a:gd name="connsiteX7" fmla="*/ 487414 w 693436"/>
              <a:gd name="connsiteY7" fmla="*/ 127567 h 264559"/>
              <a:gd name="connsiteX8" fmla="*/ 530642 w 693436"/>
              <a:gd name="connsiteY8" fmla="*/ 244451 h 264559"/>
              <a:gd name="connsiteX9" fmla="*/ 615572 w 693436"/>
              <a:gd name="connsiteY9" fmla="*/ 157102 h 264559"/>
              <a:gd name="connsiteX10" fmla="*/ 653673 w 693436"/>
              <a:gd name="connsiteY10" fmla="*/ 264560 h 264559"/>
              <a:gd name="connsiteX11" fmla="*/ 693436 w 693436"/>
              <a:gd name="connsiteY11" fmla="*/ 225756 h 2645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93436" h="264559">
                <a:moveTo>
                  <a:pt x="0" y="82793"/>
                </a:moveTo>
                <a:lnTo>
                  <a:pt x="89087" y="0"/>
                </a:lnTo>
                <a:lnTo>
                  <a:pt x="122477" y="129609"/>
                </a:lnTo>
                <a:lnTo>
                  <a:pt x="217244" y="49016"/>
                </a:lnTo>
                <a:lnTo>
                  <a:pt x="257562" y="174697"/>
                </a:lnTo>
                <a:lnTo>
                  <a:pt x="355793" y="92219"/>
                </a:lnTo>
                <a:lnTo>
                  <a:pt x="392924" y="212716"/>
                </a:lnTo>
                <a:lnTo>
                  <a:pt x="487414" y="127567"/>
                </a:lnTo>
                <a:lnTo>
                  <a:pt x="530642" y="244451"/>
                </a:lnTo>
                <a:lnTo>
                  <a:pt x="615572" y="157102"/>
                </a:lnTo>
                <a:lnTo>
                  <a:pt x="653673" y="264560"/>
                </a:lnTo>
                <a:lnTo>
                  <a:pt x="693436" y="22575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7" name="Forma Livre: Forma 246">
            <a:extLst>
              <a:ext uri="{FF2B5EF4-FFF2-40B4-BE49-F238E27FC236}">
                <a16:creationId xmlns:a16="http://schemas.microsoft.com/office/drawing/2014/main" id="{AEE9AF98-F279-4EFF-BB8B-CE360F4B78F3}"/>
              </a:ext>
            </a:extLst>
          </xdr:cNvPr>
          <xdr:cNvSpPr/>
        </xdr:nvSpPr>
        <xdr:spPr>
          <a:xfrm>
            <a:off x="20768" y="6761857"/>
            <a:ext cx="930305" cy="70347"/>
          </a:xfrm>
          <a:custGeom>
            <a:avLst/>
            <a:gdLst>
              <a:gd name="connsiteX0" fmla="*/ 0 w 1329652"/>
              <a:gd name="connsiteY0" fmla="*/ 98032 h 100545"/>
              <a:gd name="connsiteX1" fmla="*/ 64287 w 1329652"/>
              <a:gd name="connsiteY1" fmla="*/ 7855 h 100545"/>
              <a:gd name="connsiteX2" fmla="*/ 121646 w 1329652"/>
              <a:gd name="connsiteY2" fmla="*/ 98032 h 100545"/>
              <a:gd name="connsiteX3" fmla="*/ 191197 w 1329652"/>
              <a:gd name="connsiteY3" fmla="*/ 10526 h 100545"/>
              <a:gd name="connsiteX4" fmla="*/ 246617 w 1329652"/>
              <a:gd name="connsiteY4" fmla="*/ 99603 h 100545"/>
              <a:gd name="connsiteX5" fmla="*/ 310903 w 1329652"/>
              <a:gd name="connsiteY5" fmla="*/ 8169 h 100545"/>
              <a:gd name="connsiteX6" fmla="*/ 375467 w 1329652"/>
              <a:gd name="connsiteY6" fmla="*/ 100545 h 100545"/>
              <a:gd name="connsiteX7" fmla="*/ 440724 w 1329652"/>
              <a:gd name="connsiteY7" fmla="*/ 9740 h 100545"/>
              <a:gd name="connsiteX8" fmla="*/ 498775 w 1329652"/>
              <a:gd name="connsiteY8" fmla="*/ 99603 h 100545"/>
              <a:gd name="connsiteX9" fmla="*/ 569990 w 1329652"/>
              <a:gd name="connsiteY9" fmla="*/ 10526 h 100545"/>
              <a:gd name="connsiteX10" fmla="*/ 618482 w 1329652"/>
              <a:gd name="connsiteY10" fmla="*/ 96932 h 100545"/>
              <a:gd name="connsiteX11" fmla="*/ 681937 w 1329652"/>
              <a:gd name="connsiteY11" fmla="*/ 9269 h 100545"/>
              <a:gd name="connsiteX12" fmla="*/ 743175 w 1329652"/>
              <a:gd name="connsiteY12" fmla="*/ 99603 h 100545"/>
              <a:gd name="connsiteX13" fmla="*/ 812450 w 1329652"/>
              <a:gd name="connsiteY13" fmla="*/ 7855 h 100545"/>
              <a:gd name="connsiteX14" fmla="*/ 870086 w 1329652"/>
              <a:gd name="connsiteY14" fmla="*/ 99603 h 100545"/>
              <a:gd name="connsiteX15" fmla="*/ 936589 w 1329652"/>
              <a:gd name="connsiteY15" fmla="*/ 9269 h 100545"/>
              <a:gd name="connsiteX16" fmla="*/ 994503 w 1329652"/>
              <a:gd name="connsiteY16" fmla="*/ 99603 h 100545"/>
              <a:gd name="connsiteX17" fmla="*/ 1057820 w 1329652"/>
              <a:gd name="connsiteY17" fmla="*/ 7227 h 100545"/>
              <a:gd name="connsiteX18" fmla="*/ 1118365 w 1329652"/>
              <a:gd name="connsiteY18" fmla="*/ 98032 h 100545"/>
              <a:gd name="connsiteX19" fmla="*/ 1180297 w 1329652"/>
              <a:gd name="connsiteY19" fmla="*/ 7227 h 100545"/>
              <a:gd name="connsiteX20" fmla="*/ 1236548 w 1329652"/>
              <a:gd name="connsiteY20" fmla="*/ 98503 h 100545"/>
              <a:gd name="connsiteX21" fmla="*/ 1306515 w 1329652"/>
              <a:gd name="connsiteY21" fmla="*/ 0 h 100545"/>
              <a:gd name="connsiteX22" fmla="*/ 1329652 w 1329652"/>
              <a:gd name="connsiteY22" fmla="*/ 41946 h 1005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29652" h="100545">
                <a:moveTo>
                  <a:pt x="0" y="98032"/>
                </a:moveTo>
                <a:lnTo>
                  <a:pt x="64287" y="7855"/>
                </a:lnTo>
                <a:lnTo>
                  <a:pt x="121646" y="98032"/>
                </a:lnTo>
                <a:lnTo>
                  <a:pt x="191197" y="10526"/>
                </a:lnTo>
                <a:lnTo>
                  <a:pt x="246617" y="99603"/>
                </a:lnTo>
                <a:lnTo>
                  <a:pt x="310903" y="8169"/>
                </a:lnTo>
                <a:lnTo>
                  <a:pt x="375467" y="100545"/>
                </a:lnTo>
                <a:lnTo>
                  <a:pt x="440724" y="9740"/>
                </a:lnTo>
                <a:lnTo>
                  <a:pt x="498775" y="99603"/>
                </a:lnTo>
                <a:lnTo>
                  <a:pt x="569990" y="10526"/>
                </a:lnTo>
                <a:lnTo>
                  <a:pt x="618482" y="96932"/>
                </a:lnTo>
                <a:lnTo>
                  <a:pt x="681937" y="9269"/>
                </a:lnTo>
                <a:lnTo>
                  <a:pt x="743175" y="99603"/>
                </a:lnTo>
                <a:lnTo>
                  <a:pt x="812450" y="7855"/>
                </a:lnTo>
                <a:lnTo>
                  <a:pt x="870086" y="99603"/>
                </a:lnTo>
                <a:lnTo>
                  <a:pt x="936589" y="9269"/>
                </a:lnTo>
                <a:lnTo>
                  <a:pt x="994503" y="99603"/>
                </a:lnTo>
                <a:lnTo>
                  <a:pt x="1057820" y="7227"/>
                </a:lnTo>
                <a:lnTo>
                  <a:pt x="1118365" y="98032"/>
                </a:lnTo>
                <a:lnTo>
                  <a:pt x="1180297" y="7227"/>
                </a:lnTo>
                <a:lnTo>
                  <a:pt x="1236548" y="98503"/>
                </a:lnTo>
                <a:lnTo>
                  <a:pt x="1306515" y="0"/>
                </a:lnTo>
                <a:lnTo>
                  <a:pt x="1329652" y="4194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8" name="Forma Livre: Forma 247">
            <a:extLst>
              <a:ext uri="{FF2B5EF4-FFF2-40B4-BE49-F238E27FC236}">
                <a16:creationId xmlns:a16="http://schemas.microsoft.com/office/drawing/2014/main" id="{4357044A-3DD4-4597-80FC-AF5C76BC1043}"/>
              </a:ext>
            </a:extLst>
          </xdr:cNvPr>
          <xdr:cNvSpPr/>
        </xdr:nvSpPr>
        <xdr:spPr>
          <a:xfrm>
            <a:off x="1073796" y="6637099"/>
            <a:ext cx="481971" cy="176858"/>
          </a:xfrm>
          <a:custGeom>
            <a:avLst/>
            <a:gdLst>
              <a:gd name="connsiteX0" fmla="*/ 0 w 688864"/>
              <a:gd name="connsiteY0" fmla="*/ 201719 h 252777"/>
              <a:gd name="connsiteX1" fmla="*/ 34637 w 688864"/>
              <a:gd name="connsiteY1" fmla="*/ 252777 h 252777"/>
              <a:gd name="connsiteX2" fmla="*/ 91719 w 688864"/>
              <a:gd name="connsiteY2" fmla="*/ 142334 h 252777"/>
              <a:gd name="connsiteX3" fmla="*/ 165289 w 688864"/>
              <a:gd name="connsiteY3" fmla="*/ 233611 h 252777"/>
              <a:gd name="connsiteX4" fmla="*/ 210871 w 688864"/>
              <a:gd name="connsiteY4" fmla="*/ 118769 h 252777"/>
              <a:gd name="connsiteX5" fmla="*/ 294416 w 688864"/>
              <a:gd name="connsiteY5" fmla="*/ 206118 h 252777"/>
              <a:gd name="connsiteX6" fmla="*/ 342493 w 688864"/>
              <a:gd name="connsiteY6" fmla="*/ 87349 h 252777"/>
              <a:gd name="connsiteX7" fmla="*/ 435459 w 688864"/>
              <a:gd name="connsiteY7" fmla="*/ 169827 h 252777"/>
              <a:gd name="connsiteX8" fmla="*/ 481873 w 688864"/>
              <a:gd name="connsiteY8" fmla="*/ 46188 h 252777"/>
              <a:gd name="connsiteX9" fmla="*/ 570128 w 688864"/>
              <a:gd name="connsiteY9" fmla="*/ 128667 h 252777"/>
              <a:gd name="connsiteX10" fmla="*/ 618620 w 688864"/>
              <a:gd name="connsiteY10" fmla="*/ 0 h 252777"/>
              <a:gd name="connsiteX11" fmla="*/ 688864 w 688864"/>
              <a:gd name="connsiteY11" fmla="*/ 63783 h 2527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8864" h="252777">
                <a:moveTo>
                  <a:pt x="0" y="201719"/>
                </a:moveTo>
                <a:lnTo>
                  <a:pt x="34637" y="252777"/>
                </a:lnTo>
                <a:lnTo>
                  <a:pt x="91719" y="142334"/>
                </a:lnTo>
                <a:lnTo>
                  <a:pt x="165289" y="233611"/>
                </a:lnTo>
                <a:lnTo>
                  <a:pt x="210871" y="118769"/>
                </a:lnTo>
                <a:lnTo>
                  <a:pt x="294416" y="206118"/>
                </a:lnTo>
                <a:lnTo>
                  <a:pt x="342493" y="87349"/>
                </a:lnTo>
                <a:lnTo>
                  <a:pt x="435459" y="169827"/>
                </a:lnTo>
                <a:lnTo>
                  <a:pt x="481873" y="46188"/>
                </a:lnTo>
                <a:lnTo>
                  <a:pt x="570128" y="128667"/>
                </a:lnTo>
                <a:lnTo>
                  <a:pt x="618620" y="0"/>
                </a:lnTo>
                <a:lnTo>
                  <a:pt x="688864" y="6378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9" name="Forma Livre: Forma 248">
            <a:extLst>
              <a:ext uri="{FF2B5EF4-FFF2-40B4-BE49-F238E27FC236}">
                <a16:creationId xmlns:a16="http://schemas.microsoft.com/office/drawing/2014/main" id="{91E05656-FB1F-41DF-BF2F-050FCDBEBB7B}"/>
              </a:ext>
            </a:extLst>
          </xdr:cNvPr>
          <xdr:cNvSpPr/>
        </xdr:nvSpPr>
        <xdr:spPr>
          <a:xfrm>
            <a:off x="1676940" y="6009906"/>
            <a:ext cx="1531122" cy="601801"/>
          </a:xfrm>
          <a:custGeom>
            <a:avLst/>
            <a:gdLst>
              <a:gd name="connsiteX0" fmla="*/ 0 w 2188377"/>
              <a:gd name="connsiteY0" fmla="*/ 860134 h 860133"/>
              <a:gd name="connsiteX1" fmla="*/ 27710 w 2188377"/>
              <a:gd name="connsiteY1" fmla="*/ 777655 h 860133"/>
              <a:gd name="connsiteX2" fmla="*/ 110839 w 2188377"/>
              <a:gd name="connsiteY2" fmla="*/ 856206 h 860133"/>
              <a:gd name="connsiteX3" fmla="*/ 141320 w 2188377"/>
              <a:gd name="connsiteY3" fmla="*/ 719999 h 860133"/>
              <a:gd name="connsiteX4" fmla="*/ 234286 w 2188377"/>
              <a:gd name="connsiteY4" fmla="*/ 790695 h 860133"/>
              <a:gd name="connsiteX5" fmla="*/ 257978 w 2188377"/>
              <a:gd name="connsiteY5" fmla="*/ 653859 h 860133"/>
              <a:gd name="connsiteX6" fmla="*/ 360781 w 2188377"/>
              <a:gd name="connsiteY6" fmla="*/ 717328 h 860133"/>
              <a:gd name="connsiteX7" fmla="*/ 369925 w 2188377"/>
              <a:gd name="connsiteY7" fmla="*/ 583791 h 860133"/>
              <a:gd name="connsiteX8" fmla="*/ 486029 w 2188377"/>
              <a:gd name="connsiteY8" fmla="*/ 634849 h 860133"/>
              <a:gd name="connsiteX9" fmla="*/ 484228 w 2188377"/>
              <a:gd name="connsiteY9" fmla="*/ 508539 h 860133"/>
              <a:gd name="connsiteX10" fmla="*/ 599223 w 2188377"/>
              <a:gd name="connsiteY10" fmla="*/ 562897 h 860133"/>
              <a:gd name="connsiteX11" fmla="*/ 606705 w 2188377"/>
              <a:gd name="connsiteY11" fmla="*/ 432031 h 860133"/>
              <a:gd name="connsiteX12" fmla="*/ 721562 w 2188377"/>
              <a:gd name="connsiteY12" fmla="*/ 489530 h 860133"/>
              <a:gd name="connsiteX13" fmla="*/ 738326 w 2188377"/>
              <a:gd name="connsiteY13" fmla="*/ 355993 h 860133"/>
              <a:gd name="connsiteX14" fmla="*/ 847364 w 2188377"/>
              <a:gd name="connsiteY14" fmla="*/ 420248 h 860133"/>
              <a:gd name="connsiteX15" fmla="*/ 871056 w 2188377"/>
              <a:gd name="connsiteY15" fmla="*/ 288596 h 860133"/>
              <a:gd name="connsiteX16" fmla="*/ 982449 w 2188377"/>
              <a:gd name="connsiteY16" fmla="*/ 354736 h 860133"/>
              <a:gd name="connsiteX17" fmla="*/ 1010713 w 2188377"/>
              <a:gd name="connsiteY17" fmla="*/ 226384 h 860133"/>
              <a:gd name="connsiteX18" fmla="*/ 1105481 w 2188377"/>
              <a:gd name="connsiteY18" fmla="*/ 300379 h 860133"/>
              <a:gd name="connsiteX19" fmla="*/ 1147599 w 2188377"/>
              <a:gd name="connsiteY19" fmla="*/ 174698 h 860133"/>
              <a:gd name="connsiteX20" fmla="*/ 1233638 w 2188377"/>
              <a:gd name="connsiteY20" fmla="*/ 255919 h 860133"/>
              <a:gd name="connsiteX21" fmla="*/ 1278667 w 2188377"/>
              <a:gd name="connsiteY21" fmla="*/ 131494 h 860133"/>
              <a:gd name="connsiteX22" fmla="*/ 1362350 w 2188377"/>
              <a:gd name="connsiteY22" fmla="*/ 213345 h 860133"/>
              <a:gd name="connsiteX23" fmla="*/ 1411950 w 2188377"/>
              <a:gd name="connsiteY23" fmla="*/ 96146 h 860133"/>
              <a:gd name="connsiteX24" fmla="*/ 1490507 w 2188377"/>
              <a:gd name="connsiteY24" fmla="*/ 178625 h 860133"/>
              <a:gd name="connsiteX25" fmla="*/ 1532626 w 2188377"/>
              <a:gd name="connsiteY25" fmla="*/ 64098 h 860133"/>
              <a:gd name="connsiteX26" fmla="*/ 1613400 w 2188377"/>
              <a:gd name="connsiteY26" fmla="*/ 151132 h 860133"/>
              <a:gd name="connsiteX27" fmla="*/ 1660229 w 2188377"/>
              <a:gd name="connsiteY27" fmla="*/ 40532 h 860133"/>
              <a:gd name="connsiteX28" fmla="*/ 1732414 w 2188377"/>
              <a:gd name="connsiteY28" fmla="*/ 128195 h 860133"/>
              <a:gd name="connsiteX29" fmla="*/ 1786586 w 2188377"/>
              <a:gd name="connsiteY29" fmla="*/ 22151 h 860133"/>
              <a:gd name="connsiteX30" fmla="*/ 1857661 w 2188377"/>
              <a:gd name="connsiteY30" fmla="*/ 111857 h 860133"/>
              <a:gd name="connsiteX31" fmla="*/ 1915436 w 2188377"/>
              <a:gd name="connsiteY31" fmla="*/ 9740 h 860133"/>
              <a:gd name="connsiteX32" fmla="*/ 1984018 w 2188377"/>
              <a:gd name="connsiteY32" fmla="*/ 100074 h 860133"/>
              <a:gd name="connsiteX33" fmla="*/ 2041793 w 2188377"/>
              <a:gd name="connsiteY33" fmla="*/ 1257 h 860133"/>
              <a:gd name="connsiteX34" fmla="*/ 2099014 w 2188377"/>
              <a:gd name="connsiteY34" fmla="*/ 97403 h 860133"/>
              <a:gd name="connsiteX35" fmla="*/ 2154987 w 2188377"/>
              <a:gd name="connsiteY35" fmla="*/ 0 h 860133"/>
              <a:gd name="connsiteX36" fmla="*/ 2188377 w 2188377"/>
              <a:gd name="connsiteY36" fmla="*/ 54986 h 8601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188377" h="860133">
                <a:moveTo>
                  <a:pt x="0" y="860134"/>
                </a:moveTo>
                <a:lnTo>
                  <a:pt x="27710" y="777655"/>
                </a:lnTo>
                <a:lnTo>
                  <a:pt x="110839" y="856206"/>
                </a:lnTo>
                <a:lnTo>
                  <a:pt x="141320" y="719999"/>
                </a:lnTo>
                <a:lnTo>
                  <a:pt x="234286" y="790695"/>
                </a:lnTo>
                <a:lnTo>
                  <a:pt x="257978" y="653859"/>
                </a:lnTo>
                <a:lnTo>
                  <a:pt x="360781" y="717328"/>
                </a:lnTo>
                <a:lnTo>
                  <a:pt x="369925" y="583791"/>
                </a:lnTo>
                <a:lnTo>
                  <a:pt x="486029" y="634849"/>
                </a:lnTo>
                <a:lnTo>
                  <a:pt x="484228" y="508539"/>
                </a:lnTo>
                <a:lnTo>
                  <a:pt x="599223" y="562897"/>
                </a:lnTo>
                <a:lnTo>
                  <a:pt x="606705" y="432031"/>
                </a:lnTo>
                <a:lnTo>
                  <a:pt x="721562" y="489530"/>
                </a:lnTo>
                <a:lnTo>
                  <a:pt x="738326" y="355993"/>
                </a:lnTo>
                <a:lnTo>
                  <a:pt x="847364" y="420248"/>
                </a:lnTo>
                <a:lnTo>
                  <a:pt x="871056" y="288596"/>
                </a:lnTo>
                <a:lnTo>
                  <a:pt x="982449" y="354736"/>
                </a:lnTo>
                <a:lnTo>
                  <a:pt x="1010713" y="226384"/>
                </a:lnTo>
                <a:lnTo>
                  <a:pt x="1105481" y="300379"/>
                </a:lnTo>
                <a:lnTo>
                  <a:pt x="1147599" y="174698"/>
                </a:lnTo>
                <a:lnTo>
                  <a:pt x="1233638" y="255919"/>
                </a:lnTo>
                <a:lnTo>
                  <a:pt x="1278667" y="131494"/>
                </a:lnTo>
                <a:lnTo>
                  <a:pt x="1362350" y="213345"/>
                </a:lnTo>
                <a:lnTo>
                  <a:pt x="1411950" y="96146"/>
                </a:lnTo>
                <a:lnTo>
                  <a:pt x="1490507" y="178625"/>
                </a:lnTo>
                <a:lnTo>
                  <a:pt x="1532626" y="64098"/>
                </a:lnTo>
                <a:lnTo>
                  <a:pt x="1613400" y="151132"/>
                </a:lnTo>
                <a:lnTo>
                  <a:pt x="1660229" y="40532"/>
                </a:lnTo>
                <a:lnTo>
                  <a:pt x="1732414" y="128195"/>
                </a:lnTo>
                <a:lnTo>
                  <a:pt x="1786586" y="22151"/>
                </a:lnTo>
                <a:lnTo>
                  <a:pt x="1857661" y="111857"/>
                </a:lnTo>
                <a:lnTo>
                  <a:pt x="1915436" y="9740"/>
                </a:lnTo>
                <a:lnTo>
                  <a:pt x="1984018" y="100074"/>
                </a:lnTo>
                <a:lnTo>
                  <a:pt x="2041793" y="1257"/>
                </a:lnTo>
                <a:lnTo>
                  <a:pt x="2099014" y="97403"/>
                </a:lnTo>
                <a:lnTo>
                  <a:pt x="2154987" y="0"/>
                </a:lnTo>
                <a:lnTo>
                  <a:pt x="2188377" y="5498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0" name="Forma Livre: Forma 249">
            <a:extLst>
              <a:ext uri="{FF2B5EF4-FFF2-40B4-BE49-F238E27FC236}">
                <a16:creationId xmlns:a16="http://schemas.microsoft.com/office/drawing/2014/main" id="{288E0974-EBE0-48DA-B478-ABE1F7B134C7}"/>
              </a:ext>
            </a:extLst>
          </xdr:cNvPr>
          <xdr:cNvSpPr/>
        </xdr:nvSpPr>
        <xdr:spPr>
          <a:xfrm flipH="1">
            <a:off x="6830983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1" name="Forma Livre: Forma 250">
            <a:extLst>
              <a:ext uri="{FF2B5EF4-FFF2-40B4-BE49-F238E27FC236}">
                <a16:creationId xmlns:a16="http://schemas.microsoft.com/office/drawing/2014/main" id="{F53AB69E-0E56-406C-97C1-92306FFFB1CD}"/>
              </a:ext>
            </a:extLst>
          </xdr:cNvPr>
          <xdr:cNvSpPr/>
        </xdr:nvSpPr>
        <xdr:spPr>
          <a:xfrm flipH="1">
            <a:off x="6224350" y="6635217"/>
            <a:ext cx="482941" cy="129923"/>
          </a:xfrm>
          <a:custGeom>
            <a:avLst/>
            <a:gdLst>
              <a:gd name="connsiteX0" fmla="*/ 726234 w 726234"/>
              <a:gd name="connsiteY0" fmla="*/ 0 h 195375"/>
              <a:gd name="connsiteX1" fmla="*/ 0 w 726234"/>
              <a:gd name="connsiteY1" fmla="*/ 195375 h 195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4" h="195375">
                <a:moveTo>
                  <a:pt x="726234" y="0"/>
                </a:moveTo>
                <a:cubicBezTo>
                  <a:pt x="491192" y="95060"/>
                  <a:pt x="247651" y="160565"/>
                  <a:pt x="0" y="195375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2" name="Forma Livre: Forma 251">
            <a:extLst>
              <a:ext uri="{FF2B5EF4-FFF2-40B4-BE49-F238E27FC236}">
                <a16:creationId xmlns:a16="http://schemas.microsoft.com/office/drawing/2014/main" id="{460C2A12-CF84-4B1A-9FBA-9AFB44D5D794}"/>
              </a:ext>
            </a:extLst>
          </xdr:cNvPr>
          <xdr:cNvSpPr/>
        </xdr:nvSpPr>
        <xdr:spPr>
          <a:xfrm flipH="1">
            <a:off x="4571573" y="6035923"/>
            <a:ext cx="1531607" cy="553658"/>
          </a:xfrm>
          <a:custGeom>
            <a:avLst/>
            <a:gdLst>
              <a:gd name="connsiteX0" fmla="*/ 2303191 w 2303190"/>
              <a:gd name="connsiteY0" fmla="*/ 0 h 832576"/>
              <a:gd name="connsiteX1" fmla="*/ 2242550 w 2303190"/>
              <a:gd name="connsiteY1" fmla="*/ 0 h 832576"/>
              <a:gd name="connsiteX2" fmla="*/ 549413 w 2303190"/>
              <a:gd name="connsiteY2" fmla="*/ 508439 h 832576"/>
              <a:gd name="connsiteX3" fmla="*/ 359910 w 2303190"/>
              <a:gd name="connsiteY3" fmla="*/ 630755 h 832576"/>
              <a:gd name="connsiteX4" fmla="*/ 0 w 2303190"/>
              <a:gd name="connsiteY4" fmla="*/ 832576 h 8325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190" h="832576">
                <a:moveTo>
                  <a:pt x="2303191" y="0"/>
                </a:moveTo>
                <a:lnTo>
                  <a:pt x="2242550" y="0"/>
                </a:lnTo>
                <a:cubicBezTo>
                  <a:pt x="1648793" y="-215"/>
                  <a:pt x="1065240" y="175028"/>
                  <a:pt x="549413" y="508439"/>
                </a:cubicBezTo>
                <a:lnTo>
                  <a:pt x="359910" y="630755"/>
                </a:lnTo>
                <a:cubicBezTo>
                  <a:pt x="243570" y="706062"/>
                  <a:pt x="123396" y="773452"/>
                  <a:pt x="0" y="83257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3" name="Forma Livre: Forma 252">
            <a:extLst>
              <a:ext uri="{FF2B5EF4-FFF2-40B4-BE49-F238E27FC236}">
                <a16:creationId xmlns:a16="http://schemas.microsoft.com/office/drawing/2014/main" id="{76AA0E90-E7C7-4E33-B5CD-A9FD3AF42EAA}"/>
              </a:ext>
            </a:extLst>
          </xdr:cNvPr>
          <xdr:cNvSpPr/>
        </xdr:nvSpPr>
        <xdr:spPr>
          <a:xfrm flipH="1">
            <a:off x="6828367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4" name="Forma Livre: Forma 253">
            <a:extLst>
              <a:ext uri="{FF2B5EF4-FFF2-40B4-BE49-F238E27FC236}">
                <a16:creationId xmlns:a16="http://schemas.microsoft.com/office/drawing/2014/main" id="{DDA40D78-E5D7-40F9-B5A2-F26BDE2E0A52}"/>
              </a:ext>
            </a:extLst>
          </xdr:cNvPr>
          <xdr:cNvSpPr/>
        </xdr:nvSpPr>
        <xdr:spPr>
          <a:xfrm flipH="1">
            <a:off x="6223769" y="6740409"/>
            <a:ext cx="483037" cy="119480"/>
          </a:xfrm>
          <a:custGeom>
            <a:avLst/>
            <a:gdLst>
              <a:gd name="connsiteX0" fmla="*/ 726380 w 726379"/>
              <a:gd name="connsiteY0" fmla="*/ 0 h 179672"/>
              <a:gd name="connsiteX1" fmla="*/ 0 w 726379"/>
              <a:gd name="connsiteY1" fmla="*/ 179672 h 1796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379" h="179672">
                <a:moveTo>
                  <a:pt x="726380" y="0"/>
                </a:moveTo>
                <a:cubicBezTo>
                  <a:pt x="490725" y="89621"/>
                  <a:pt x="247170" y="149870"/>
                  <a:pt x="0" y="179672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5" name="Forma Livre: Forma 254">
            <a:extLst>
              <a:ext uri="{FF2B5EF4-FFF2-40B4-BE49-F238E27FC236}">
                <a16:creationId xmlns:a16="http://schemas.microsoft.com/office/drawing/2014/main" id="{0552C0A2-624E-45A3-AD5A-A8F54101B014}"/>
              </a:ext>
            </a:extLst>
          </xdr:cNvPr>
          <xdr:cNvSpPr/>
        </xdr:nvSpPr>
        <xdr:spPr>
          <a:xfrm flipH="1">
            <a:off x="4571573" y="6124957"/>
            <a:ext cx="1532479" cy="572784"/>
          </a:xfrm>
          <a:custGeom>
            <a:avLst/>
            <a:gdLst>
              <a:gd name="connsiteX0" fmla="*/ 2304503 w 2304502"/>
              <a:gd name="connsiteY0" fmla="*/ 1 h 861337"/>
              <a:gd name="connsiteX1" fmla="*/ 2304503 w 2304502"/>
              <a:gd name="connsiteY1" fmla="*/ 1 h 861337"/>
              <a:gd name="connsiteX2" fmla="*/ 611366 w 2304502"/>
              <a:gd name="connsiteY2" fmla="*/ 507613 h 861337"/>
              <a:gd name="connsiteX3" fmla="*/ 421863 w 2304502"/>
              <a:gd name="connsiteY3" fmla="*/ 629929 h 861337"/>
              <a:gd name="connsiteX4" fmla="*/ 0 w 2304502"/>
              <a:gd name="connsiteY4" fmla="*/ 861338 h 8613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4502" h="861337">
                <a:moveTo>
                  <a:pt x="2304503" y="1"/>
                </a:moveTo>
                <a:lnTo>
                  <a:pt x="2304503" y="1"/>
                </a:lnTo>
                <a:cubicBezTo>
                  <a:pt x="1710819" y="-462"/>
                  <a:pt x="1127266" y="174483"/>
                  <a:pt x="611366" y="507613"/>
                </a:cubicBezTo>
                <a:lnTo>
                  <a:pt x="421863" y="629929"/>
                </a:lnTo>
                <a:cubicBezTo>
                  <a:pt x="286120" y="718013"/>
                  <a:pt x="145159" y="795320"/>
                  <a:pt x="0" y="861338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6" name="Forma Livre: Forma 255">
            <a:extLst>
              <a:ext uri="{FF2B5EF4-FFF2-40B4-BE49-F238E27FC236}">
                <a16:creationId xmlns:a16="http://schemas.microsoft.com/office/drawing/2014/main" id="{1589757F-F4BE-47CD-B952-3A417608FC7C}"/>
              </a:ext>
            </a:extLst>
          </xdr:cNvPr>
          <xdr:cNvSpPr/>
        </xdr:nvSpPr>
        <xdr:spPr>
          <a:xfrm flipH="1">
            <a:off x="6827978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7" name="Forma Livre: Forma 256">
            <a:extLst>
              <a:ext uri="{FF2B5EF4-FFF2-40B4-BE49-F238E27FC236}">
                <a16:creationId xmlns:a16="http://schemas.microsoft.com/office/drawing/2014/main" id="{FF819FA6-C979-40E5-86EF-FCB0DD54319B}"/>
              </a:ext>
            </a:extLst>
          </xdr:cNvPr>
          <xdr:cNvSpPr/>
        </xdr:nvSpPr>
        <xdr:spPr>
          <a:xfrm flipH="1">
            <a:off x="6224448" y="6717216"/>
            <a:ext cx="482940" cy="119371"/>
          </a:xfrm>
          <a:custGeom>
            <a:avLst/>
            <a:gdLst>
              <a:gd name="connsiteX0" fmla="*/ 726234 w 726233"/>
              <a:gd name="connsiteY0" fmla="*/ 0 h 179507"/>
              <a:gd name="connsiteX1" fmla="*/ 0 w 726233"/>
              <a:gd name="connsiteY1" fmla="*/ 179507 h 17950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3" h="179507">
                <a:moveTo>
                  <a:pt x="726234" y="0"/>
                </a:moveTo>
                <a:cubicBezTo>
                  <a:pt x="490623" y="89555"/>
                  <a:pt x="247112" y="149755"/>
                  <a:pt x="0" y="179507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8" name="Forma Livre: Forma 257">
            <a:extLst>
              <a:ext uri="{FF2B5EF4-FFF2-40B4-BE49-F238E27FC236}">
                <a16:creationId xmlns:a16="http://schemas.microsoft.com/office/drawing/2014/main" id="{D206C2AE-C181-4EB2-BAE7-8EBE0D010A80}"/>
              </a:ext>
            </a:extLst>
          </xdr:cNvPr>
          <xdr:cNvSpPr/>
        </xdr:nvSpPr>
        <xdr:spPr>
          <a:xfrm flipH="1">
            <a:off x="4571573" y="6102094"/>
            <a:ext cx="1531509" cy="572124"/>
          </a:xfrm>
          <a:custGeom>
            <a:avLst/>
            <a:gdLst>
              <a:gd name="connsiteX0" fmla="*/ 2303045 w 2303044"/>
              <a:gd name="connsiteY0" fmla="*/ 0 h 860345"/>
              <a:gd name="connsiteX1" fmla="*/ 2303045 w 2303044"/>
              <a:gd name="connsiteY1" fmla="*/ 0 h 860345"/>
              <a:gd name="connsiteX2" fmla="*/ 609908 w 2303044"/>
              <a:gd name="connsiteY2" fmla="*/ 508108 h 860345"/>
              <a:gd name="connsiteX3" fmla="*/ 420405 w 2303044"/>
              <a:gd name="connsiteY3" fmla="*/ 630424 h 860345"/>
              <a:gd name="connsiteX4" fmla="*/ 0 w 2303044"/>
              <a:gd name="connsiteY4" fmla="*/ 860346 h 8603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044" h="860345">
                <a:moveTo>
                  <a:pt x="2303045" y="0"/>
                </a:moveTo>
                <a:lnTo>
                  <a:pt x="2303045" y="0"/>
                </a:lnTo>
                <a:cubicBezTo>
                  <a:pt x="1709317" y="-314"/>
                  <a:pt x="1125765" y="174813"/>
                  <a:pt x="609908" y="508108"/>
                </a:cubicBezTo>
                <a:lnTo>
                  <a:pt x="420405" y="630424"/>
                </a:lnTo>
                <a:cubicBezTo>
                  <a:pt x="285086" y="717897"/>
                  <a:pt x="144620" y="794725"/>
                  <a:pt x="0" y="86034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9" name="Forma Livre: Forma 258">
            <a:extLst>
              <a:ext uri="{FF2B5EF4-FFF2-40B4-BE49-F238E27FC236}">
                <a16:creationId xmlns:a16="http://schemas.microsoft.com/office/drawing/2014/main" id="{5D1E1B57-856E-41B6-84D7-9A949166C711}"/>
              </a:ext>
            </a:extLst>
          </xdr:cNvPr>
          <xdr:cNvSpPr/>
        </xdr:nvSpPr>
        <xdr:spPr>
          <a:xfrm flipH="1">
            <a:off x="6102985" y="6508371"/>
            <a:ext cx="120880" cy="365588"/>
          </a:xfrm>
          <a:custGeom>
            <a:avLst/>
            <a:gdLst>
              <a:gd name="connsiteX0" fmla="*/ 0 w 181777"/>
              <a:gd name="connsiteY0" fmla="*/ 0 h 549761"/>
              <a:gd name="connsiteX1" fmla="*/ 181777 w 181777"/>
              <a:gd name="connsiteY1" fmla="*/ 0 h 549761"/>
              <a:gd name="connsiteX2" fmla="*/ 181777 w 181777"/>
              <a:gd name="connsiteY2" fmla="*/ 549761 h 549761"/>
              <a:gd name="connsiteX3" fmla="*/ 0 w 181777"/>
              <a:gd name="connsiteY3" fmla="*/ 549761 h 5497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549761">
                <a:moveTo>
                  <a:pt x="0" y="0"/>
                </a:moveTo>
                <a:lnTo>
                  <a:pt x="181777" y="0"/>
                </a:lnTo>
                <a:lnTo>
                  <a:pt x="181777" y="549761"/>
                </a:lnTo>
                <a:lnTo>
                  <a:pt x="0" y="54976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0" name="Forma Livre: Forma 259">
            <a:extLst>
              <a:ext uri="{FF2B5EF4-FFF2-40B4-BE49-F238E27FC236}">
                <a16:creationId xmlns:a16="http://schemas.microsoft.com/office/drawing/2014/main" id="{47C55977-959D-49CC-89D7-2866061AACDA}"/>
              </a:ext>
            </a:extLst>
          </xdr:cNvPr>
          <xdr:cNvSpPr/>
        </xdr:nvSpPr>
        <xdr:spPr>
          <a:xfrm flipH="1">
            <a:off x="6707388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1" name="Forma Livre: Forma 260">
            <a:extLst>
              <a:ext uri="{FF2B5EF4-FFF2-40B4-BE49-F238E27FC236}">
                <a16:creationId xmlns:a16="http://schemas.microsoft.com/office/drawing/2014/main" id="{925A2A18-F3A9-43A8-BA59-C8A11626D927}"/>
              </a:ext>
            </a:extLst>
          </xdr:cNvPr>
          <xdr:cNvSpPr/>
        </xdr:nvSpPr>
        <xdr:spPr>
          <a:xfrm flipH="1">
            <a:off x="6829627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2" name="Forma Livre: Forma 261">
            <a:extLst>
              <a:ext uri="{FF2B5EF4-FFF2-40B4-BE49-F238E27FC236}">
                <a16:creationId xmlns:a16="http://schemas.microsoft.com/office/drawing/2014/main" id="{F40775C4-0E62-4569-9DA3-81A0972160E5}"/>
              </a:ext>
            </a:extLst>
          </xdr:cNvPr>
          <xdr:cNvSpPr/>
        </xdr:nvSpPr>
        <xdr:spPr>
          <a:xfrm flipH="1">
            <a:off x="6224932" y="6655772"/>
            <a:ext cx="481971" cy="176857"/>
          </a:xfrm>
          <a:custGeom>
            <a:avLst/>
            <a:gdLst>
              <a:gd name="connsiteX0" fmla="*/ 0 w 724776"/>
              <a:gd name="connsiteY0" fmla="*/ 212235 h 265954"/>
              <a:gd name="connsiteX1" fmla="*/ 36443 w 724776"/>
              <a:gd name="connsiteY1" fmla="*/ 265955 h 265954"/>
              <a:gd name="connsiteX2" fmla="*/ 96501 w 724776"/>
              <a:gd name="connsiteY2" fmla="*/ 149755 h 265954"/>
              <a:gd name="connsiteX3" fmla="*/ 173905 w 724776"/>
              <a:gd name="connsiteY3" fmla="*/ 245789 h 265954"/>
              <a:gd name="connsiteX4" fmla="*/ 221864 w 724776"/>
              <a:gd name="connsiteY4" fmla="*/ 124961 h 265954"/>
              <a:gd name="connsiteX5" fmla="*/ 309765 w 724776"/>
              <a:gd name="connsiteY5" fmla="*/ 216863 h 265954"/>
              <a:gd name="connsiteX6" fmla="*/ 360347 w 724776"/>
              <a:gd name="connsiteY6" fmla="*/ 91902 h 265954"/>
              <a:gd name="connsiteX7" fmla="*/ 458160 w 724776"/>
              <a:gd name="connsiteY7" fmla="*/ 178681 h 265954"/>
              <a:gd name="connsiteX8" fmla="*/ 506993 w 724776"/>
              <a:gd name="connsiteY8" fmla="*/ 48596 h 265954"/>
              <a:gd name="connsiteX9" fmla="*/ 599850 w 724776"/>
              <a:gd name="connsiteY9" fmla="*/ 135374 h 265954"/>
              <a:gd name="connsiteX10" fmla="*/ 650870 w 724776"/>
              <a:gd name="connsiteY10" fmla="*/ 0 h 265954"/>
              <a:gd name="connsiteX11" fmla="*/ 724776 w 724776"/>
              <a:gd name="connsiteY11" fmla="*/ 67109 h 265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24776" h="265954">
                <a:moveTo>
                  <a:pt x="0" y="212235"/>
                </a:moveTo>
                <a:lnTo>
                  <a:pt x="36443" y="265955"/>
                </a:lnTo>
                <a:lnTo>
                  <a:pt x="96501" y="149755"/>
                </a:lnTo>
                <a:lnTo>
                  <a:pt x="173905" y="245789"/>
                </a:lnTo>
                <a:lnTo>
                  <a:pt x="221864" y="124961"/>
                </a:lnTo>
                <a:lnTo>
                  <a:pt x="309765" y="216863"/>
                </a:lnTo>
                <a:lnTo>
                  <a:pt x="360347" y="91902"/>
                </a:lnTo>
                <a:lnTo>
                  <a:pt x="458160" y="178681"/>
                </a:lnTo>
                <a:lnTo>
                  <a:pt x="506993" y="48596"/>
                </a:lnTo>
                <a:lnTo>
                  <a:pt x="599850" y="135374"/>
                </a:lnTo>
                <a:lnTo>
                  <a:pt x="650870" y="0"/>
                </a:lnTo>
                <a:lnTo>
                  <a:pt x="724776" y="67109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3" name="Forma Livre: Forma 262">
            <a:extLst>
              <a:ext uri="{FF2B5EF4-FFF2-40B4-BE49-F238E27FC236}">
                <a16:creationId xmlns:a16="http://schemas.microsoft.com/office/drawing/2014/main" id="{4BDEF3CF-0411-45CF-B433-F6283031C0ED}"/>
              </a:ext>
            </a:extLst>
          </xdr:cNvPr>
          <xdr:cNvSpPr/>
        </xdr:nvSpPr>
        <xdr:spPr>
          <a:xfrm flipH="1">
            <a:off x="4572639" y="6035924"/>
            <a:ext cx="1531122" cy="601802"/>
          </a:xfrm>
          <a:custGeom>
            <a:avLst/>
            <a:gdLst>
              <a:gd name="connsiteX0" fmla="*/ 0 w 2302461"/>
              <a:gd name="connsiteY0" fmla="*/ 904974 h 904974"/>
              <a:gd name="connsiteX1" fmla="*/ 29154 w 2302461"/>
              <a:gd name="connsiteY1" fmla="*/ 818196 h 904974"/>
              <a:gd name="connsiteX2" fmla="*/ 116617 w 2302461"/>
              <a:gd name="connsiteY2" fmla="*/ 900842 h 904974"/>
              <a:gd name="connsiteX3" fmla="*/ 148687 w 2302461"/>
              <a:gd name="connsiteY3" fmla="*/ 757534 h 904974"/>
              <a:gd name="connsiteX4" fmla="*/ 246500 w 2302461"/>
              <a:gd name="connsiteY4" fmla="*/ 831915 h 904974"/>
              <a:gd name="connsiteX5" fmla="*/ 271427 w 2302461"/>
              <a:gd name="connsiteY5" fmla="*/ 687946 h 904974"/>
              <a:gd name="connsiteX6" fmla="*/ 379589 w 2302461"/>
              <a:gd name="connsiteY6" fmla="*/ 754724 h 904974"/>
              <a:gd name="connsiteX7" fmla="*/ 389210 w 2302461"/>
              <a:gd name="connsiteY7" fmla="*/ 614225 h 904974"/>
              <a:gd name="connsiteX8" fmla="*/ 511367 w 2302461"/>
              <a:gd name="connsiteY8" fmla="*/ 667945 h 904974"/>
              <a:gd name="connsiteX9" fmla="*/ 509472 w 2302461"/>
              <a:gd name="connsiteY9" fmla="*/ 535051 h 904974"/>
              <a:gd name="connsiteX10" fmla="*/ 630462 w 2302461"/>
              <a:gd name="connsiteY10" fmla="*/ 592242 h 904974"/>
              <a:gd name="connsiteX11" fmla="*/ 638334 w 2302461"/>
              <a:gd name="connsiteY11" fmla="*/ 454553 h 904974"/>
              <a:gd name="connsiteX12" fmla="*/ 759178 w 2302461"/>
              <a:gd name="connsiteY12" fmla="*/ 515050 h 904974"/>
              <a:gd name="connsiteX13" fmla="*/ 776817 w 2302461"/>
              <a:gd name="connsiteY13" fmla="*/ 374552 h 904974"/>
              <a:gd name="connsiteX14" fmla="*/ 891539 w 2302461"/>
              <a:gd name="connsiteY14" fmla="*/ 442156 h 904974"/>
              <a:gd name="connsiteX15" fmla="*/ 916466 w 2302461"/>
              <a:gd name="connsiteY15" fmla="*/ 303642 h 904974"/>
              <a:gd name="connsiteX16" fmla="*/ 1033666 w 2302461"/>
              <a:gd name="connsiteY16" fmla="*/ 373230 h 904974"/>
              <a:gd name="connsiteX17" fmla="*/ 1063403 w 2302461"/>
              <a:gd name="connsiteY17" fmla="*/ 238186 h 904974"/>
              <a:gd name="connsiteX18" fmla="*/ 1163111 w 2302461"/>
              <a:gd name="connsiteY18" fmla="*/ 316038 h 904974"/>
              <a:gd name="connsiteX19" fmla="*/ 1207426 w 2302461"/>
              <a:gd name="connsiteY19" fmla="*/ 183805 h 904974"/>
              <a:gd name="connsiteX20" fmla="*/ 1297950 w 2302461"/>
              <a:gd name="connsiteY20" fmla="*/ 269261 h 904974"/>
              <a:gd name="connsiteX21" fmla="*/ 1345326 w 2302461"/>
              <a:gd name="connsiteY21" fmla="*/ 138350 h 904974"/>
              <a:gd name="connsiteX22" fmla="*/ 1433372 w 2302461"/>
              <a:gd name="connsiteY22" fmla="*/ 224467 h 904974"/>
              <a:gd name="connsiteX23" fmla="*/ 1485558 w 2302461"/>
              <a:gd name="connsiteY23" fmla="*/ 101159 h 904974"/>
              <a:gd name="connsiteX24" fmla="*/ 1568210 w 2302461"/>
              <a:gd name="connsiteY24" fmla="*/ 187937 h 904974"/>
              <a:gd name="connsiteX25" fmla="*/ 1612525 w 2302461"/>
              <a:gd name="connsiteY25" fmla="*/ 67439 h 904974"/>
              <a:gd name="connsiteX26" fmla="*/ 1697510 w 2302461"/>
              <a:gd name="connsiteY26" fmla="*/ 159011 h 904974"/>
              <a:gd name="connsiteX27" fmla="*/ 1746780 w 2302461"/>
              <a:gd name="connsiteY27" fmla="*/ 42645 h 904974"/>
              <a:gd name="connsiteX28" fmla="*/ 1822728 w 2302461"/>
              <a:gd name="connsiteY28" fmla="*/ 134878 h 904974"/>
              <a:gd name="connsiteX29" fmla="*/ 1879724 w 2302461"/>
              <a:gd name="connsiteY29" fmla="*/ 23306 h 904974"/>
              <a:gd name="connsiteX30" fmla="*/ 1954505 w 2302461"/>
              <a:gd name="connsiteY30" fmla="*/ 117688 h 904974"/>
              <a:gd name="connsiteX31" fmla="*/ 2015292 w 2302461"/>
              <a:gd name="connsiteY31" fmla="*/ 10248 h 904974"/>
              <a:gd name="connsiteX32" fmla="*/ 2087449 w 2302461"/>
              <a:gd name="connsiteY32" fmla="*/ 105291 h 904974"/>
              <a:gd name="connsiteX33" fmla="*/ 2148236 w 2302461"/>
              <a:gd name="connsiteY33" fmla="*/ 1322 h 904974"/>
              <a:gd name="connsiteX34" fmla="*/ 2208439 w 2302461"/>
              <a:gd name="connsiteY34" fmla="*/ 102481 h 904974"/>
              <a:gd name="connsiteX35" fmla="*/ 2267331 w 2302461"/>
              <a:gd name="connsiteY35" fmla="*/ 0 h 904974"/>
              <a:gd name="connsiteX36" fmla="*/ 2302462 w 2302461"/>
              <a:gd name="connsiteY36" fmla="*/ 57852 h 9049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302461" h="904974">
                <a:moveTo>
                  <a:pt x="0" y="904974"/>
                </a:moveTo>
                <a:lnTo>
                  <a:pt x="29154" y="818196"/>
                </a:lnTo>
                <a:lnTo>
                  <a:pt x="116617" y="900842"/>
                </a:lnTo>
                <a:lnTo>
                  <a:pt x="148687" y="757534"/>
                </a:lnTo>
                <a:lnTo>
                  <a:pt x="246500" y="831915"/>
                </a:lnTo>
                <a:lnTo>
                  <a:pt x="271427" y="687946"/>
                </a:lnTo>
                <a:lnTo>
                  <a:pt x="379589" y="754724"/>
                </a:lnTo>
                <a:lnTo>
                  <a:pt x="389210" y="614225"/>
                </a:lnTo>
                <a:lnTo>
                  <a:pt x="511367" y="667945"/>
                </a:lnTo>
                <a:lnTo>
                  <a:pt x="509472" y="535051"/>
                </a:lnTo>
                <a:lnTo>
                  <a:pt x="630462" y="592242"/>
                </a:lnTo>
                <a:lnTo>
                  <a:pt x="638334" y="454553"/>
                </a:lnTo>
                <a:lnTo>
                  <a:pt x="759178" y="515050"/>
                </a:lnTo>
                <a:lnTo>
                  <a:pt x="776817" y="374552"/>
                </a:lnTo>
                <a:lnTo>
                  <a:pt x="891539" y="442156"/>
                </a:lnTo>
                <a:lnTo>
                  <a:pt x="916466" y="303642"/>
                </a:lnTo>
                <a:lnTo>
                  <a:pt x="1033666" y="373230"/>
                </a:lnTo>
                <a:lnTo>
                  <a:pt x="1063403" y="238186"/>
                </a:lnTo>
                <a:lnTo>
                  <a:pt x="1163111" y="316038"/>
                </a:lnTo>
                <a:lnTo>
                  <a:pt x="1207426" y="183805"/>
                </a:lnTo>
                <a:lnTo>
                  <a:pt x="1297950" y="269261"/>
                </a:lnTo>
                <a:lnTo>
                  <a:pt x="1345326" y="138350"/>
                </a:lnTo>
                <a:lnTo>
                  <a:pt x="1433372" y="224467"/>
                </a:lnTo>
                <a:lnTo>
                  <a:pt x="1485558" y="101159"/>
                </a:lnTo>
                <a:lnTo>
                  <a:pt x="1568210" y="187937"/>
                </a:lnTo>
                <a:lnTo>
                  <a:pt x="1612525" y="67439"/>
                </a:lnTo>
                <a:lnTo>
                  <a:pt x="1697510" y="159011"/>
                </a:lnTo>
                <a:lnTo>
                  <a:pt x="1746780" y="42645"/>
                </a:lnTo>
                <a:lnTo>
                  <a:pt x="1822728" y="134878"/>
                </a:lnTo>
                <a:lnTo>
                  <a:pt x="1879724" y="23306"/>
                </a:lnTo>
                <a:lnTo>
                  <a:pt x="1954505" y="117688"/>
                </a:lnTo>
                <a:lnTo>
                  <a:pt x="2015292" y="10248"/>
                </a:lnTo>
                <a:lnTo>
                  <a:pt x="2087449" y="105291"/>
                </a:lnTo>
                <a:lnTo>
                  <a:pt x="2148236" y="1322"/>
                </a:lnTo>
                <a:lnTo>
                  <a:pt x="2208439" y="102481"/>
                </a:lnTo>
                <a:lnTo>
                  <a:pt x="2267331" y="0"/>
                </a:lnTo>
                <a:lnTo>
                  <a:pt x="2302462" y="57852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4" name="Forma Livre: Forma 263">
            <a:extLst>
              <a:ext uri="{FF2B5EF4-FFF2-40B4-BE49-F238E27FC236}">
                <a16:creationId xmlns:a16="http://schemas.microsoft.com/office/drawing/2014/main" id="{820B5A2C-499E-4802-9946-4588D1C5765B}"/>
              </a:ext>
            </a:extLst>
          </xdr:cNvPr>
          <xdr:cNvSpPr/>
        </xdr:nvSpPr>
        <xdr:spPr>
          <a:xfrm flipH="1">
            <a:off x="7609059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5" name="Forma Livre: Forma 264">
            <a:extLst>
              <a:ext uri="{FF2B5EF4-FFF2-40B4-BE49-F238E27FC236}">
                <a16:creationId xmlns:a16="http://schemas.microsoft.com/office/drawing/2014/main" id="{AFD79FD2-3DB3-4C60-9627-D35365FAB0E1}"/>
              </a:ext>
            </a:extLst>
          </xdr:cNvPr>
          <xdr:cNvSpPr/>
        </xdr:nvSpPr>
        <xdr:spPr>
          <a:xfrm flipH="1">
            <a:off x="7606443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6" name="Forma Livre: Forma 265">
            <a:extLst>
              <a:ext uri="{FF2B5EF4-FFF2-40B4-BE49-F238E27FC236}">
                <a16:creationId xmlns:a16="http://schemas.microsoft.com/office/drawing/2014/main" id="{9073BC25-7419-4680-9DBF-63F2DD767499}"/>
              </a:ext>
            </a:extLst>
          </xdr:cNvPr>
          <xdr:cNvSpPr/>
        </xdr:nvSpPr>
        <xdr:spPr>
          <a:xfrm flipH="1">
            <a:off x="7606054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7" name="Forma Livre: Forma 266">
            <a:extLst>
              <a:ext uri="{FF2B5EF4-FFF2-40B4-BE49-F238E27FC236}">
                <a16:creationId xmlns:a16="http://schemas.microsoft.com/office/drawing/2014/main" id="{E8E1CB20-ED23-46FC-8662-4DAEEF3654AD}"/>
              </a:ext>
            </a:extLst>
          </xdr:cNvPr>
          <xdr:cNvSpPr/>
        </xdr:nvSpPr>
        <xdr:spPr>
          <a:xfrm flipH="1">
            <a:off x="7607703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8" name="Forma Livre: Forma 267">
            <a:extLst>
              <a:ext uri="{FF2B5EF4-FFF2-40B4-BE49-F238E27FC236}">
                <a16:creationId xmlns:a16="http://schemas.microsoft.com/office/drawing/2014/main" id="{94ED1D33-2D2A-4DA6-B3CB-6020C83561BB}"/>
              </a:ext>
            </a:extLst>
          </xdr:cNvPr>
          <xdr:cNvSpPr/>
        </xdr:nvSpPr>
        <xdr:spPr>
          <a:xfrm flipH="1">
            <a:off x="7574632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solidFill>
            <a:schemeClr val="bg1"/>
          </a:solidFill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4</xdr:row>
      <xdr:rowOff>71436</xdr:rowOff>
    </xdr:from>
    <xdr:to>
      <xdr:col>15</xdr:col>
      <xdr:colOff>428624</xdr:colOff>
      <xdr:row>21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D7C9CE-B374-4159-8215-0CDE654EC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172835</xdr:colOff>
      <xdr:row>4</xdr:row>
      <xdr:rowOff>0</xdr:rowOff>
    </xdr:from>
    <xdr:to>
      <xdr:col>41</xdr:col>
      <xdr:colOff>1905</xdr:colOff>
      <xdr:row>18</xdr:row>
      <xdr:rowOff>98425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9E40E15-43B9-4AB4-A019-AAC66EE25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3421</xdr:colOff>
      <xdr:row>22</xdr:row>
      <xdr:rowOff>16241</xdr:rowOff>
    </xdr:from>
    <xdr:to>
      <xdr:col>10</xdr:col>
      <xdr:colOff>595887</xdr:colOff>
      <xdr:row>30</xdr:row>
      <xdr:rowOff>160551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C2849B-866D-4CE9-94FD-378542F26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18957</xdr:colOff>
      <xdr:row>22</xdr:row>
      <xdr:rowOff>3118</xdr:rowOff>
    </xdr:from>
    <xdr:to>
      <xdr:col>20</xdr:col>
      <xdr:colOff>576099</xdr:colOff>
      <xdr:row>30</xdr:row>
      <xdr:rowOff>160763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4BE461-C5DE-4B3D-AB63-24D89551F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80391</xdr:colOff>
      <xdr:row>22</xdr:row>
      <xdr:rowOff>16665</xdr:rowOff>
    </xdr:from>
    <xdr:to>
      <xdr:col>30</xdr:col>
      <xdr:colOff>586151</xdr:colOff>
      <xdr:row>30</xdr:row>
      <xdr:rowOff>151450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2CA000A-F520-4184-9E29-B4397E1BC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61909</xdr:colOff>
      <xdr:row>22</xdr:row>
      <xdr:rowOff>16876</xdr:rowOff>
    </xdr:from>
    <xdr:to>
      <xdr:col>41</xdr:col>
      <xdr:colOff>43278</xdr:colOff>
      <xdr:row>30</xdr:row>
      <xdr:rowOff>171765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2A2F3F4-B973-4415-83A6-FFC6DA893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93944</xdr:colOff>
      <xdr:row>72</xdr:row>
      <xdr:rowOff>227923</xdr:rowOff>
    </xdr:from>
    <xdr:to>
      <xdr:col>41</xdr:col>
      <xdr:colOff>0</xdr:colOff>
      <xdr:row>90</xdr:row>
      <xdr:rowOff>32289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D0806D3-9C46-4302-A9F5-EDA1F0DC1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91902</xdr:colOff>
      <xdr:row>2</xdr:row>
      <xdr:rowOff>707232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7BF2B610-20CB-4831-AC97-731B1F9BB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" y="826770"/>
          <a:ext cx="1428577" cy="524352"/>
        </a:xfrm>
        <a:prstGeom prst="rect">
          <a:avLst/>
        </a:prstGeom>
      </xdr:spPr>
    </xdr:pic>
    <xdr:clientData/>
  </xdr:twoCellAnchor>
  <xdr:twoCellAnchor>
    <xdr:from>
      <xdr:col>2</xdr:col>
      <xdr:colOff>27462</xdr:colOff>
      <xdr:row>57</xdr:row>
      <xdr:rowOff>53341</xdr:rowOff>
    </xdr:from>
    <xdr:to>
      <xdr:col>10</xdr:col>
      <xdr:colOff>565316</xdr:colOff>
      <xdr:row>68</xdr:row>
      <xdr:rowOff>187234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8CDC74A-B336-4B4F-AB50-D690E1711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27461</xdr:colOff>
      <xdr:row>57</xdr:row>
      <xdr:rowOff>53340</xdr:rowOff>
    </xdr:from>
    <xdr:to>
      <xdr:col>20</xdr:col>
      <xdr:colOff>568036</xdr:colOff>
      <xdr:row>68</xdr:row>
      <xdr:rowOff>187233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97C4888-868B-463F-BE8D-89C3AC1C6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27461</xdr:colOff>
      <xdr:row>57</xdr:row>
      <xdr:rowOff>53340</xdr:rowOff>
    </xdr:from>
    <xdr:to>
      <xdr:col>30</xdr:col>
      <xdr:colOff>565094</xdr:colOff>
      <xdr:row>68</xdr:row>
      <xdr:rowOff>170993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0B99BEF-7E34-4664-A5B8-21B504E30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25382</xdr:colOff>
      <xdr:row>57</xdr:row>
      <xdr:rowOff>57150</xdr:rowOff>
    </xdr:from>
    <xdr:to>
      <xdr:col>40</xdr:col>
      <xdr:colOff>587949</xdr:colOff>
      <xdr:row>68</xdr:row>
      <xdr:rowOff>172898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105D759-D18E-43CB-BA91-059E3E36A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114799</xdr:colOff>
      <xdr:row>92</xdr:row>
      <xdr:rowOff>1001</xdr:rowOff>
    </xdr:from>
    <xdr:to>
      <xdr:col>25</xdr:col>
      <xdr:colOff>435889</xdr:colOff>
      <xdr:row>107</xdr:row>
      <xdr:rowOff>226017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A7F740F-DD2D-4A46-AC11-D2779E0B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130040</xdr:colOff>
      <xdr:row>109</xdr:row>
      <xdr:rowOff>181394</xdr:rowOff>
    </xdr:from>
    <xdr:to>
      <xdr:col>25</xdr:col>
      <xdr:colOff>439701</xdr:colOff>
      <xdr:row>125</xdr:row>
      <xdr:rowOff>209873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9AACCC8-566B-4C23-90CF-FD670A8AE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130039</xdr:colOff>
      <xdr:row>127</xdr:row>
      <xdr:rowOff>179490</xdr:rowOff>
    </xdr:from>
    <xdr:to>
      <xdr:col>25</xdr:col>
      <xdr:colOff>439700</xdr:colOff>
      <xdr:row>143</xdr:row>
      <xdr:rowOff>226016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4E960F0-8E42-4F21-B46E-6E73CD854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130039</xdr:colOff>
      <xdr:row>146</xdr:row>
      <xdr:rowOff>18049</xdr:rowOff>
    </xdr:from>
    <xdr:to>
      <xdr:col>25</xdr:col>
      <xdr:colOff>440603</xdr:colOff>
      <xdr:row>161</xdr:row>
      <xdr:rowOff>209872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524041A-E56E-4555-BD7F-FAB572874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</xdr:colOff>
          <xdr:row>81</xdr:row>
          <xdr:rowOff>70306</xdr:rowOff>
        </xdr:from>
        <xdr:to>
          <xdr:col>37</xdr:col>
          <xdr:colOff>441361</xdr:colOff>
          <xdr:row>85</xdr:row>
          <xdr:rowOff>130314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A79B78C4-5E19-4EC7-A2F8-94C229362EE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61833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558336" y="36852348"/>
              <a:ext cx="1063943" cy="43754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130598</xdr:colOff>
          <xdr:row>100</xdr:row>
          <xdr:rowOff>238124</xdr:rowOff>
        </xdr:from>
        <xdr:to>
          <xdr:col>23</xdr:col>
          <xdr:colOff>436827</xdr:colOff>
          <xdr:row>103</xdr:row>
          <xdr:rowOff>131603</xdr:rowOff>
        </xdr:to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D8340D28-DBC9-4C44-BA94-EF767BDDE04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61834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2058676" y="41554796"/>
              <a:ext cx="64738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79014</xdr:colOff>
          <xdr:row>118</xdr:row>
          <xdr:rowOff>142874</xdr:rowOff>
        </xdr:from>
        <xdr:to>
          <xdr:col>23</xdr:col>
          <xdr:colOff>398578</xdr:colOff>
          <xdr:row>121</xdr:row>
          <xdr:rowOff>116693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CB0AC4D7-3B3D-4F87-B8FE-46631BA5233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61835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978352" y="45917411"/>
              <a:ext cx="723913" cy="32908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94265</xdr:colOff>
          <xdr:row>136</xdr:row>
          <xdr:rowOff>107155</xdr:rowOff>
        </xdr:from>
        <xdr:to>
          <xdr:col>23</xdr:col>
          <xdr:colOff>419544</xdr:colOff>
          <xdr:row>139</xdr:row>
          <xdr:rowOff>131943</xdr:rowOff>
        </xdr:to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1D1C087-25BD-4BFB-8932-5AF4885CEA0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6183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961451" y="50342969"/>
              <a:ext cx="784407" cy="32527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98064</xdr:colOff>
          <xdr:row>154</xdr:row>
          <xdr:rowOff>119061</xdr:rowOff>
        </xdr:from>
        <xdr:to>
          <xdr:col>23</xdr:col>
          <xdr:colOff>398578</xdr:colOff>
          <xdr:row>157</xdr:row>
          <xdr:rowOff>136220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1BB0054D-D56B-4D35-B1C6-B854F0E8F6D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61837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968112" y="54781138"/>
              <a:ext cx="76344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48580</xdr:colOff>
      <xdr:row>157</xdr:row>
      <xdr:rowOff>169545</xdr:rowOff>
    </xdr:from>
    <xdr:to>
      <xdr:col>23</xdr:col>
      <xdr:colOff>420530</xdr:colOff>
      <xdr:row>159</xdr:row>
      <xdr:rowOff>230505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73CFF3E6-2CD0-4F28-9D0F-F8B859A24013}"/>
            </a:ext>
          </a:extLst>
        </xdr:cNvPr>
        <xdr:cNvSpPr txBox="1"/>
      </xdr:nvSpPr>
      <xdr:spPr>
        <a:xfrm>
          <a:off x="12145330" y="55355014"/>
          <a:ext cx="371950" cy="5610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26195</xdr:colOff>
      <xdr:row>121</xdr:row>
      <xdr:rowOff>145732</xdr:rowOff>
    </xdr:from>
    <xdr:to>
      <xdr:col>23</xdr:col>
      <xdr:colOff>493871</xdr:colOff>
      <xdr:row>123</xdr:row>
      <xdr:rowOff>210502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3431C8F0-1906-4A73-9F7B-2077CA6E9608}"/>
            </a:ext>
          </a:extLst>
        </xdr:cNvPr>
        <xdr:cNvSpPr txBox="1"/>
      </xdr:nvSpPr>
      <xdr:spPr>
        <a:xfrm>
          <a:off x="12122945" y="46472951"/>
          <a:ext cx="467676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22471</xdr:colOff>
      <xdr:row>19</xdr:row>
      <xdr:rowOff>191145</xdr:rowOff>
    </xdr:from>
    <xdr:to>
      <xdr:col>10</xdr:col>
      <xdr:colOff>574933</xdr:colOff>
      <xdr:row>21</xdr:row>
      <xdr:rowOff>149717</xdr:rowOff>
    </xdr:to>
    <xdr:sp macro="" textlink="">
      <xdr:nvSpPr>
        <xdr:cNvPr id="29" name="Retângulo: Cantos Superiores Arredondados 28">
          <a:extLst>
            <a:ext uri="{FF2B5EF4-FFF2-40B4-BE49-F238E27FC236}">
              <a16:creationId xmlns:a16="http://schemas.microsoft.com/office/drawing/2014/main" id="{35AC68EC-5160-4F95-8109-CED4B2F118C7}"/>
            </a:ext>
          </a:extLst>
        </xdr:cNvPr>
        <xdr:cNvSpPr>
          <a:spLocks noChangeAspect="1"/>
        </xdr:cNvSpPr>
      </xdr:nvSpPr>
      <xdr:spPr bwMode="auto">
        <a:xfrm>
          <a:off x="454271" y="5321945"/>
          <a:ext cx="5327662" cy="39037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32982</xdr:colOff>
      <xdr:row>19</xdr:row>
      <xdr:rowOff>187110</xdr:rowOff>
    </xdr:from>
    <xdr:to>
      <xdr:col>20</xdr:col>
      <xdr:colOff>575041</xdr:colOff>
      <xdr:row>21</xdr:row>
      <xdr:rowOff>132544</xdr:rowOff>
    </xdr:to>
    <xdr:sp macro="" textlink="">
      <xdr:nvSpPr>
        <xdr:cNvPr id="30" name="Retângulo: Cantos Superiores Arredondados 29">
          <a:extLst>
            <a:ext uri="{FF2B5EF4-FFF2-40B4-BE49-F238E27FC236}">
              <a16:creationId xmlns:a16="http://schemas.microsoft.com/office/drawing/2014/main" id="{012C2E30-E852-4B0B-8869-FB2098D3567C}"/>
            </a:ext>
          </a:extLst>
        </xdr:cNvPr>
        <xdr:cNvSpPr>
          <a:spLocks noChangeAspect="1"/>
        </xdr:cNvSpPr>
      </xdr:nvSpPr>
      <xdr:spPr bwMode="auto">
        <a:xfrm>
          <a:off x="6014682" y="5317910"/>
          <a:ext cx="5317259" cy="37723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35326</xdr:colOff>
      <xdr:row>19</xdr:row>
      <xdr:rowOff>171004</xdr:rowOff>
    </xdr:from>
    <xdr:to>
      <xdr:col>31</xdr:col>
      <xdr:colOff>31750</xdr:colOff>
      <xdr:row>21</xdr:row>
      <xdr:rowOff>140826</xdr:rowOff>
    </xdr:to>
    <xdr:sp macro="" textlink="">
      <xdr:nvSpPr>
        <xdr:cNvPr id="31" name="Retângulo: Cantos Superiores Arredondados 30">
          <a:extLst>
            <a:ext uri="{FF2B5EF4-FFF2-40B4-BE49-F238E27FC236}">
              <a16:creationId xmlns:a16="http://schemas.microsoft.com/office/drawing/2014/main" id="{6A2884FF-DD05-4152-A2BB-0F748ACB926A}"/>
            </a:ext>
          </a:extLst>
        </xdr:cNvPr>
        <xdr:cNvSpPr>
          <a:spLocks noChangeAspect="1"/>
        </xdr:cNvSpPr>
      </xdr:nvSpPr>
      <xdr:spPr bwMode="auto">
        <a:xfrm>
          <a:off x="11566926" y="5301804"/>
          <a:ext cx="5368524" cy="40162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32</xdr:col>
      <xdr:colOff>35019</xdr:colOff>
      <xdr:row>19</xdr:row>
      <xdr:rowOff>178837</xdr:rowOff>
    </xdr:from>
    <xdr:to>
      <xdr:col>41</xdr:col>
      <xdr:colOff>28468</xdr:colOff>
      <xdr:row>21</xdr:row>
      <xdr:rowOff>124278</xdr:rowOff>
    </xdr:to>
    <xdr:sp macro="" textlink="">
      <xdr:nvSpPr>
        <xdr:cNvPr id="32" name="Retângulo: Cantos Superiores Arredondados 31">
          <a:extLst>
            <a:ext uri="{FF2B5EF4-FFF2-40B4-BE49-F238E27FC236}">
              <a16:creationId xmlns:a16="http://schemas.microsoft.com/office/drawing/2014/main" id="{92350E2B-1AB1-4515-87E9-130195D8714E}"/>
            </a:ext>
          </a:extLst>
        </xdr:cNvPr>
        <xdr:cNvSpPr>
          <a:spLocks noChangeAspect="1"/>
        </xdr:cNvSpPr>
      </xdr:nvSpPr>
      <xdr:spPr bwMode="auto">
        <a:xfrm>
          <a:off x="17116519" y="5309637"/>
          <a:ext cx="5225849" cy="37724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37</xdr:col>
      <xdr:colOff>12385</xdr:colOff>
      <xdr:row>85</xdr:row>
      <xdr:rowOff>152400</xdr:rowOff>
    </xdr:from>
    <xdr:to>
      <xdr:col>37</xdr:col>
      <xdr:colOff>474346</xdr:colOff>
      <xdr:row>87</xdr:row>
      <xdr:rowOff>219075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91D03E1-9E07-4F36-94FD-6820D89948F1}"/>
            </a:ext>
          </a:extLst>
        </xdr:cNvPr>
        <xdr:cNvSpPr txBox="1"/>
      </xdr:nvSpPr>
      <xdr:spPr>
        <a:xfrm>
          <a:off x="19883916" y="37621369"/>
          <a:ext cx="461961" cy="5667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33339</xdr:colOff>
      <xdr:row>103</xdr:row>
      <xdr:rowOff>193358</xdr:rowOff>
    </xdr:from>
    <xdr:to>
      <xdr:col>23</xdr:col>
      <xdr:colOff>491490</xdr:colOff>
      <xdr:row>106</xdr:row>
      <xdr:rowOff>8096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AF64A93-8253-4F20-A51D-34B2222AF69D}"/>
            </a:ext>
          </a:extLst>
        </xdr:cNvPr>
        <xdr:cNvSpPr txBox="1"/>
      </xdr:nvSpPr>
      <xdr:spPr>
        <a:xfrm>
          <a:off x="12130089" y="42091452"/>
          <a:ext cx="458151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592932</xdr:colOff>
      <xdr:row>139</xdr:row>
      <xdr:rowOff>186213</xdr:rowOff>
    </xdr:from>
    <xdr:to>
      <xdr:col>23</xdr:col>
      <xdr:colOff>455771</xdr:colOff>
      <xdr:row>142</xdr:row>
      <xdr:rowOff>10476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79126AA-6FB4-4FE6-AD78-7E74F4F8E881}"/>
            </a:ext>
          </a:extLst>
        </xdr:cNvPr>
        <xdr:cNvSpPr txBox="1"/>
      </xdr:nvSpPr>
      <xdr:spPr>
        <a:xfrm>
          <a:off x="12094370" y="50942557"/>
          <a:ext cx="458151" cy="574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097584" name="Imagem 22">
              <a:extLst>
                <a:ext uri="{FF2B5EF4-FFF2-40B4-BE49-F238E27FC236}">
                  <a16:creationId xmlns:a16="http://schemas.microsoft.com/office/drawing/2014/main" id="{2EECE74B-9EC9-40BD-64AB-42B62658258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61838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26048" name="Imagem 23">
              <a:extLst>
                <a:ext uri="{FF2B5EF4-FFF2-40B4-BE49-F238E27FC236}">
                  <a16:creationId xmlns:a16="http://schemas.microsoft.com/office/drawing/2014/main" id="{040D395B-CBC9-C370-8B07-0188BFA4257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61839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138148" name="Imagem 22">
              <a:extLst>
                <a:ext uri="{FF2B5EF4-FFF2-40B4-BE49-F238E27FC236}">
                  <a16:creationId xmlns:a16="http://schemas.microsoft.com/office/drawing/2014/main" id="{2F1E005F-5E67-7B6A-29D7-82DCB0F06DE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61840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42664" name="Imagem 23">
              <a:extLst>
                <a:ext uri="{FF2B5EF4-FFF2-40B4-BE49-F238E27FC236}">
                  <a16:creationId xmlns:a16="http://schemas.microsoft.com/office/drawing/2014/main" id="{1F40A735-1002-A08D-EDDE-19D85C488C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61841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86844" name="Imagem 23">
              <a:extLst>
                <a:ext uri="{FF2B5EF4-FFF2-40B4-BE49-F238E27FC236}">
                  <a16:creationId xmlns:a16="http://schemas.microsoft.com/office/drawing/2014/main" id="{7D31A37F-108C-67B6-B385-074DEBCC6CC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61842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259840" name="Imagem 22">
              <a:extLst>
                <a:ext uri="{FF2B5EF4-FFF2-40B4-BE49-F238E27FC236}">
                  <a16:creationId xmlns:a16="http://schemas.microsoft.com/office/drawing/2014/main" id="{75C7E3AB-45AC-4038-DCA0-9B4A23F4AA9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61843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Controle_Operacional_CKS\2024\06%20-%20Analista-Integrador\Consultas%20PowerQueryCom%20PIMS.xlsx" TargetMode="External"/><Relationship Id="rId1" Type="http://schemas.openxmlformats.org/officeDocument/2006/relationships/externalLinkPath" Target="https://globalvale.sharepoint.com/Controle_Operacional_CKS/2024/06%20-%20Analista-Integrador/Consultas%20PowerQueryCom%20PIM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Usina_Excelencia_Operacional\03-Acompanhamento%20Produ&#231;&#227;o\Acompanhamento%20Produ&#231;&#227;o%202024\Informe%20Produ&#231;&#227;o%20Hora%20a%20Hora_Oficial.xlsm" TargetMode="External"/><Relationship Id="rId1" Type="http://schemas.openxmlformats.org/officeDocument/2006/relationships/externalLinkPath" Target="file:///\\cvrdcjssa01\DADOS\AREA\Usina_Excelencia_Operacional\03-Acompanhamento%20Produ&#231;&#227;o\Acompanhamento%20Produ&#231;&#227;o%202024\Informe%20Produ&#231;&#227;o%20Hora%20a%20Hora_Ofic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locarData"/>
      <sheetName val="Reprojeção"/>
      <sheetName val="Projeção de Produção"/>
      <sheetName val="80x20"/>
      <sheetName val="Entradas"/>
      <sheetName val="Usina"/>
      <sheetName val="Hora-a-Hora"/>
      <sheetName val="Mov. Mina"/>
      <sheetName val="MovmentacaoConv"/>
      <sheetName val="MovmentacaoAuto"/>
      <sheetName val="SumarioAuto"/>
      <sheetName val="OrigemDestinoConv"/>
      <sheetName val="PIMS"/>
      <sheetName val="SumarioConv"/>
      <sheetName val="Planilha1"/>
      <sheetName val=" Projeção Expedição"/>
      <sheetName val="Planilha3"/>
      <sheetName val="Planilha4"/>
      <sheetName val="Férias"/>
      <sheetName val="SO&amp;E Silos"/>
    </sheetNames>
    <sheetDataSet>
      <sheetData sheetId="0">
        <row r="2">
          <cell r="A2" t="str">
            <v>21/04/2024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INEL"/>
      <sheetName val="Gráfico1"/>
      <sheetName val="Resumo D - Portal COI"/>
      <sheetName val="INFORME"/>
      <sheetName val="Testes"/>
      <sheetName val="Plano Usina"/>
      <sheetName val="DETALHE"/>
      <sheetName val="PIMS"/>
      <sheetName val="BASE"/>
      <sheetName val="Usina"/>
      <sheetName val="Baseprojetado"/>
      <sheetName val="infoCOI_USINA"/>
      <sheetName val="MINA"/>
      <sheetName val="BASE-D+1"/>
      <sheetName val="PROGRAMAÇÃO"/>
      <sheetName val="ConPI-Min"/>
      <sheetName val="DadoPI"/>
      <sheetName val="DADOS"/>
      <sheetName val="Base_Info"/>
      <sheetName val="D+1 Reunião COI"/>
      <sheetName val="Carta de Controle"/>
      <sheetName val="Gráfico Carta Controle"/>
    </sheetNames>
    <sheetDataSet>
      <sheetData sheetId="0"/>
      <sheetData sheetId="1" refreshError="1"/>
      <sheetData sheetId="2"/>
      <sheetData sheetId="3">
        <row r="74">
          <cell r="AI74">
            <v>0</v>
          </cell>
          <cell r="AJ74">
            <v>1947</v>
          </cell>
        </row>
        <row r="75">
          <cell r="AI75">
            <v>0</v>
          </cell>
          <cell r="AJ75">
            <v>0</v>
          </cell>
        </row>
        <row r="78">
          <cell r="AI78">
            <v>0</v>
          </cell>
          <cell r="AJ78">
            <v>0</v>
          </cell>
        </row>
        <row r="80">
          <cell r="AI80">
            <v>0</v>
          </cell>
          <cell r="AJ80">
            <v>0</v>
          </cell>
        </row>
        <row r="81">
          <cell r="AI81">
            <v>0</v>
          </cell>
          <cell r="AJ81">
            <v>0</v>
          </cell>
        </row>
        <row r="85">
          <cell r="AI85">
            <v>76724.040000000008</v>
          </cell>
          <cell r="AJ85">
            <v>53985</v>
          </cell>
        </row>
      </sheetData>
      <sheetData sheetId="4"/>
      <sheetData sheetId="5"/>
      <sheetData sheetId="6"/>
      <sheetData sheetId="7"/>
      <sheetData sheetId="8"/>
      <sheetData sheetId="9">
        <row r="13"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</row>
        <row r="37"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5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Hora" tableColumnId="1"/>
      <queryTableField id="2" name="US1_D+1" tableColumnId="2"/>
      <queryTableField id="3" name="US1_REAL" tableColumnId="3"/>
      <queryTableField id="4" name="US2_D+1" tableColumnId="4"/>
      <queryTableField id="5" name="US2_REAL" tableColumnId="5"/>
      <queryTableField id="6" name="US3_D+1" tableColumnId="6"/>
      <queryTableField id="7" name="US3_REAL" tableColumnId="7"/>
      <queryTableField id="8" name="US4_D+1" tableColumnId="8"/>
      <queryTableField id="9" name="US4_REAL" tableColumnId="9"/>
      <queryTableField id="10" name="US2_RC_D+1" tableColumnId="10"/>
      <queryTableField id="11" name="US2_RC_RE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95CC025A-6CC0-4EB7-89F4-18E413E05274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CIRCUITO ENTRADAS" tableColumnId="1"/>
      <queryTableField id="2" name="D+1" tableColumnId="2"/>
      <queryTableField id="3" name="EXEC" tableColumnId="3"/>
      <queryTableField id="4" dataBound="0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_Proj_Msg" displayName="tb_Proj_Msg" ref="BM1:BR3" totalsRowShown="0" headerRowDxfId="107">
  <tableColumns count="6">
    <tableColumn id="1" xr3:uid="{00000000-0010-0000-0000-000001000000}" name="Data"/>
    <tableColumn id="2" xr3:uid="{00000000-0010-0000-0000-000002000000}" name="Proj_US1">
      <calculatedColumnFormula>'JUSTIFICATIVA DE USINA'!$Z$3</calculatedColumnFormula>
    </tableColumn>
    <tableColumn id="3" xr3:uid="{00000000-0010-0000-0000-000003000000}" name="Proj_US2"/>
    <tableColumn id="4" xr3:uid="{00000000-0010-0000-0000-000004000000}" name="Proj_US3"/>
    <tableColumn id="5" xr3:uid="{00000000-0010-0000-0000-000005000000}" name="Proj_US4"/>
    <tableColumn id="6" xr3:uid="{00000000-0010-0000-0000-000006000000}" name="Proj_US_RC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_HH_Usina" displayName="TB_HH_Usina" ref="BA1:BK25" tableType="queryTable" totalsRowShown="0">
  <autoFilter ref="BA1:BK25" xr:uid="{00000000-0009-0000-0100-000001000000}"/>
  <tableColumns count="11">
    <tableColumn id="1" xr3:uid="{00000000-0010-0000-0100-000001000000}" uniqueName="1" name="Hora" queryTableFieldId="1"/>
    <tableColumn id="2" xr3:uid="{00000000-0010-0000-0100-000002000000}" uniqueName="2" name="US1_D+1" queryTableFieldId="2"/>
    <tableColumn id="3" xr3:uid="{00000000-0010-0000-0100-000003000000}" uniqueName="3" name="US1_REAL" queryTableFieldId="3"/>
    <tableColumn id="4" xr3:uid="{00000000-0010-0000-0100-000004000000}" uniqueName="4" name="US2_D+1" queryTableFieldId="4"/>
    <tableColumn id="5" xr3:uid="{00000000-0010-0000-0100-000005000000}" uniqueName="5" name="US2_REAL" queryTableFieldId="5"/>
    <tableColumn id="6" xr3:uid="{00000000-0010-0000-0100-000006000000}" uniqueName="6" name="US3_D+1" queryTableFieldId="6"/>
    <tableColumn id="7" xr3:uid="{00000000-0010-0000-0100-000007000000}" uniqueName="7" name="US3_REAL" queryTableFieldId="7"/>
    <tableColumn id="8" xr3:uid="{00000000-0010-0000-0100-000008000000}" uniqueName="8" name="US4_D+1" queryTableFieldId="8"/>
    <tableColumn id="9" xr3:uid="{00000000-0010-0000-0100-000009000000}" uniqueName="9" name="US4_REAL" queryTableFieldId="9"/>
    <tableColumn id="10" xr3:uid="{00000000-0010-0000-0100-00000A000000}" uniqueName="10" name="US2_RC_D+1" queryTableFieldId="10"/>
    <tableColumn id="11" xr3:uid="{00000000-0010-0000-0100-00000B000000}" uniqueName="11" name="US2_RC_RE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374C41-CC85-4816-B676-5971A629D369}" name="TB_Entradas" displayName="TB_Entradas" ref="CD1:CG10" tableType="queryTable" totalsRowCount="1" headerRowDxfId="106" dataDxfId="105" totalsRowDxfId="104">
  <autoFilter ref="CD1:CG9" xr:uid="{82374C41-CC85-4816-B676-5971A629D369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CD2:CG9">
    <sortCondition ref="CG1:CG9"/>
  </sortState>
  <tableColumns count="4">
    <tableColumn id="1" xr3:uid="{261CD57F-F869-4EF4-B54C-E5D0E6532EBE}" uniqueName="1" name="CIRCUITO ENTRADAS" queryTableFieldId="1" dataDxfId="103" totalsRowDxfId="102"/>
    <tableColumn id="2" xr3:uid="{AFF2284A-908E-4344-AFA5-DD82D7DE37D6}" uniqueName="2" name="D+1" totalsRowFunction="custom" queryTableFieldId="2" dataDxfId="101" totalsRowDxfId="100">
      <totalsRowFormula>SUBTOTAL(109,CE2:CE9)</totalsRowFormula>
    </tableColumn>
    <tableColumn id="3" xr3:uid="{35AE7364-7116-4B57-A786-6E6BF4858D09}" uniqueName="3" name="EXEC" totalsRowFunction="custom" queryTableFieldId="3" dataDxfId="99" totalsRowDxfId="98">
      <totalsRowFormula>SUBTOTAL(109,CF2:CF9)</totalsRowFormula>
    </tableColumn>
    <tableColumn id="4" xr3:uid="{195BFE4F-44F0-4095-AC51-A5732E14615A}" uniqueName="4" name="DIF" totalsRowFunction="custom" queryTableFieldId="4" dataDxfId="97" totalsRowDxfId="96">
      <calculatedColumnFormula>TB_Entradas[[#This Row],[EXEC]]-TB_Entradas[[#This Row],[D+1]]</calculatedColumnFormula>
      <totalsRowFormula>TB_Entradas[[#Totals],[EXEC]]-TB_Entradas[[#Totals],[D+1]]</totalsRow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cco">
  <a:themeElements>
    <a:clrScheme name="Tema Vale">
      <a:dk1>
        <a:srgbClr val="007E7A"/>
      </a:dk1>
      <a:lt1>
        <a:sysClr val="window" lastClr="FFFFFF"/>
      </a:lt1>
      <a:dk2>
        <a:srgbClr val="1F497D"/>
      </a:dk2>
      <a:lt2>
        <a:srgbClr val="EEECE1"/>
      </a:lt2>
      <a:accent1>
        <a:srgbClr val="747678"/>
      </a:accent1>
      <a:accent2>
        <a:srgbClr val="EDB111"/>
      </a:accent2>
      <a:accent3>
        <a:srgbClr val="E37222"/>
      </a:accent3>
      <a:accent4>
        <a:srgbClr val="BB133E"/>
      </a:accent4>
      <a:accent5>
        <a:srgbClr val="3D7EDB"/>
      </a:accent5>
      <a:accent6>
        <a:srgbClr val="00B0CA"/>
      </a:accent6>
      <a:hlink>
        <a:srgbClr val="69BE28"/>
      </a:hlink>
      <a:folHlink>
        <a:srgbClr val="DFDF0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>
    <pageSetUpPr fitToPage="1"/>
  </sheetPr>
  <dimension ref="A1:CE49"/>
  <sheetViews>
    <sheetView showGridLines="0" topLeftCell="U1" zoomScale="70" zoomScaleNormal="70" zoomScaleSheetLayoutView="85" workbookViewId="0">
      <selection activeCell="BM11" sqref="BM11"/>
    </sheetView>
  </sheetViews>
  <sheetFormatPr defaultColWidth="9.140625" defaultRowHeight="67.5" customHeight="1"/>
  <cols>
    <col min="1" max="1" width="12.28515625" style="79" hidden="1" customWidth="1"/>
    <col min="2" max="2" width="9.42578125" style="15" customWidth="1"/>
    <col min="3" max="3" width="19.5703125" style="15" customWidth="1"/>
    <col min="4" max="4" width="78.5703125" style="15" customWidth="1"/>
    <col min="5" max="5" width="2.7109375" style="15" customWidth="1"/>
    <col min="6" max="6" width="9" style="15" customWidth="1"/>
    <col min="7" max="7" width="13.7109375" style="15" customWidth="1"/>
    <col min="8" max="8" width="80.42578125" style="15" customWidth="1"/>
    <col min="9" max="9" width="2.7109375" style="70" customWidth="1"/>
    <col min="10" max="10" width="8.5703125" style="15" customWidth="1"/>
    <col min="11" max="11" width="12.85546875" style="15" customWidth="1"/>
    <col min="12" max="12" width="76" style="15" customWidth="1"/>
    <col min="13" max="13" width="2.7109375" style="70" customWidth="1"/>
    <col min="14" max="14" width="8" style="15" customWidth="1"/>
    <col min="15" max="15" width="10.7109375" style="15" customWidth="1"/>
    <col min="16" max="16" width="86.5703125" style="15" customWidth="1"/>
    <col min="17" max="17" width="4.140625" style="70" customWidth="1"/>
    <col min="18" max="18" width="8" style="15" customWidth="1"/>
    <col min="19" max="19" width="10.7109375" style="15" customWidth="1"/>
    <col min="20" max="20" width="86.5703125" style="15" customWidth="1"/>
    <col min="21" max="21" width="5.42578125" style="70" customWidth="1"/>
    <col min="22" max="22" width="2.85546875" style="70" customWidth="1"/>
    <col min="23" max="23" width="14.7109375" style="70" customWidth="1"/>
    <col min="24" max="24" width="5.7109375" style="70" customWidth="1"/>
    <col min="25" max="25" width="6.42578125" style="70" customWidth="1"/>
    <col min="26" max="26" width="0" style="70" hidden="1" customWidth="1"/>
    <col min="27" max="30" width="9.140625" style="70"/>
    <col min="31" max="31" width="9.28515625" style="70" customWidth="1"/>
    <col min="32" max="33" width="9.140625" style="70"/>
    <col min="34" max="34" width="18.28515625" style="70" customWidth="1"/>
    <col min="35" max="35" width="0.5703125" style="70" customWidth="1"/>
    <col min="36" max="36" width="2" style="70" customWidth="1"/>
    <col min="37" max="37" width="3.42578125" style="70" customWidth="1"/>
    <col min="38" max="44" width="9.140625" style="70"/>
    <col min="45" max="45" width="14.5703125" style="70" bestFit="1" customWidth="1"/>
    <col min="46" max="46" width="12.42578125" style="70" customWidth="1"/>
    <col min="47" max="47" width="2.85546875" style="70" customWidth="1"/>
    <col min="48" max="48" width="1.5703125" style="70" customWidth="1"/>
    <col min="49" max="49" width="2.140625" style="70" customWidth="1"/>
    <col min="50" max="50" width="2.5703125" style="70" customWidth="1"/>
    <col min="51" max="57" width="9.140625" style="70"/>
    <col min="58" max="58" width="9.140625" style="70" customWidth="1"/>
    <col min="59" max="59" width="0.5703125" style="70" customWidth="1"/>
    <col min="60" max="60" width="1.5703125" style="70" customWidth="1"/>
    <col min="61" max="61" width="0.7109375" style="70" customWidth="1"/>
    <col min="62" max="16384" width="9.140625" style="70"/>
  </cols>
  <sheetData>
    <row r="1" spans="1:83" s="69" customFormat="1" ht="67.5" customHeight="1">
      <c r="A1" s="66" t="s">
        <v>0</v>
      </c>
      <c r="B1" s="185" t="s">
        <v>1</v>
      </c>
      <c r="C1" s="186"/>
      <c r="D1" s="187"/>
      <c r="E1" s="67"/>
      <c r="F1" s="185" t="s">
        <v>2</v>
      </c>
      <c r="G1" s="186"/>
      <c r="H1" s="187"/>
      <c r="I1" s="68"/>
      <c r="J1" s="185" t="s">
        <v>3</v>
      </c>
      <c r="K1" s="186"/>
      <c r="L1" s="187"/>
      <c r="M1" s="68"/>
      <c r="N1" s="185" t="s">
        <v>4</v>
      </c>
      <c r="O1" s="186"/>
      <c r="P1" s="187"/>
      <c r="R1" s="185"/>
      <c r="S1" s="186"/>
      <c r="T1" s="187"/>
      <c r="U1" s="70"/>
      <c r="V1" s="70"/>
      <c r="W1" s="100" t="s">
        <v>63</v>
      </c>
      <c r="BC1" s="97"/>
      <c r="BD1" s="97"/>
      <c r="BE1" s="97"/>
      <c r="BF1" s="97"/>
      <c r="BG1" s="97"/>
      <c r="BH1" s="97"/>
      <c r="BI1" s="97"/>
      <c r="BJ1" s="97"/>
    </row>
    <row r="2" spans="1:83" s="75" customFormat="1" ht="67.5" customHeight="1">
      <c r="A2" s="71" t="s">
        <v>5</v>
      </c>
      <c r="B2" s="72" t="s">
        <v>6</v>
      </c>
      <c r="C2" s="72" t="s">
        <v>7</v>
      </c>
      <c r="D2" s="72" t="s">
        <v>8</v>
      </c>
      <c r="E2" s="73"/>
      <c r="F2" s="72" t="s">
        <v>6</v>
      </c>
      <c r="G2" s="72" t="s">
        <v>7</v>
      </c>
      <c r="H2" s="72" t="s">
        <v>8</v>
      </c>
      <c r="I2" s="74"/>
      <c r="J2" s="72" t="s">
        <v>6</v>
      </c>
      <c r="K2" s="72" t="s">
        <v>7</v>
      </c>
      <c r="L2" s="72" t="s">
        <v>8</v>
      </c>
      <c r="M2" s="74"/>
      <c r="N2" s="72" t="s">
        <v>6</v>
      </c>
      <c r="O2" s="72" t="s">
        <v>7</v>
      </c>
      <c r="P2" s="72" t="s">
        <v>8</v>
      </c>
      <c r="R2" s="72" t="s">
        <v>6</v>
      </c>
      <c r="S2" s="72" t="s">
        <v>7</v>
      </c>
      <c r="T2" s="72" t="s">
        <v>8</v>
      </c>
      <c r="U2" s="70"/>
      <c r="V2" s="70"/>
      <c r="W2" s="101">
        <f>+AG2+AS2+BE2+BQ2</f>
        <v>293000</v>
      </c>
      <c r="Z2" s="76" t="s">
        <v>9</v>
      </c>
      <c r="AA2" s="102" t="s">
        <v>9</v>
      </c>
      <c r="AB2" s="77"/>
      <c r="AC2" s="77"/>
      <c r="AD2" s="77"/>
      <c r="AE2" s="78" t="s">
        <v>10</v>
      </c>
      <c r="AF2" s="78"/>
      <c r="AG2" s="188">
        <v>195000</v>
      </c>
      <c r="AH2" s="189"/>
      <c r="AI2" s="75">
        <v>19</v>
      </c>
      <c r="AL2" s="121" t="s">
        <v>11</v>
      </c>
      <c r="AM2" s="77"/>
      <c r="AN2" s="77"/>
      <c r="AO2" s="77"/>
      <c r="AP2" s="77"/>
      <c r="AQ2" s="78" t="s">
        <v>10</v>
      </c>
      <c r="AR2" s="77"/>
      <c r="AS2" s="188">
        <v>60000</v>
      </c>
      <c r="AT2" s="189"/>
      <c r="AX2" s="121" t="s">
        <v>12</v>
      </c>
      <c r="AY2" s="77"/>
      <c r="AZ2" s="77"/>
      <c r="BA2" s="77"/>
      <c r="BB2" s="77"/>
      <c r="BC2" s="78" t="s">
        <v>10</v>
      </c>
      <c r="BD2" s="77"/>
      <c r="BE2" s="188">
        <v>38000</v>
      </c>
      <c r="BF2" s="189"/>
      <c r="BJ2" s="76" t="s">
        <v>13</v>
      </c>
      <c r="BK2" s="77"/>
      <c r="BL2" s="77"/>
      <c r="BM2" s="77"/>
      <c r="BN2" s="77"/>
      <c r="BO2" s="78" t="s">
        <v>10</v>
      </c>
      <c r="BP2" s="77"/>
      <c r="BQ2" s="188">
        <v>0</v>
      </c>
      <c r="BR2" s="189"/>
      <c r="BT2" s="76" t="s">
        <v>14</v>
      </c>
      <c r="BU2" s="77"/>
      <c r="BV2" s="77"/>
      <c r="BW2" s="77"/>
      <c r="BX2" s="77"/>
      <c r="BY2" s="78" t="s">
        <v>10</v>
      </c>
      <c r="BZ2" s="77"/>
      <c r="CA2" s="188"/>
      <c r="CB2" s="189"/>
    </row>
    <row r="3" spans="1:83" ht="67.5" customHeight="1">
      <c r="A3" s="79">
        <f>'ACOMPANHAMENTO USINA'!$AL$2</f>
        <v>45448</v>
      </c>
      <c r="B3" s="80">
        <v>1</v>
      </c>
      <c r="C3" s="81">
        <f ca="1">IF('PRODUÇÃO TOTAL USINA'!K3="","",'PRODUÇÃO TOTAL USINA'!K3-'PRODUÇÃO TOTAL USINA'!J3)</f>
        <v>-1949.091271546873</v>
      </c>
      <c r="D3" s="90" t="s">
        <v>142</v>
      </c>
      <c r="E3" s="54"/>
      <c r="F3" s="80">
        <v>1</v>
      </c>
      <c r="G3" s="81">
        <f ca="1">IF('PRODUÇÃO TOTAL USINA'!S3="","",'PRODUÇÃO TOTAL USINA'!S3-'PRODUÇÃO TOTAL USINA'!R3)</f>
        <v>-2889.7200000000003</v>
      </c>
      <c r="H3" s="90" t="s">
        <v>141</v>
      </c>
      <c r="I3" s="82" t="s">
        <v>138</v>
      </c>
      <c r="J3" s="80">
        <v>1</v>
      </c>
      <c r="K3" s="81">
        <f ca="1">IF('PRODUÇÃO TOTAL USINA'!AA3="","",'PRODUÇÃO TOTAL USINA'!AA3-'PRODUÇÃO TOTAL USINA'!Z3)</f>
        <v>-31.579199999999673</v>
      </c>
      <c r="L3" s="90" t="s">
        <v>144</v>
      </c>
      <c r="M3" s="82"/>
      <c r="N3" s="80">
        <v>1</v>
      </c>
      <c r="O3" s="81">
        <f ca="1">IF('PRODUÇÃO TOTAL USINA'!AI3="","",'PRODUÇÃO TOTAL USINA'!AI3-'PRODUÇÃO TOTAL USINA'!AH3)</f>
        <v>-158.75000000000003</v>
      </c>
      <c r="P3" s="90" t="s">
        <v>140</v>
      </c>
      <c r="R3" s="80">
        <v>1</v>
      </c>
      <c r="S3" s="81" t="str">
        <f>IF('PRODUÇÃO TOTAL USINA'!AM3="","",'PRODUÇÃO TOTAL USINA'!AM3-'PRODUÇÃO TOTAL USINA'!AL3)</f>
        <v/>
      </c>
      <c r="T3" s="90"/>
      <c r="W3" s="63"/>
      <c r="X3" s="15"/>
      <c r="Z3" s="193" t="s">
        <v>161</v>
      </c>
      <c r="AA3" s="190"/>
      <c r="AB3" s="190"/>
      <c r="AC3" s="190"/>
      <c r="AD3" s="190"/>
      <c r="AE3" s="190"/>
      <c r="AF3" s="190"/>
      <c r="AG3" s="190"/>
      <c r="AH3" s="190"/>
      <c r="AI3" s="15"/>
      <c r="AJ3" s="15"/>
      <c r="AK3" s="15"/>
      <c r="AL3" s="193" t="s">
        <v>165</v>
      </c>
      <c r="AM3" s="194"/>
      <c r="AN3" s="194"/>
      <c r="AO3" s="194"/>
      <c r="AP3" s="194"/>
      <c r="AQ3" s="194"/>
      <c r="AR3" s="194"/>
      <c r="AS3" s="194"/>
      <c r="AT3" s="194"/>
      <c r="AU3" s="15"/>
      <c r="AV3" s="15"/>
      <c r="AW3" s="15"/>
      <c r="AX3" s="193" t="s">
        <v>166</v>
      </c>
      <c r="AY3" s="190"/>
      <c r="AZ3" s="190"/>
      <c r="BA3" s="190"/>
      <c r="BB3" s="190"/>
      <c r="BC3" s="190"/>
      <c r="BD3" s="190"/>
      <c r="BE3" s="190"/>
      <c r="BF3" s="190"/>
      <c r="BG3" s="15"/>
      <c r="BH3" s="15"/>
      <c r="BI3" s="15"/>
      <c r="BJ3" s="193" t="s">
        <v>160</v>
      </c>
      <c r="BK3" s="191"/>
      <c r="BL3" s="191"/>
      <c r="BM3" s="191"/>
      <c r="BN3" s="191"/>
      <c r="BO3" s="191"/>
      <c r="BP3" s="191"/>
      <c r="BQ3" s="191"/>
      <c r="BR3" s="192"/>
      <c r="BS3" s="83"/>
      <c r="BT3" s="190"/>
      <c r="BU3" s="191"/>
      <c r="BV3" s="191"/>
      <c r="BW3" s="191"/>
      <c r="BX3" s="191"/>
      <c r="BY3" s="191"/>
      <c r="BZ3" s="191"/>
      <c r="CA3" s="191"/>
      <c r="CB3" s="192"/>
    </row>
    <row r="4" spans="1:83" ht="67.5" customHeight="1">
      <c r="A4" s="79">
        <f>'ACOMPANHAMENTO USINA'!$AL$2</f>
        <v>45448</v>
      </c>
      <c r="B4" s="80">
        <v>2</v>
      </c>
      <c r="C4" s="81">
        <f ca="1">IF('PRODUÇÃO TOTAL USINA'!K4="","",'PRODUÇÃO TOTAL USINA'!K4-'PRODUÇÃO TOTAL USINA'!J4)</f>
        <v>621.52328464417587</v>
      </c>
      <c r="D4" s="90"/>
      <c r="E4" s="54"/>
      <c r="F4" s="80">
        <v>2</v>
      </c>
      <c r="G4" s="81">
        <f ca="1">IF('PRODUÇÃO TOTAL USINA'!S4="","",'PRODUÇÃO TOTAL USINA'!S4-'PRODUÇÃO TOTAL USINA'!R4)</f>
        <v>-2402.7200000000003</v>
      </c>
      <c r="H4" s="90" t="s">
        <v>143</v>
      </c>
      <c r="I4" s="82"/>
      <c r="J4" s="80">
        <v>2</v>
      </c>
      <c r="K4" s="81">
        <f ca="1">IF('PRODUÇÃO TOTAL USINA'!AA4="","",'PRODUÇÃO TOTAL USINA'!AA4-'PRODUÇÃO TOTAL USINA'!Z4)</f>
        <v>-551.17799999999988</v>
      </c>
      <c r="L4" s="90" t="s">
        <v>144</v>
      </c>
      <c r="M4" s="88"/>
      <c r="N4" s="80">
        <v>2</v>
      </c>
      <c r="O4" s="81">
        <f ca="1">IF('PRODUÇÃO TOTAL USINA'!AI4="","",'PRODUÇÃO TOTAL USINA'!AI4-'PRODUÇÃO TOTAL USINA'!AH4)</f>
        <v>-158.75000000000003</v>
      </c>
      <c r="P4" s="90" t="s">
        <v>140</v>
      </c>
      <c r="R4" s="80">
        <v>2</v>
      </c>
      <c r="S4" s="81" t="str">
        <f>IF('PRODUÇÃO TOTAL USINA'!AM4="","",'PRODUÇÃO TOTAL USINA'!AM4-'PRODUÇÃO TOTAL USINA'!AL4)</f>
        <v/>
      </c>
      <c r="T4" s="90"/>
      <c r="W4" s="83"/>
      <c r="Z4" s="190"/>
      <c r="AA4" s="190"/>
      <c r="AB4" s="190"/>
      <c r="AC4" s="190"/>
      <c r="AD4" s="190"/>
      <c r="AE4" s="190"/>
      <c r="AF4" s="190"/>
      <c r="AG4" s="190"/>
      <c r="AH4" s="190"/>
      <c r="AI4" s="15"/>
      <c r="AJ4" s="15"/>
      <c r="AK4" s="15"/>
      <c r="AL4" s="194"/>
      <c r="AM4" s="194"/>
      <c r="AN4" s="194"/>
      <c r="AO4" s="194"/>
      <c r="AP4" s="194"/>
      <c r="AQ4" s="194"/>
      <c r="AR4" s="194"/>
      <c r="AS4" s="194"/>
      <c r="AT4" s="194"/>
      <c r="AU4" s="15"/>
      <c r="AV4" s="15"/>
      <c r="AW4" s="15"/>
      <c r="AX4" s="190"/>
      <c r="AY4" s="190"/>
      <c r="AZ4" s="190"/>
      <c r="BA4" s="190"/>
      <c r="BB4" s="190"/>
      <c r="BC4" s="190"/>
      <c r="BD4" s="190"/>
      <c r="BE4" s="190"/>
      <c r="BF4" s="190"/>
      <c r="BG4" s="15"/>
      <c r="BH4" s="15"/>
      <c r="BI4" s="15"/>
      <c r="BJ4" s="191"/>
      <c r="BK4" s="191"/>
      <c r="BL4" s="191"/>
      <c r="BM4" s="191"/>
      <c r="BN4" s="191"/>
      <c r="BO4" s="191"/>
      <c r="BP4" s="191"/>
      <c r="BQ4" s="191"/>
      <c r="BR4" s="192"/>
      <c r="BT4" s="191"/>
      <c r="BU4" s="191"/>
      <c r="BV4" s="191"/>
      <c r="BW4" s="191"/>
      <c r="BX4" s="191"/>
      <c r="BY4" s="191"/>
      <c r="BZ4" s="191"/>
      <c r="CA4" s="191"/>
      <c r="CB4" s="192"/>
    </row>
    <row r="5" spans="1:83" ht="67.5" customHeight="1">
      <c r="A5" s="79">
        <f>'ACOMPANHAMENTO USINA'!$AL$2</f>
        <v>45448</v>
      </c>
      <c r="B5" s="80">
        <v>3</v>
      </c>
      <c r="C5" s="81">
        <f ca="1">IF('PRODUÇÃO TOTAL USINA'!K5="","",'PRODUÇÃO TOTAL USINA'!K5-'PRODUÇÃO TOTAL USINA'!J5)</f>
        <v>1814.2457896642118</v>
      </c>
      <c r="D5" s="90"/>
      <c r="E5" s="54"/>
      <c r="F5" s="80" t="s">
        <v>82</v>
      </c>
      <c r="G5" s="81">
        <f ca="1">IF('PRODUÇÃO TOTAL USINA'!S5="","",'PRODUÇÃO TOTAL USINA'!S5-'PRODUÇÃO TOTAL USINA'!R5)</f>
        <v>-3994.5599999999995</v>
      </c>
      <c r="H5" s="90" t="s">
        <v>143</v>
      </c>
      <c r="I5" s="82"/>
      <c r="J5" s="80">
        <v>3</v>
      </c>
      <c r="K5" s="81">
        <f ca="1">IF('PRODUÇÃO TOTAL USINA'!AA5="","",'PRODUÇÃO TOTAL USINA'!AA5-'PRODUÇÃO TOTAL USINA'!Z5)</f>
        <v>-520.89960000000019</v>
      </c>
      <c r="L5" s="90" t="s">
        <v>145</v>
      </c>
      <c r="M5" s="82"/>
      <c r="N5" s="80">
        <v>3</v>
      </c>
      <c r="O5" s="81">
        <f ca="1">IF('PRODUÇÃO TOTAL USINA'!AI5="","",'PRODUÇÃO TOTAL USINA'!AI5-'PRODUÇÃO TOTAL USINA'!AH5)</f>
        <v>-158.75000000000003</v>
      </c>
      <c r="P5" s="90" t="s">
        <v>140</v>
      </c>
      <c r="R5" s="80">
        <v>3</v>
      </c>
      <c r="S5" s="81" t="str">
        <f>IF('PRODUÇÃO TOTAL USINA'!AM5="","",'PRODUÇÃO TOTAL USINA'!AM5-'PRODUÇÃO TOTAL USINA'!AL5)</f>
        <v/>
      </c>
      <c r="T5" s="103"/>
      <c r="Z5" s="190"/>
      <c r="AA5" s="190"/>
      <c r="AB5" s="190"/>
      <c r="AC5" s="190"/>
      <c r="AD5" s="190"/>
      <c r="AE5" s="190"/>
      <c r="AF5" s="190"/>
      <c r="AG5" s="190"/>
      <c r="AH5" s="190"/>
      <c r="AI5" s="15"/>
      <c r="AJ5" s="15"/>
      <c r="AK5" s="15"/>
      <c r="AL5" s="194"/>
      <c r="AM5" s="194"/>
      <c r="AN5" s="194"/>
      <c r="AO5" s="194"/>
      <c r="AP5" s="194"/>
      <c r="AQ5" s="194"/>
      <c r="AR5" s="194"/>
      <c r="AS5" s="194"/>
      <c r="AT5" s="194"/>
      <c r="AU5" s="15"/>
      <c r="AV5" s="15"/>
      <c r="AW5" s="15"/>
      <c r="AX5" s="190"/>
      <c r="AY5" s="190"/>
      <c r="AZ5" s="190"/>
      <c r="BA5" s="190"/>
      <c r="BB5" s="190"/>
      <c r="BC5" s="190"/>
      <c r="BD5" s="190"/>
      <c r="BE5" s="190"/>
      <c r="BF5" s="190"/>
      <c r="BG5" s="15"/>
      <c r="BH5" s="15"/>
      <c r="BI5" s="15"/>
      <c r="BJ5" s="191"/>
      <c r="BK5" s="191"/>
      <c r="BL5" s="191"/>
      <c r="BM5" s="191"/>
      <c r="BN5" s="191"/>
      <c r="BO5" s="191"/>
      <c r="BP5" s="191"/>
      <c r="BQ5" s="191"/>
      <c r="BR5" s="192"/>
      <c r="BT5" s="191"/>
      <c r="BU5" s="191"/>
      <c r="BV5" s="191"/>
      <c r="BW5" s="191"/>
      <c r="BX5" s="191"/>
      <c r="BY5" s="191"/>
      <c r="BZ5" s="191"/>
      <c r="CA5" s="191"/>
      <c r="CB5" s="192"/>
    </row>
    <row r="6" spans="1:83" ht="85.5" customHeight="1">
      <c r="A6" s="79">
        <f>'ACOMPANHAMENTO USINA'!$AL$2</f>
        <v>45448</v>
      </c>
      <c r="B6" s="80">
        <v>4</v>
      </c>
      <c r="C6" s="81">
        <f ca="1">IF('PRODUÇÃO TOTAL USINA'!K6="","",'PRODUÇÃO TOTAL USINA'!K6-'PRODUÇÃO TOTAL USINA'!J6)</f>
        <v>-2818.4020612842723</v>
      </c>
      <c r="D6" s="90" t="s">
        <v>151</v>
      </c>
      <c r="E6" s="54"/>
      <c r="F6" s="80">
        <v>4</v>
      </c>
      <c r="G6" s="81">
        <f ca="1">IF('PRODUÇÃO TOTAL USINA'!S6="","",'PRODUÇÃO TOTAL USINA'!S6-'PRODUÇÃO TOTAL USINA'!R6)</f>
        <v>-3770.84</v>
      </c>
      <c r="H6" s="90" t="s">
        <v>152</v>
      </c>
      <c r="I6" s="82"/>
      <c r="J6" s="80">
        <v>4</v>
      </c>
      <c r="K6" s="81">
        <f ca="1">IF('PRODUÇÃO TOTAL USINA'!AA6="","",'PRODUÇÃO TOTAL USINA'!AA6-'PRODUÇÃO TOTAL USINA'!Z6)</f>
        <v>159.22319999999991</v>
      </c>
      <c r="L6" s="90"/>
      <c r="M6" s="82"/>
      <c r="N6" s="80">
        <v>4</v>
      </c>
      <c r="O6" s="81">
        <f ca="1">IF('PRODUÇÃO TOTAL USINA'!AI6="","",'PRODUÇÃO TOTAL USINA'!AI6-'PRODUÇÃO TOTAL USINA'!AH6)</f>
        <v>-158.75000000000003</v>
      </c>
      <c r="P6" s="90" t="s">
        <v>140</v>
      </c>
      <c r="R6" s="80">
        <v>4</v>
      </c>
      <c r="S6" s="81" t="str">
        <f>IF('PRODUÇÃO TOTAL USINA'!AM6="","",'PRODUÇÃO TOTAL USINA'!AM6-'PRODUÇÃO TOTAL USINA'!AL6)</f>
        <v/>
      </c>
      <c r="T6" s="90"/>
      <c r="Z6" s="190"/>
      <c r="AA6" s="190"/>
      <c r="AB6" s="190"/>
      <c r="AC6" s="190"/>
      <c r="AD6" s="190"/>
      <c r="AE6" s="190"/>
      <c r="AF6" s="190"/>
      <c r="AG6" s="190"/>
      <c r="AH6" s="190"/>
      <c r="AI6" s="15"/>
      <c r="AJ6" s="15"/>
      <c r="AK6" s="15"/>
      <c r="AL6" s="194"/>
      <c r="AM6" s="194"/>
      <c r="AN6" s="194"/>
      <c r="AO6" s="194"/>
      <c r="AP6" s="194"/>
      <c r="AQ6" s="194"/>
      <c r="AR6" s="194"/>
      <c r="AS6" s="194"/>
      <c r="AT6" s="194"/>
      <c r="AU6" s="15"/>
      <c r="AV6" s="15"/>
      <c r="AW6" s="15"/>
      <c r="AX6" s="190"/>
      <c r="AY6" s="190"/>
      <c r="AZ6" s="190"/>
      <c r="BA6" s="190"/>
      <c r="BB6" s="190"/>
      <c r="BC6" s="190"/>
      <c r="BD6" s="190"/>
      <c r="BE6" s="190"/>
      <c r="BF6" s="190"/>
      <c r="BG6" s="15"/>
      <c r="BH6" s="15"/>
      <c r="BI6" s="15"/>
      <c r="BJ6" s="191"/>
      <c r="BK6" s="191"/>
      <c r="BL6" s="191"/>
      <c r="BM6" s="191"/>
      <c r="BN6" s="191"/>
      <c r="BO6" s="191"/>
      <c r="BP6" s="191"/>
      <c r="BQ6" s="191"/>
      <c r="BR6" s="192"/>
      <c r="BT6" s="191"/>
      <c r="BU6" s="191"/>
      <c r="BV6" s="191"/>
      <c r="BW6" s="191"/>
      <c r="BX6" s="191"/>
      <c r="BY6" s="191"/>
      <c r="BZ6" s="191"/>
      <c r="CA6" s="191"/>
      <c r="CB6" s="192"/>
    </row>
    <row r="7" spans="1:83" ht="81.75" customHeight="1">
      <c r="A7" s="79">
        <f>'ACOMPANHAMENTO USINA'!$AL$2</f>
        <v>45448</v>
      </c>
      <c r="B7" s="80">
        <v>5</v>
      </c>
      <c r="C7" s="81">
        <f ca="1">IF('PRODUÇÃO TOTAL USINA'!K7="","",'PRODUÇÃO TOTAL USINA'!K7-'PRODUÇÃO TOTAL USINA'!J7)</f>
        <v>-3423.580984978129</v>
      </c>
      <c r="D7" s="90" t="s">
        <v>154</v>
      </c>
      <c r="E7" s="54"/>
      <c r="F7" s="80">
        <v>5</v>
      </c>
      <c r="G7" s="81">
        <f ca="1">IF('PRODUÇÃO TOTAL USINA'!S7="","",'PRODUÇÃO TOTAL USINA'!S7-'PRODUÇÃO TOTAL USINA'!R7)</f>
        <v>-456.48</v>
      </c>
      <c r="H7" s="90" t="s">
        <v>152</v>
      </c>
      <c r="I7" s="82"/>
      <c r="J7" s="80">
        <v>5</v>
      </c>
      <c r="K7" s="81">
        <f ca="1">IF('PRODUÇÃO TOTAL USINA'!AA7="","",'PRODUÇÃO TOTAL USINA'!AA7-'PRODUÇÃO TOTAL USINA'!Z7)</f>
        <v>-231.96160000000009</v>
      </c>
      <c r="L7" s="90" t="s">
        <v>144</v>
      </c>
      <c r="M7" s="82"/>
      <c r="N7" s="80">
        <v>5</v>
      </c>
      <c r="O7" s="81">
        <f ca="1">IF('PRODUÇÃO TOTAL USINA'!AI7="","",'PRODUÇÃO TOTAL USINA'!AI7-'PRODUÇÃO TOTAL USINA'!AH7)</f>
        <v>-158.75000000000003</v>
      </c>
      <c r="P7" s="90" t="s">
        <v>140</v>
      </c>
      <c r="R7" s="80">
        <v>5</v>
      </c>
      <c r="S7" s="81" t="str">
        <f>IF('PRODUÇÃO TOTAL USINA'!AM7="","",'PRODUÇÃO TOTAL USINA'!AM7-'PRODUÇÃO TOTAL USINA'!AL7)</f>
        <v/>
      </c>
      <c r="T7" s="90"/>
      <c r="W7" s="85"/>
      <c r="Z7" s="190"/>
      <c r="AA7" s="190"/>
      <c r="AB7" s="190"/>
      <c r="AC7" s="190"/>
      <c r="AD7" s="190"/>
      <c r="AE7" s="190"/>
      <c r="AF7" s="190"/>
      <c r="AG7" s="190"/>
      <c r="AH7" s="190"/>
      <c r="AL7" s="194"/>
      <c r="AM7" s="194"/>
      <c r="AN7" s="194"/>
      <c r="AO7" s="194"/>
      <c r="AP7" s="194"/>
      <c r="AQ7" s="194"/>
      <c r="AR7" s="194"/>
      <c r="AS7" s="194"/>
      <c r="AT7" s="194"/>
      <c r="AX7" s="190"/>
      <c r="AY7" s="190"/>
      <c r="AZ7" s="190"/>
      <c r="BA7" s="190"/>
      <c r="BB7" s="190"/>
      <c r="BC7" s="190"/>
      <c r="BD7" s="190"/>
      <c r="BE7" s="190"/>
      <c r="BF7" s="190"/>
      <c r="CE7" s="87"/>
    </row>
    <row r="8" spans="1:83" ht="67.5" customHeight="1">
      <c r="A8" s="79">
        <f>'ACOMPANHAMENTO USINA'!$AL$2</f>
        <v>45448</v>
      </c>
      <c r="B8" s="80" t="s">
        <v>15</v>
      </c>
      <c r="C8" s="81">
        <f ca="1">IF('PRODUÇÃO TOTAL USINA'!K8="","",'PRODUÇÃO TOTAL USINA'!K8-'PRODUÇÃO TOTAL USINA'!J8)</f>
        <v>-1502.2755464859456</v>
      </c>
      <c r="D8" s="90" t="s">
        <v>154</v>
      </c>
      <c r="E8" s="54"/>
      <c r="F8" s="80" t="s">
        <v>15</v>
      </c>
      <c r="G8" s="81">
        <f ca="1">IF('PRODUÇÃO TOTAL USINA'!S8="","",'PRODUÇÃO TOTAL USINA'!S8-'PRODUÇÃO TOTAL USINA'!R8)</f>
        <v>-2151.3199999999997</v>
      </c>
      <c r="H8" s="90" t="s">
        <v>152</v>
      </c>
      <c r="I8" s="82"/>
      <c r="J8" s="80">
        <v>6</v>
      </c>
      <c r="K8" s="81">
        <f ca="1">IF('PRODUÇÃO TOTAL USINA'!AA8="","",'PRODUÇÃO TOTAL USINA'!AA8-'PRODUÇÃO TOTAL USINA'!Z8)</f>
        <v>-908.91240000000016</v>
      </c>
      <c r="L8" s="90" t="s">
        <v>153</v>
      </c>
      <c r="M8" s="82"/>
      <c r="N8" s="80">
        <v>6</v>
      </c>
      <c r="O8" s="81">
        <f ca="1">IF('PRODUÇÃO TOTAL USINA'!AI8="","",'PRODUÇÃO TOTAL USINA'!AI8-'PRODUÇÃO TOTAL USINA'!AH8)</f>
        <v>-158.75000000000003</v>
      </c>
      <c r="P8" s="90" t="s">
        <v>140</v>
      </c>
      <c r="R8" s="80">
        <v>6</v>
      </c>
      <c r="S8" s="81" t="str">
        <f>IF('PRODUÇÃO TOTAL USINA'!AM8="","",'PRODUÇÃO TOTAL USINA'!AM8-'PRODUÇÃO TOTAL USINA'!AL8)</f>
        <v/>
      </c>
      <c r="T8" s="90"/>
      <c r="Z8" s="190"/>
      <c r="AA8" s="190"/>
      <c r="AB8" s="190"/>
      <c r="AC8" s="190"/>
      <c r="AD8" s="190"/>
      <c r="AE8" s="190"/>
      <c r="AF8" s="190"/>
      <c r="AG8" s="190"/>
      <c r="AH8" s="190"/>
      <c r="AL8" s="194"/>
      <c r="AM8" s="194"/>
      <c r="AN8" s="194"/>
      <c r="AO8" s="194"/>
      <c r="AP8" s="194"/>
      <c r="AQ8" s="194"/>
      <c r="AR8" s="194"/>
      <c r="AS8" s="194"/>
      <c r="AT8" s="194"/>
      <c r="AX8" s="190"/>
      <c r="AY8" s="190"/>
      <c r="AZ8" s="190"/>
      <c r="BA8" s="190"/>
      <c r="BB8" s="190"/>
      <c r="BC8" s="190"/>
      <c r="BD8" s="190"/>
      <c r="BE8" s="190"/>
      <c r="BF8" s="190"/>
    </row>
    <row r="9" spans="1:83" ht="67.5" customHeight="1">
      <c r="A9" s="79">
        <f>'ACOMPANHAMENTO USINA'!$AL$2</f>
        <v>45448</v>
      </c>
      <c r="B9" s="80" t="s">
        <v>62</v>
      </c>
      <c r="C9" s="81">
        <f ca="1">IF('PRODUÇÃO TOTAL USINA'!K9="","",'PRODUÇÃO TOTAL USINA'!K9-'PRODUÇÃO TOTAL USINA'!J9)</f>
        <v>-1417.6254165639393</v>
      </c>
      <c r="D9" s="90" t="s">
        <v>154</v>
      </c>
      <c r="E9" s="54"/>
      <c r="F9" s="80" t="s">
        <v>62</v>
      </c>
      <c r="G9" s="81">
        <f ca="1">IF('PRODUÇÃO TOTAL USINA'!S9="","",'PRODUÇÃO TOTAL USINA'!S9-'PRODUÇÃO TOTAL USINA'!R9)</f>
        <v>-2696.8</v>
      </c>
      <c r="H9" s="90" t="s">
        <v>152</v>
      </c>
      <c r="I9" s="82"/>
      <c r="J9" s="80">
        <v>7</v>
      </c>
      <c r="K9" s="81">
        <f ca="1">IF('PRODUÇÃO TOTAL USINA'!AA9="","",'PRODUÇÃO TOTAL USINA'!AA9-'PRODUÇÃO TOTAL USINA'!Z9)</f>
        <v>-1600.4984000000004</v>
      </c>
      <c r="L9" s="90" t="s">
        <v>156</v>
      </c>
      <c r="M9" s="82"/>
      <c r="N9" s="80">
        <v>7</v>
      </c>
      <c r="O9" s="81">
        <f ca="1">IF('PRODUÇÃO TOTAL USINA'!AI9="","",'PRODUÇÃO TOTAL USINA'!AI9-'PRODUÇÃO TOTAL USINA'!AH9)</f>
        <v>-158.75000000000003</v>
      </c>
      <c r="P9" s="90" t="s">
        <v>140</v>
      </c>
      <c r="R9" s="80">
        <v>7</v>
      </c>
      <c r="S9" s="81" t="str">
        <f>IF('PRODUÇÃO TOTAL USINA'!AM9="","",'PRODUÇÃO TOTAL USINA'!AM9-'PRODUÇÃO TOTAL USINA'!AL9)</f>
        <v/>
      </c>
      <c r="T9" s="90"/>
      <c r="Z9" s="190"/>
      <c r="AA9" s="190"/>
      <c r="AB9" s="190"/>
      <c r="AC9" s="190"/>
      <c r="AD9" s="190"/>
      <c r="AE9" s="190"/>
      <c r="AF9" s="190"/>
      <c r="AG9" s="190"/>
      <c r="AH9" s="190"/>
      <c r="AL9" s="194"/>
      <c r="AM9" s="194"/>
      <c r="AN9" s="194"/>
      <c r="AO9" s="194"/>
      <c r="AP9" s="194"/>
      <c r="AQ9" s="194"/>
      <c r="AR9" s="194"/>
      <c r="AS9" s="194"/>
      <c r="AT9" s="194"/>
      <c r="AX9" s="190"/>
      <c r="AY9" s="190"/>
      <c r="AZ9" s="190"/>
      <c r="BA9" s="190"/>
      <c r="BB9" s="190"/>
      <c r="BC9" s="190"/>
      <c r="BD9" s="190"/>
      <c r="BE9" s="190"/>
      <c r="BF9" s="190"/>
      <c r="BL9" s="91"/>
      <c r="BX9" s="70">
        <v>152</v>
      </c>
    </row>
    <row r="10" spans="1:83" ht="67.5" customHeight="1">
      <c r="A10" s="79">
        <f>'ACOMPANHAMENTO USINA'!$AL$2</f>
        <v>45448</v>
      </c>
      <c r="B10" s="80">
        <v>8</v>
      </c>
      <c r="C10" s="81">
        <f ca="1">IF('PRODUÇÃO TOTAL USINA'!K10="","",'PRODUÇÃO TOTAL USINA'!K10-'PRODUÇÃO TOTAL USINA'!J10)</f>
        <v>-1637.4499407134854</v>
      </c>
      <c r="D10" s="90" t="s">
        <v>154</v>
      </c>
      <c r="E10" s="54"/>
      <c r="F10" s="80">
        <v>8</v>
      </c>
      <c r="G10" s="81">
        <f ca="1">IF('PRODUÇÃO TOTAL USINA'!S10="","",'PRODUÇÃO TOTAL USINA'!S10-'PRODUÇÃO TOTAL USINA'!R10)</f>
        <v>-2984.76</v>
      </c>
      <c r="H10" s="90" t="s">
        <v>152</v>
      </c>
      <c r="I10" s="82"/>
      <c r="J10" s="80">
        <v>8</v>
      </c>
      <c r="K10" s="81">
        <f ca="1">IF('PRODUÇÃO TOTAL USINA'!AA10="","",'PRODUÇÃO TOTAL USINA'!AA10-'PRODUÇÃO TOTAL USINA'!Z10)</f>
        <v>-962.08439999999973</v>
      </c>
      <c r="L10" s="90" t="s">
        <v>156</v>
      </c>
      <c r="M10" s="82"/>
      <c r="N10" s="80">
        <v>8</v>
      </c>
      <c r="O10" s="81">
        <f ca="1">IF('PRODUÇÃO TOTAL USINA'!AI10="","",'PRODUÇÃO TOTAL USINA'!AI10-'PRODUÇÃO TOTAL USINA'!AH10)</f>
        <v>-158.75000000000003</v>
      </c>
      <c r="P10" s="90" t="s">
        <v>140</v>
      </c>
      <c r="R10" s="80">
        <v>8</v>
      </c>
      <c r="S10" s="81" t="str">
        <f>IF('PRODUÇÃO TOTAL USINA'!AM10="","",'PRODUÇÃO TOTAL USINA'!AM10-'PRODUÇÃO TOTAL USINA'!AL10)</f>
        <v/>
      </c>
      <c r="T10" s="90"/>
      <c r="Z10" s="190"/>
      <c r="AA10" s="190"/>
      <c r="AB10" s="190"/>
      <c r="AC10" s="190"/>
      <c r="AD10" s="190"/>
      <c r="AE10" s="190"/>
      <c r="AF10" s="190"/>
      <c r="AG10" s="190"/>
      <c r="AH10" s="190"/>
      <c r="AL10" s="194"/>
      <c r="AM10" s="194"/>
      <c r="AN10" s="194"/>
      <c r="AO10" s="194"/>
      <c r="AP10" s="194"/>
      <c r="AQ10" s="194"/>
      <c r="AR10" s="194"/>
      <c r="AS10" s="194"/>
      <c r="AT10" s="194"/>
      <c r="AX10" s="190"/>
      <c r="AY10" s="190"/>
      <c r="AZ10" s="190"/>
      <c r="BA10" s="190"/>
      <c r="BB10" s="190"/>
      <c r="BC10" s="190"/>
      <c r="BD10" s="190"/>
      <c r="BE10" s="190"/>
      <c r="BF10" s="190"/>
      <c r="BL10" s="91"/>
    </row>
    <row r="11" spans="1:83" ht="67.5" customHeight="1">
      <c r="A11" s="79">
        <f>'ACOMPANHAMENTO USINA'!$AL$2</f>
        <v>45448</v>
      </c>
      <c r="B11" s="80">
        <v>9</v>
      </c>
      <c r="C11" s="81">
        <f ca="1">IF('PRODUÇÃO TOTAL USINA'!K11="","",'PRODUÇÃO TOTAL USINA'!K11-'PRODUÇÃO TOTAL USINA'!J11)</f>
        <v>-1212.8639349696432</v>
      </c>
      <c r="D11" s="90" t="s">
        <v>154</v>
      </c>
      <c r="E11" s="84"/>
      <c r="F11" s="80">
        <v>9</v>
      </c>
      <c r="G11" s="81">
        <f ca="1">IF('PRODUÇÃO TOTAL USINA'!S11="","",'PRODUÇÃO TOTAL USINA'!S11-'PRODUÇÃO TOTAL USINA'!R11)</f>
        <v>-1755.2799999999997</v>
      </c>
      <c r="H11" s="90" t="s">
        <v>152</v>
      </c>
      <c r="I11" s="82"/>
      <c r="J11" s="80">
        <v>9</v>
      </c>
      <c r="K11" s="81">
        <f ca="1">IF('PRODUÇÃO TOTAL USINA'!AA11="","",'PRODUÇÃO TOTAL USINA'!AA11-'PRODUÇÃO TOTAL USINA'!Z11)</f>
        <v>-1012.7639999999997</v>
      </c>
      <c r="L11" s="90" t="s">
        <v>157</v>
      </c>
      <c r="M11" s="82"/>
      <c r="N11" s="80">
        <v>9</v>
      </c>
      <c r="O11" s="81">
        <f ca="1">IF('PRODUÇÃO TOTAL USINA'!AI11="","",'PRODUÇÃO TOTAL USINA'!AI11-'PRODUÇÃO TOTAL USINA'!AH11)</f>
        <v>-158.75000000000003</v>
      </c>
      <c r="P11" s="90" t="s">
        <v>140</v>
      </c>
      <c r="R11" s="80">
        <v>9</v>
      </c>
      <c r="S11" s="81" t="str">
        <f>IF('PRODUÇÃO TOTAL USINA'!AM11="","",'PRODUÇÃO TOTAL USINA'!AM11-'PRODUÇÃO TOTAL USINA'!AL11)</f>
        <v/>
      </c>
      <c r="T11" s="90"/>
      <c r="V11" s="64"/>
      <c r="Z11" s="190"/>
      <c r="AA11" s="190"/>
      <c r="AB11" s="190"/>
      <c r="AC11" s="190"/>
      <c r="AD11" s="190"/>
      <c r="AE11" s="190"/>
      <c r="AF11" s="190"/>
      <c r="AG11" s="190"/>
      <c r="AH11" s="190"/>
      <c r="AL11" s="194"/>
      <c r="AM11" s="194"/>
      <c r="AN11" s="194"/>
      <c r="AO11" s="194"/>
      <c r="AP11" s="194"/>
      <c r="AQ11" s="194"/>
      <c r="AR11" s="194"/>
      <c r="AS11" s="194"/>
      <c r="AT11" s="194"/>
      <c r="AX11" s="190"/>
      <c r="AY11" s="190"/>
      <c r="AZ11" s="190"/>
      <c r="BA11" s="190"/>
      <c r="BB11" s="190"/>
      <c r="BC11" s="190"/>
      <c r="BD11" s="190"/>
      <c r="BE11" s="190"/>
      <c r="BF11" s="190"/>
      <c r="BL11" s="91"/>
    </row>
    <row r="12" spans="1:83" ht="67.5" customHeight="1">
      <c r="A12" s="79">
        <f>'ACOMPANHAMENTO USINA'!$AL$2</f>
        <v>45448</v>
      </c>
      <c r="B12" s="80">
        <v>10</v>
      </c>
      <c r="C12" s="81">
        <f ca="1">IF('PRODUÇÃO TOTAL USINA'!K12="","",'PRODUÇÃO TOTAL USINA'!K12-'PRODUÇÃO TOTAL USINA'!J12)</f>
        <v>474.67137891730272</v>
      </c>
      <c r="D12" s="90"/>
      <c r="E12" s="54"/>
      <c r="F12" s="80">
        <v>10</v>
      </c>
      <c r="G12" s="81">
        <f ca="1">IF('PRODUÇÃO TOTAL USINA'!S12="","",'PRODUÇÃO TOTAL USINA'!S12-'PRODUÇÃO TOTAL USINA'!R12)</f>
        <v>-2751.76</v>
      </c>
      <c r="H12" s="90" t="s">
        <v>152</v>
      </c>
      <c r="I12" s="82"/>
      <c r="J12" s="80">
        <v>10</v>
      </c>
      <c r="K12" s="81">
        <f ca="1">IF('PRODUÇÃO TOTAL USINA'!AA12="","",'PRODUÇÃO TOTAL USINA'!AA12-'PRODUÇÃO TOTAL USINA'!Z12)</f>
        <v>997.64439999999991</v>
      </c>
      <c r="L12" s="90"/>
      <c r="M12" s="82"/>
      <c r="N12" s="80">
        <v>10</v>
      </c>
      <c r="O12" s="81">
        <f ca="1">IF('PRODUÇÃO TOTAL USINA'!AI12="","",'PRODUÇÃO TOTAL USINA'!AI12-'PRODUÇÃO TOTAL USINA'!AH12)</f>
        <v>-158.75000000000003</v>
      </c>
      <c r="P12" s="90" t="s">
        <v>140</v>
      </c>
      <c r="R12" s="80">
        <v>10</v>
      </c>
      <c r="S12" s="81" t="str">
        <f>IF('PRODUÇÃO TOTAL USINA'!AM12="","",'PRODUÇÃO TOTAL USINA'!AM12-'PRODUÇÃO TOTAL USINA'!AL12)</f>
        <v/>
      </c>
      <c r="T12" s="90"/>
      <c r="Z12" s="190"/>
      <c r="AA12" s="190"/>
      <c r="AB12" s="190"/>
      <c r="AC12" s="190"/>
      <c r="AD12" s="190"/>
      <c r="AE12" s="190"/>
      <c r="AF12" s="190"/>
      <c r="AG12" s="190"/>
      <c r="AH12" s="190"/>
      <c r="AL12" s="194"/>
      <c r="AM12" s="194"/>
      <c r="AN12" s="194"/>
      <c r="AO12" s="194"/>
      <c r="AP12" s="194"/>
      <c r="AQ12" s="194"/>
      <c r="AR12" s="194"/>
      <c r="AS12" s="194"/>
      <c r="AT12" s="194"/>
      <c r="AX12" s="190"/>
      <c r="AY12" s="190"/>
      <c r="AZ12" s="190"/>
      <c r="BA12" s="190"/>
      <c r="BB12" s="190"/>
      <c r="BC12" s="190"/>
      <c r="BD12" s="190"/>
      <c r="BE12" s="190"/>
      <c r="BF12" s="190"/>
      <c r="BL12" s="91"/>
      <c r="BO12" s="70" t="s">
        <v>16</v>
      </c>
    </row>
    <row r="13" spans="1:83" ht="67.5" customHeight="1">
      <c r="A13" s="79">
        <f>'ACOMPANHAMENTO USINA'!$AL$2</f>
        <v>45448</v>
      </c>
      <c r="B13" s="80">
        <v>11</v>
      </c>
      <c r="C13" s="81">
        <f ca="1">IF('PRODUÇÃO TOTAL USINA'!K13="","",'PRODUÇÃO TOTAL USINA'!K13-'PRODUÇÃO TOTAL USINA'!J13)</f>
        <v>720.62349948808878</v>
      </c>
      <c r="D13" s="90"/>
      <c r="E13" s="54"/>
      <c r="F13" s="80">
        <v>11</v>
      </c>
      <c r="G13" s="81">
        <f ca="1">IF('PRODUÇÃO TOTAL USINA'!S13="","",'PRODUÇÃO TOTAL USINA'!S13-'PRODUÇÃO TOTAL USINA'!R13)</f>
        <v>-2328.3599999999997</v>
      </c>
      <c r="H13" s="90" t="s">
        <v>152</v>
      </c>
      <c r="I13" s="82"/>
      <c r="J13" s="80">
        <v>11</v>
      </c>
      <c r="K13" s="81">
        <f ca="1">IF('PRODUÇÃO TOTAL USINA'!AA13="","",'PRODUÇÃO TOTAL USINA'!AA13-'PRODUÇÃO TOTAL USINA'!Z13)</f>
        <v>845.7800000000002</v>
      </c>
      <c r="L13" s="90"/>
      <c r="M13" s="82"/>
      <c r="N13" s="80">
        <v>11</v>
      </c>
      <c r="O13" s="81">
        <f ca="1">IF('PRODUÇÃO TOTAL USINA'!AI13="","",'PRODUÇÃO TOTAL USINA'!AI13-'PRODUÇÃO TOTAL USINA'!AH13)</f>
        <v>-158.75000000000003</v>
      </c>
      <c r="P13" s="90" t="s">
        <v>140</v>
      </c>
      <c r="R13" s="80">
        <v>11</v>
      </c>
      <c r="S13" s="81" t="str">
        <f>IF('PRODUÇÃO TOTAL USINA'!AM13="","",'PRODUÇÃO TOTAL USINA'!AM13-'PRODUÇÃO TOTAL USINA'!AL13)</f>
        <v/>
      </c>
      <c r="T13" s="90"/>
      <c r="Z13" s="86"/>
      <c r="AA13" s="92"/>
      <c r="AB13" s="87"/>
      <c r="BL13" s="91"/>
    </row>
    <row r="14" spans="1:83" ht="81.75" customHeight="1">
      <c r="A14" s="79">
        <f>'ACOMPANHAMENTO USINA'!$AL$2</f>
        <v>45448</v>
      </c>
      <c r="B14" s="80">
        <v>12</v>
      </c>
      <c r="C14" s="81">
        <f ca="1">IF('PRODUÇÃO TOTAL USINA'!K14="","",'PRODUÇÃO TOTAL USINA'!K14-'PRODUÇÃO TOTAL USINA'!J14)</f>
        <v>1167.8334839659547</v>
      </c>
      <c r="D14" s="90"/>
      <c r="E14" s="54"/>
      <c r="F14" s="80">
        <v>12</v>
      </c>
      <c r="G14" s="81">
        <f ca="1">IF('PRODUÇÃO TOTAL USINA'!S14="","",'PRODUÇÃO TOTAL USINA'!S14-'PRODUÇÃO TOTAL USINA'!R14)</f>
        <v>-1260.6000000000004</v>
      </c>
      <c r="H14" s="90" t="s">
        <v>159</v>
      </c>
      <c r="I14" s="82"/>
      <c r="J14" s="80">
        <v>12</v>
      </c>
      <c r="K14" s="81">
        <f ca="1">IF('PRODUÇÃO TOTAL USINA'!AA14="","",'PRODUÇÃO TOTAL USINA'!AA14-'PRODUÇÃO TOTAL USINA'!Z14)</f>
        <v>1055.7799999999997</v>
      </c>
      <c r="L14" s="90"/>
      <c r="M14" s="82"/>
      <c r="N14" s="80">
        <v>12</v>
      </c>
      <c r="O14" s="81">
        <f ca="1">IF('PRODUÇÃO TOTAL USINA'!AI14="","",'PRODUÇÃO TOTAL USINA'!AI14-'PRODUÇÃO TOTAL USINA'!AH14)</f>
        <v>-158.75000000000003</v>
      </c>
      <c r="P14" s="90" t="s">
        <v>140</v>
      </c>
      <c r="R14" s="80">
        <v>12</v>
      </c>
      <c r="S14" s="81" t="str">
        <f>IF('PRODUÇÃO TOTAL USINA'!AM14="","",'PRODUÇÃO TOTAL USINA'!AM14-'PRODUÇÃO TOTAL USINA'!AL14)</f>
        <v/>
      </c>
      <c r="T14" s="90"/>
    </row>
    <row r="15" spans="1:83" ht="67.5" customHeight="1">
      <c r="A15" s="79">
        <f>'ACOMPANHAMENTO USINA'!$AL$2</f>
        <v>45448</v>
      </c>
      <c r="B15" s="80">
        <v>13</v>
      </c>
      <c r="C15" s="81">
        <f ca="1">IF('PRODUÇÃO TOTAL USINA'!K15="","",'PRODUÇÃO TOTAL USINA'!K15-'PRODUÇÃO TOTAL USINA'!J15)</f>
        <v>-96.02663043391658</v>
      </c>
      <c r="D15" s="90" t="s">
        <v>155</v>
      </c>
      <c r="E15" s="54"/>
      <c r="F15" s="80">
        <v>13</v>
      </c>
      <c r="G15" s="81">
        <f ca="1">IF('PRODUÇÃO TOTAL USINA'!S15="","",'PRODUÇÃO TOTAL USINA'!S15-'PRODUÇÃO TOTAL USINA'!R15)</f>
        <v>-2262.3199999999997</v>
      </c>
      <c r="H15" s="90" t="s">
        <v>159</v>
      </c>
      <c r="I15" s="82"/>
      <c r="J15" s="80">
        <v>13</v>
      </c>
      <c r="K15" s="81">
        <f ca="1">IF('PRODUÇÃO TOTAL USINA'!AA15="","",'PRODUÇÃO TOTAL USINA'!AA15-'PRODUÇÃO TOTAL USINA'!Z15)</f>
        <v>-1119.8703999999998</v>
      </c>
      <c r="L15" s="90" t="s">
        <v>158</v>
      </c>
      <c r="M15" s="82"/>
      <c r="N15" s="80">
        <v>13</v>
      </c>
      <c r="O15" s="81">
        <f ca="1">IF('PRODUÇÃO TOTAL USINA'!AI15="","",'PRODUÇÃO TOTAL USINA'!AI15-'PRODUÇÃO TOTAL USINA'!AH15)</f>
        <v>-158.75000000000003</v>
      </c>
      <c r="P15" s="90" t="s">
        <v>140</v>
      </c>
      <c r="R15" s="80">
        <v>13</v>
      </c>
      <c r="S15" s="81" t="str">
        <f>IF('PRODUÇÃO TOTAL USINA'!AM15="","",'PRODUÇÃO TOTAL USINA'!AM15-'PRODUÇÃO TOTAL USINA'!AL15)</f>
        <v/>
      </c>
      <c r="T15" s="90"/>
      <c r="Z15" s="89"/>
      <c r="AL15" s="87"/>
      <c r="AT15" s="98"/>
    </row>
    <row r="16" spans="1:83" ht="67.5" customHeight="1">
      <c r="A16" s="79">
        <f>'ACOMPANHAMENTO USINA'!$AL$2</f>
        <v>45448</v>
      </c>
      <c r="B16" s="80">
        <v>14</v>
      </c>
      <c r="C16" s="81">
        <f ca="1">IF('PRODUÇÃO TOTAL USINA'!K16="","",'PRODUÇÃO TOTAL USINA'!K16-'PRODUÇÃO TOTAL USINA'!J16)</f>
        <v>5017.7977779879329</v>
      </c>
      <c r="D16" s="90"/>
      <c r="E16" s="54"/>
      <c r="F16" s="80">
        <v>14</v>
      </c>
      <c r="G16" s="81">
        <f ca="1">IF('PRODUÇÃO TOTAL USINA'!S16="","",'PRODUÇÃO TOTAL USINA'!S16-'PRODUÇÃO TOTAL USINA'!R16)</f>
        <v>-3178.76</v>
      </c>
      <c r="H16" s="90" t="s">
        <v>159</v>
      </c>
      <c r="I16" s="82"/>
      <c r="J16" s="80">
        <v>14</v>
      </c>
      <c r="K16" s="81">
        <f ca="1">IF('PRODUÇÃO TOTAL USINA'!AA16="","",'PRODUÇÃO TOTAL USINA'!AA16-'PRODUÇÃO TOTAL USINA'!Z16)</f>
        <v>163.54719999999998</v>
      </c>
      <c r="L16" s="90"/>
      <c r="M16" s="82"/>
      <c r="N16" s="80">
        <v>14</v>
      </c>
      <c r="O16" s="81">
        <f ca="1">IF('PRODUÇÃO TOTAL USINA'!AI16="","",'PRODUÇÃO TOTAL USINA'!AI16-'PRODUÇÃO TOTAL USINA'!AH16)</f>
        <v>-158.75000000000003</v>
      </c>
      <c r="P16" s="90" t="s">
        <v>140</v>
      </c>
      <c r="R16" s="80">
        <v>14</v>
      </c>
      <c r="S16" s="81" t="str">
        <f>IF('PRODUÇÃO TOTAL USINA'!AM16="","",'PRODUÇÃO TOTAL USINA'!AM16-'PRODUÇÃO TOTAL USINA'!AL16)</f>
        <v/>
      </c>
      <c r="T16" s="90"/>
      <c r="AN16" s="99"/>
    </row>
    <row r="17" spans="1:34" ht="67.5" customHeight="1">
      <c r="A17" s="79">
        <f>'ACOMPANHAMENTO USINA'!$AL$2</f>
        <v>45448</v>
      </c>
      <c r="B17" s="80">
        <v>15</v>
      </c>
      <c r="C17" s="81">
        <f ca="1">IF('PRODUÇÃO TOTAL USINA'!K17="","",'PRODUÇÃO TOTAL USINA'!K17-'PRODUÇÃO TOTAL USINA'!J17)</f>
        <v>3517.6733410853558</v>
      </c>
      <c r="D17" s="90"/>
      <c r="E17" s="54"/>
      <c r="F17" s="80">
        <v>15</v>
      </c>
      <c r="G17" s="81">
        <f ca="1">IF('PRODUÇÃO TOTAL USINA'!S17="","",'PRODUÇÃO TOTAL USINA'!S17-'PRODUÇÃO TOTAL USINA'!R17)</f>
        <v>-3463.2799999999997</v>
      </c>
      <c r="H17" s="90" t="s">
        <v>159</v>
      </c>
      <c r="I17" s="82"/>
      <c r="J17" s="80">
        <v>15</v>
      </c>
      <c r="K17" s="81">
        <f ca="1">IF('PRODUÇÃO TOTAL USINA'!AA17="","",'PRODUÇÃO TOTAL USINA'!AA17-'PRODUÇÃO TOTAL USINA'!Z17)</f>
        <v>2600</v>
      </c>
      <c r="L17" s="90"/>
      <c r="M17" s="82"/>
      <c r="N17" s="80">
        <v>15</v>
      </c>
      <c r="O17" s="81">
        <f ca="1">IF('PRODUÇÃO TOTAL USINA'!AI17="","",'PRODUÇÃO TOTAL USINA'!AI17-'PRODUÇÃO TOTAL USINA'!AH17)</f>
        <v>-158.75000000000003</v>
      </c>
      <c r="P17" s="90" t="s">
        <v>140</v>
      </c>
      <c r="R17" s="80">
        <v>15</v>
      </c>
      <c r="S17" s="81" t="str">
        <f>IF('PRODUÇÃO TOTAL USINA'!AM17="","",'PRODUÇÃO TOTAL USINA'!AM17-'PRODUÇÃO TOTAL USINA'!AL17)</f>
        <v/>
      </c>
      <c r="T17" s="90"/>
    </row>
    <row r="18" spans="1:34" ht="67.5" customHeight="1">
      <c r="A18" s="79">
        <f>'ACOMPANHAMENTO USINA'!$AL$2</f>
        <v>45448</v>
      </c>
      <c r="B18" s="80">
        <v>16</v>
      </c>
      <c r="C18" s="81">
        <f ca="1">IF('PRODUÇÃO TOTAL USINA'!K18="","",'PRODUÇÃO TOTAL USINA'!K18-'PRODUÇÃO TOTAL USINA'!J18)</f>
        <v>4077.6644547497708</v>
      </c>
      <c r="D18" s="90"/>
      <c r="E18" s="54"/>
      <c r="F18" s="80">
        <v>16</v>
      </c>
      <c r="G18" s="81">
        <f ca="1">IF('PRODUÇÃO TOTAL USINA'!S18="","",'PRODUÇÃO TOTAL USINA'!S18-'PRODUÇÃO TOTAL USINA'!R18)</f>
        <v>2791.4</v>
      </c>
      <c r="H18" s="90"/>
      <c r="I18" s="82"/>
      <c r="J18" s="80">
        <v>16</v>
      </c>
      <c r="K18" s="81">
        <f ca="1">IF('PRODUÇÃO TOTAL USINA'!AA18="","",'PRODUÇÃO TOTAL USINA'!AA18-'PRODUÇÃO TOTAL USINA'!Z18)</f>
        <v>1760</v>
      </c>
      <c r="L18" s="90"/>
      <c r="M18" s="82"/>
      <c r="N18" s="80">
        <v>16</v>
      </c>
      <c r="O18" s="81">
        <f ca="1">IF('PRODUÇÃO TOTAL USINA'!AI18="","",'PRODUÇÃO TOTAL USINA'!AI18-'PRODUÇÃO TOTAL USINA'!AH18)</f>
        <v>-158.75000000000003</v>
      </c>
      <c r="P18" s="90" t="s">
        <v>140</v>
      </c>
      <c r="R18" s="80">
        <v>16</v>
      </c>
      <c r="S18" s="81" t="str">
        <f>IF('PRODUÇÃO TOTAL USINA'!AM18="","",'PRODUÇÃO TOTAL USINA'!AM18-'PRODUÇÃO TOTAL USINA'!AL18)</f>
        <v/>
      </c>
      <c r="T18" s="90"/>
    </row>
    <row r="19" spans="1:34" ht="67.5" customHeight="1">
      <c r="A19" s="79">
        <f>'ACOMPANHAMENTO USINA'!$AL$2</f>
        <v>45448</v>
      </c>
      <c r="B19" s="80">
        <v>17</v>
      </c>
      <c r="C19" s="81">
        <f ca="1">IF('PRODUÇÃO TOTAL USINA'!K19="","",'PRODUÇÃO TOTAL USINA'!K19-'PRODUÇÃO TOTAL USINA'!J19)</f>
        <v>1657.7021348572034</v>
      </c>
      <c r="D19" s="90"/>
      <c r="E19" s="54"/>
      <c r="F19" s="80">
        <v>17</v>
      </c>
      <c r="G19" s="81">
        <f ca="1">IF('PRODUÇÃO TOTAL USINA'!S19="","",'PRODUÇÃO TOTAL USINA'!S19-'PRODUÇÃO TOTAL USINA'!R19)</f>
        <v>345.68000000000029</v>
      </c>
      <c r="H19" s="90"/>
      <c r="I19" s="82"/>
      <c r="J19" s="80">
        <v>17</v>
      </c>
      <c r="K19" s="81">
        <f ca="1">IF('PRODUÇÃO TOTAL USINA'!AA19="","",'PRODUÇÃO TOTAL USINA'!AA19-'PRODUÇÃO TOTAL USINA'!Z19)</f>
        <v>1576.5824</v>
      </c>
      <c r="L19" s="90"/>
      <c r="M19" s="82"/>
      <c r="N19" s="80">
        <v>17</v>
      </c>
      <c r="O19" s="81">
        <f ca="1">IF('PRODUÇÃO TOTAL USINA'!AI19="","",'PRODUÇÃO TOTAL USINA'!AI19-'PRODUÇÃO TOTAL USINA'!AH19)</f>
        <v>-158.75000000000003</v>
      </c>
      <c r="P19" s="90" t="s">
        <v>140</v>
      </c>
      <c r="R19" s="80">
        <v>17</v>
      </c>
      <c r="S19" s="81" t="str">
        <f>IF('PRODUÇÃO TOTAL USINA'!AM19="","",'PRODUÇÃO TOTAL USINA'!AM19-'PRODUÇÃO TOTAL USINA'!AL19)</f>
        <v/>
      </c>
      <c r="T19" s="90"/>
    </row>
    <row r="20" spans="1:34" ht="66.75" customHeight="1">
      <c r="A20" s="79">
        <f>'ACOMPANHAMENTO USINA'!$AL$2</f>
        <v>45448</v>
      </c>
      <c r="B20" s="80">
        <v>18</v>
      </c>
      <c r="C20" s="81">
        <f ca="1">IF('PRODUÇÃO TOTAL USINA'!K20="","",'PRODUÇÃO TOTAL USINA'!K20-'PRODUÇÃO TOTAL USINA'!J20)</f>
        <v>3224.4112525560713</v>
      </c>
      <c r="D20" s="90"/>
      <c r="E20" s="54"/>
      <c r="F20" s="80">
        <v>18</v>
      </c>
      <c r="G20" s="81">
        <f ca="1">IF('PRODUÇÃO TOTAL USINA'!S20="","",'PRODUÇÃO TOTAL USINA'!S20-'PRODUÇÃO TOTAL USINA'!R20)</f>
        <v>-1841.2799999999997</v>
      </c>
      <c r="H20" s="90" t="s">
        <v>162</v>
      </c>
      <c r="I20" s="82"/>
      <c r="J20" s="80">
        <v>18</v>
      </c>
      <c r="K20" s="81">
        <f ca="1">IF('PRODUÇÃO TOTAL USINA'!AA20="","",'PRODUÇÃO TOTAL USINA'!AA20-'PRODUÇÃO TOTAL USINA'!Z20)</f>
        <v>1071.4559999999999</v>
      </c>
      <c r="L20" s="90"/>
      <c r="M20" s="82"/>
      <c r="N20" s="80" t="s">
        <v>17</v>
      </c>
      <c r="O20" s="81">
        <f ca="1">IF('PRODUÇÃO TOTAL USINA'!AI20="","",'PRODUÇÃO TOTAL USINA'!AI20-'PRODUÇÃO TOTAL USINA'!AH20)</f>
        <v>-158.75000000000003</v>
      </c>
      <c r="P20" s="90" t="s">
        <v>140</v>
      </c>
      <c r="R20" s="80" t="s">
        <v>17</v>
      </c>
      <c r="S20" s="81" t="str">
        <f>IF('PRODUÇÃO TOTAL USINA'!AM20="","",'PRODUÇÃO TOTAL USINA'!AM20-'PRODUÇÃO TOTAL USINA'!AL20)</f>
        <v/>
      </c>
      <c r="T20" s="90"/>
    </row>
    <row r="21" spans="1:34" ht="92.25" customHeight="1">
      <c r="A21" s="79">
        <f>'ACOMPANHAMENTO USINA'!$AL$2</f>
        <v>45448</v>
      </c>
      <c r="B21" s="80">
        <v>19</v>
      </c>
      <c r="C21" s="81">
        <f ca="1">IF('PRODUÇÃO TOTAL USINA'!K21="","",'PRODUÇÃO TOTAL USINA'!K21-'PRODUÇÃO TOTAL USINA'!J21)</f>
        <v>3327.1776107076594</v>
      </c>
      <c r="D21" s="90"/>
      <c r="E21" s="54"/>
      <c r="F21" s="80">
        <v>19</v>
      </c>
      <c r="G21" s="81">
        <f ca="1">IF('PRODUÇÃO TOTAL USINA'!S21="","",'PRODUÇÃO TOTAL USINA'!S21-'PRODUÇÃO TOTAL USINA'!R21)</f>
        <v>-3758.24</v>
      </c>
      <c r="H21" s="90" t="s">
        <v>162</v>
      </c>
      <c r="I21" s="82"/>
      <c r="J21" s="80">
        <v>19</v>
      </c>
      <c r="K21" s="81">
        <f ca="1">IF('PRODUÇÃO TOTAL USINA'!AA21="","",'PRODUÇÃO TOTAL USINA'!AA21-'PRODUÇÃO TOTAL USINA'!Z21)</f>
        <v>146.33680000000004</v>
      </c>
      <c r="L21" s="90"/>
      <c r="M21" s="82"/>
      <c r="N21" s="80">
        <v>19</v>
      </c>
      <c r="O21" s="81">
        <f ca="1">IF('PRODUÇÃO TOTAL USINA'!AI21="","",'PRODUÇÃO TOTAL USINA'!AI21-'PRODUÇÃO TOTAL USINA'!AH21)</f>
        <v>-158.75000000000003</v>
      </c>
      <c r="P21" s="90" t="s">
        <v>140</v>
      </c>
      <c r="R21" s="80">
        <v>19</v>
      </c>
      <c r="S21" s="81" t="str">
        <f>IF('PRODUÇÃO TOTAL USINA'!AM21="","",'PRODUÇÃO TOTAL USINA'!AM21-'PRODUÇÃO TOTAL USINA'!AL21)</f>
        <v/>
      </c>
      <c r="T21" s="90"/>
    </row>
    <row r="22" spans="1:34" ht="67.5" customHeight="1">
      <c r="A22" s="79">
        <f>'ACOMPANHAMENTO USINA'!$AL$2</f>
        <v>45448</v>
      </c>
      <c r="B22" s="80">
        <v>20</v>
      </c>
      <c r="C22" s="81">
        <f ca="1">IF('PRODUÇÃO TOTAL USINA'!K22="","",'PRODUÇÃO TOTAL USINA'!K22-'PRODUÇÃO TOTAL USINA'!J22)</f>
        <v>790.68107507042896</v>
      </c>
      <c r="D22" s="90"/>
      <c r="E22" s="54"/>
      <c r="F22" s="80">
        <v>20</v>
      </c>
      <c r="G22" s="81">
        <f ca="1">IF('PRODUÇÃO TOTAL USINA'!S22="","",'PRODUÇÃO TOTAL USINA'!S22-'PRODUÇÃO TOTAL USINA'!R22)</f>
        <v>-2333.2399999999998</v>
      </c>
      <c r="H22" s="90" t="s">
        <v>162</v>
      </c>
      <c r="I22" s="82"/>
      <c r="J22" s="80">
        <v>20</v>
      </c>
      <c r="K22" s="81">
        <f ca="1">IF('PRODUÇÃO TOTAL USINA'!AA22="","",'PRODUÇÃO TOTAL USINA'!AA22-'PRODUÇÃO TOTAL USINA'!Z22)</f>
        <v>766.05840000000001</v>
      </c>
      <c r="L22" s="90"/>
      <c r="M22" s="82"/>
      <c r="N22" s="80">
        <v>20</v>
      </c>
      <c r="O22" s="81">
        <f ca="1">IF('PRODUÇÃO TOTAL USINA'!AI22="","",'PRODUÇÃO TOTAL USINA'!AI22-'PRODUÇÃO TOTAL USINA'!AH22)</f>
        <v>-158.75000000000003</v>
      </c>
      <c r="P22" s="90" t="s">
        <v>140</v>
      </c>
      <c r="R22" s="80">
        <v>20</v>
      </c>
      <c r="S22" s="81" t="str">
        <f>IF('PRODUÇÃO TOTAL USINA'!AM22="","",'PRODUÇÃO TOTAL USINA'!AM22-'PRODUÇÃO TOTAL USINA'!AL22)</f>
        <v/>
      </c>
      <c r="T22" s="90"/>
    </row>
    <row r="23" spans="1:34" ht="80.25" customHeight="1">
      <c r="A23" s="79">
        <f>'ACOMPANHAMENTO USINA'!$AL$2</f>
        <v>45448</v>
      </c>
      <c r="B23" s="80">
        <v>21</v>
      </c>
      <c r="C23" s="81">
        <f ca="1">IF('PRODUÇÃO TOTAL USINA'!K23="","",'PRODUÇÃO TOTAL USINA'!K23-'PRODUÇÃO TOTAL USINA'!J23)</f>
        <v>1061.3776557077563</v>
      </c>
      <c r="D23" s="90"/>
      <c r="E23" s="54"/>
      <c r="F23" s="80">
        <v>21</v>
      </c>
      <c r="G23" s="81">
        <f ca="1">IF('PRODUÇÃO TOTAL USINA'!S23="","",'PRODUÇÃO TOTAL USINA'!S23-'PRODUÇÃO TOTAL USINA'!R23)</f>
        <v>-2039.2399999999998</v>
      </c>
      <c r="H23" s="90" t="s">
        <v>162</v>
      </c>
      <c r="I23" s="82"/>
      <c r="J23" s="80">
        <v>21</v>
      </c>
      <c r="K23" s="81">
        <f ca="1">IF('PRODUÇÃO TOTAL USINA'!AA23="","",'PRODUÇÃO TOTAL USINA'!AA23-'PRODUÇÃO TOTAL USINA'!Z23)</f>
        <v>814.10400000000004</v>
      </c>
      <c r="L23" s="90"/>
      <c r="M23" s="82"/>
      <c r="N23" s="80">
        <v>21</v>
      </c>
      <c r="O23" s="81">
        <f ca="1">IF('PRODUÇÃO TOTAL USINA'!AI23="","",'PRODUÇÃO TOTAL USINA'!AI23-'PRODUÇÃO TOTAL USINA'!AH23)</f>
        <v>-158.75000000000003</v>
      </c>
      <c r="P23" s="90" t="s">
        <v>140</v>
      </c>
      <c r="R23" s="80">
        <v>21</v>
      </c>
      <c r="S23" s="81" t="str">
        <f>IF('PRODUÇÃO TOTAL USINA'!AM23="","",'PRODUÇÃO TOTAL USINA'!AM23-'PRODUÇÃO TOTAL USINA'!AL23)</f>
        <v/>
      </c>
      <c r="T23" s="90"/>
    </row>
    <row r="24" spans="1:34" ht="67.5" customHeight="1">
      <c r="A24" s="79">
        <f>'ACOMPANHAMENTO USINA'!$AL$2</f>
        <v>45448</v>
      </c>
      <c r="B24" s="80">
        <v>22</v>
      </c>
      <c r="C24" s="81">
        <f ca="1">IF('PRODUÇÃO TOTAL USINA'!K24="","",'PRODUÇÃO TOTAL USINA'!K24-'PRODUÇÃO TOTAL USINA'!J24)</f>
        <v>1198.9995822735309</v>
      </c>
      <c r="D24" s="90"/>
      <c r="E24" s="54"/>
      <c r="F24" s="80">
        <v>22</v>
      </c>
      <c r="G24" s="81">
        <f ca="1">IF('PRODUÇÃO TOTAL USINA'!S24="","",'PRODUÇÃO TOTAL USINA'!S24-'PRODUÇÃO TOTAL USINA'!R24)</f>
        <v>-1154.08</v>
      </c>
      <c r="H24" s="90" t="s">
        <v>162</v>
      </c>
      <c r="I24" s="82"/>
      <c r="J24" s="80">
        <v>22</v>
      </c>
      <c r="K24" s="81">
        <f ca="1">IF('PRODUÇÃO TOTAL USINA'!AA24="","",'PRODUÇÃO TOTAL USINA'!AA24-'PRODUÇÃO TOTAL USINA'!Z24)</f>
        <v>632.23960000000011</v>
      </c>
      <c r="L24" s="90"/>
      <c r="M24" s="82"/>
      <c r="N24" s="80">
        <v>22</v>
      </c>
      <c r="O24" s="81">
        <f ca="1">IF('PRODUÇÃO TOTAL USINA'!AI24="","",'PRODUÇÃO TOTAL USINA'!AI24-'PRODUÇÃO TOTAL USINA'!AH24)</f>
        <v>-158.75000000000003</v>
      </c>
      <c r="P24" s="90" t="s">
        <v>140</v>
      </c>
      <c r="R24" s="80">
        <v>22</v>
      </c>
      <c r="S24" s="81" t="str">
        <f>IF('PRODUÇÃO TOTAL USINA'!AM24="","",'PRODUÇÃO TOTAL USINA'!AM24-'PRODUÇÃO TOTAL USINA'!AL24)</f>
        <v/>
      </c>
      <c r="T24" s="90"/>
    </row>
    <row r="25" spans="1:34" ht="67.5" customHeight="1">
      <c r="A25" s="79">
        <f>'ACOMPANHAMENTO USINA'!$AL$2</f>
        <v>45448</v>
      </c>
      <c r="B25" s="80">
        <v>23</v>
      </c>
      <c r="C25" s="81">
        <f ca="1">IF('PRODUÇÃO TOTAL USINA'!K25="","",'PRODUÇÃO TOTAL USINA'!K25-'PRODUÇÃO TOTAL USINA'!J25)</f>
        <v>1579.2323738623145</v>
      </c>
      <c r="D25" s="90"/>
      <c r="E25" s="54"/>
      <c r="F25" s="172">
        <v>23</v>
      </c>
      <c r="G25" s="171">
        <f ca="1">IF('PRODUÇÃO TOTAL USINA'!S25="","",'PRODUÇÃO TOTAL USINA'!S25-'PRODUÇÃO TOTAL USINA'!R25)</f>
        <v>-2273.08</v>
      </c>
      <c r="H25" s="90" t="s">
        <v>163</v>
      </c>
      <c r="I25" s="82"/>
      <c r="J25" s="80">
        <v>23</v>
      </c>
      <c r="K25" s="81">
        <f ca="1">IF('PRODUÇÃO TOTAL USINA'!AA25="","",'PRODUÇÃO TOTAL USINA'!AA25-'PRODUÇÃO TOTAL USINA'!Z25)</f>
        <v>1.0547999999998865</v>
      </c>
      <c r="L25" s="90"/>
      <c r="M25" s="82"/>
      <c r="N25" s="80">
        <v>23</v>
      </c>
      <c r="O25" s="81">
        <f ca="1">IF('PRODUÇÃO TOTAL USINA'!AI25="","",'PRODUÇÃO TOTAL USINA'!AI25-'PRODUÇÃO TOTAL USINA'!AH25)</f>
        <v>-158.75000000000003</v>
      </c>
      <c r="P25" s="90" t="s">
        <v>140</v>
      </c>
      <c r="R25" s="80">
        <v>23</v>
      </c>
      <c r="S25" s="81" t="str">
        <f>IF('PRODUÇÃO TOTAL USINA'!AM25="","",'PRODUÇÃO TOTAL USINA'!AM25-'PRODUÇÃO TOTAL USINA'!AL25)</f>
        <v/>
      </c>
      <c r="T25" s="90"/>
    </row>
    <row r="26" spans="1:34" ht="67.5" customHeight="1">
      <c r="A26" s="79">
        <f>'ACOMPANHAMENTO USINA'!$AL$2</f>
        <v>45448</v>
      </c>
      <c r="B26" s="80">
        <v>24</v>
      </c>
      <c r="C26" s="81">
        <f ca="1">IF('PRODUÇÃO TOTAL USINA'!K26="","",'PRODUÇÃO TOTAL USINA'!K26-'PRODUÇÃO TOTAL USINA'!J26)</f>
        <v>-569.67877948543173</v>
      </c>
      <c r="D26" s="90" t="s">
        <v>164</v>
      </c>
      <c r="E26" s="54"/>
      <c r="F26" s="175">
        <v>24</v>
      </c>
      <c r="G26" s="174">
        <f ca="1">IF('PRODUÇÃO TOTAL USINA'!S26="","",'PRODUÇÃO TOTAL USINA'!S26-'PRODUÇÃO TOTAL USINA'!R26)</f>
        <v>-2140.4800000000005</v>
      </c>
      <c r="H26" s="90" t="s">
        <v>163</v>
      </c>
      <c r="I26" s="82"/>
      <c r="J26" s="80">
        <v>24</v>
      </c>
      <c r="K26" s="81">
        <f ca="1">IF('PRODUÇÃO TOTAL USINA'!AA26="","",'PRODUÇÃO TOTAL USINA'!AA26-'PRODUÇÃO TOTAL USINA'!Z26)</f>
        <v>-96.051600000000008</v>
      </c>
      <c r="L26" s="90" t="s">
        <v>164</v>
      </c>
      <c r="M26" s="82"/>
      <c r="N26" s="80">
        <v>24</v>
      </c>
      <c r="O26" s="81">
        <f ca="1">IF('PRODUÇÃO TOTAL USINA'!AI26="","",'PRODUÇÃO TOTAL USINA'!AI26-'PRODUÇÃO TOTAL USINA'!AH26)</f>
        <v>-158.75000000000003</v>
      </c>
      <c r="P26" s="90" t="s">
        <v>140</v>
      </c>
      <c r="R26" s="80">
        <v>24</v>
      </c>
      <c r="S26" s="81" t="str">
        <f>IF('PRODUÇÃO TOTAL USINA'!AM26="","",'PRODUÇÃO TOTAL USINA'!AM26-'PRODUÇÃO TOTAL USINA'!AL26)</f>
        <v/>
      </c>
      <c r="T26" s="90"/>
    </row>
    <row r="27" spans="1:34" ht="67.5" customHeight="1">
      <c r="H27" s="90"/>
    </row>
    <row r="28" spans="1:34" ht="67.5" customHeight="1">
      <c r="H28" s="173"/>
    </row>
    <row r="29" spans="1:34" ht="67.5" customHeight="1">
      <c r="I29" s="53"/>
    </row>
    <row r="30" spans="1:34" ht="67.5" customHeight="1">
      <c r="I30" s="53"/>
    </row>
    <row r="31" spans="1:34" s="6" customFormat="1" ht="67.5" customHeight="1">
      <c r="A31" s="65"/>
      <c r="B31" s="13">
        <f ca="1">INDEX($B$3:$B$26,MATCH(-C31,$C$3:$C$26,0))</f>
        <v>5</v>
      </c>
      <c r="C31" s="14">
        <f ca="1">IF(SMALL($C$3:$C$26,1)&gt;0,"",ABS(SMALL($C$3:$C$26,1)))</f>
        <v>3423.580984978129</v>
      </c>
      <c r="D31" s="13"/>
      <c r="E31" s="13"/>
      <c r="F31" s="13">
        <f ca="1">INDEX($B$3:$B$26,MATCH(-G31,$G$3:$G$26,0))</f>
        <v>3</v>
      </c>
      <c r="G31" s="14">
        <f ca="1">IF(SMALL($G$3:$G$26,1)&gt;0,"",ABS(SMALL($G$3:$G$26,1)))</f>
        <v>3994.5599999999995</v>
      </c>
      <c r="H31" s="13"/>
      <c r="I31" s="53"/>
      <c r="J31" s="13" t="str">
        <f ca="1">INDEX($B$3:$B$26,MATCH(-K31,$K$3:$K$26,0))</f>
        <v>7h</v>
      </c>
      <c r="K31" s="14">
        <f ca="1">IF(SMALL($K$3:$K$26,1)&gt;0,"",ABS(SMALL($K$3:$K$26,1)))</f>
        <v>1600.4984000000004</v>
      </c>
      <c r="L31" s="13"/>
      <c r="N31" s="13">
        <f ca="1">INDEX($B$3:$B$26,MATCH(-O31,$O$3:$O$26,0))</f>
        <v>1</v>
      </c>
      <c r="O31" s="14">
        <f ca="1">IF(SMALL($O$3:$O$26,1)&gt;0,"",ABS(SMALL($O$3:$O$26,1)))</f>
        <v>158.75000000000003</v>
      </c>
      <c r="P31" s="13"/>
      <c r="R31" s="13">
        <f ca="1">INDEX($B$3:$B$26,MATCH(-S31,$O$3:$O$26,0))</f>
        <v>1</v>
      </c>
      <c r="S31" s="14">
        <f ca="1">IF(SMALL($O$3:$O$26,1)&gt;0,"",ABS(SMALL($O$3:$O$26,1)))</f>
        <v>158.75000000000003</v>
      </c>
      <c r="T31" s="13"/>
      <c r="Z31" s="70"/>
      <c r="AA31" s="70"/>
      <c r="AB31" s="70"/>
      <c r="AC31" s="70"/>
      <c r="AD31" s="70"/>
      <c r="AE31" s="70"/>
      <c r="AF31" s="70"/>
      <c r="AG31" s="70"/>
      <c r="AH31" s="70"/>
    </row>
    <row r="32" spans="1:34" s="6" customFormat="1" ht="67.5" customHeight="1">
      <c r="A32" s="65"/>
      <c r="B32" s="13">
        <f ca="1">INDEX($B$3:$B$26,MATCH(-C32,$C$3:$C$26,0))</f>
        <v>4</v>
      </c>
      <c r="C32" s="14">
        <f ca="1">IF(SMALL($C$3:$C$26,2)&gt;0,"",ABS(SMALL($C$3:$C$26,2)))</f>
        <v>2818.4020612842723</v>
      </c>
      <c r="D32" s="13"/>
      <c r="E32" s="13"/>
      <c r="F32" s="13">
        <f ca="1">INDEX($B$3:$B$26,MATCH(-G32,$G$3:$G$26,0))</f>
        <v>4</v>
      </c>
      <c r="G32" s="14">
        <f ca="1">IF(SMALL($G$3:$G$26,2)&gt;0,"",ABS(SMALL($G$3:$G$26,2)))</f>
        <v>3770.84</v>
      </c>
      <c r="H32" s="13"/>
      <c r="I32" s="53"/>
      <c r="J32" s="13">
        <f ca="1">INDEX($B$3:$B$26,MATCH(-K32,$K$3:$K$26,0))</f>
        <v>13</v>
      </c>
      <c r="K32" s="14">
        <f ca="1">IF(SMALL($K$3:$K$26,2)&gt;0,"",ABS(SMALL($K$3:$K$26,2)))</f>
        <v>1119.8703999999998</v>
      </c>
      <c r="L32" s="13"/>
      <c r="N32" s="13">
        <f ca="1">INDEX($B$3:$B$26,MATCH(-O32,$O$3:$O$26,0))</f>
        <v>1</v>
      </c>
      <c r="O32" s="14">
        <f ca="1">IF(SMALL($O$3:$O$26,2)&gt;0,"",ABS(SMALL($O$3:$O$26,2)))</f>
        <v>158.75000000000003</v>
      </c>
      <c r="P32" s="13"/>
      <c r="R32" s="13">
        <f ca="1">INDEX($B$3:$B$26,MATCH(-S32,$O$3:$O$26,0))</f>
        <v>1</v>
      </c>
      <c r="S32" s="14">
        <f ca="1">IF(SMALL($O$3:$O$26,2)&gt;0,"",ABS(SMALL($O$3:$O$26,2)))</f>
        <v>158.75000000000003</v>
      </c>
      <c r="T32" s="13"/>
      <c r="Z32" s="70"/>
      <c r="AA32" s="70"/>
      <c r="AB32" s="70"/>
      <c r="AC32" s="70"/>
      <c r="AD32" s="70"/>
      <c r="AE32" s="70"/>
      <c r="AF32" s="70"/>
      <c r="AG32" s="70"/>
      <c r="AH32" s="70"/>
    </row>
    <row r="33" spans="1:36" s="6" customFormat="1" ht="67.5" customHeight="1">
      <c r="A33" s="65"/>
      <c r="B33" s="13">
        <f ca="1">INDEX($B$3:$B$26,MATCH(-C33,$C$3:$C$26,0))</f>
        <v>1</v>
      </c>
      <c r="C33" s="14">
        <f ca="1">IF(SMALL($C$3:$C$26,3)&gt;0,"",ABS(SMALL($C$3:$C$26,3)))</f>
        <v>1949.091271546873</v>
      </c>
      <c r="D33" s="13"/>
      <c r="E33" s="13"/>
      <c r="F33" s="13">
        <f ca="1">INDEX($B$3:$B$26,MATCH(-G33,$G$3:$G$26,0))</f>
        <v>19</v>
      </c>
      <c r="G33" s="14">
        <f ca="1">IF(SMALL($G$3:$G$26,3)&gt;0,"",ABS(SMALL($G$3:$G$26,3)))</f>
        <v>3758.24</v>
      </c>
      <c r="H33" s="13"/>
      <c r="I33" s="53"/>
      <c r="J33" s="13">
        <f ca="1">INDEX($B$3:$B$26,MATCH(-K33,$K$3:$K$26,0))</f>
        <v>9</v>
      </c>
      <c r="K33" s="14">
        <f ca="1">IF(SMALL($K$3:$K$26,3)&gt;0,"",ABS(SMALL($K$3:$K$26,3)))</f>
        <v>1012.7639999999997</v>
      </c>
      <c r="L33" s="13"/>
      <c r="N33" s="13">
        <f ca="1">INDEX($B$3:$B$26,MATCH(-O33,$O$3:$O$26,0))</f>
        <v>1</v>
      </c>
      <c r="O33" s="14">
        <f ca="1">IF(SMALL($O$3:$O$26,3)&gt;0,"",ABS(SMALL($O$3:$O$26,3)))</f>
        <v>158.75000000000003</v>
      </c>
      <c r="P33" s="13"/>
      <c r="R33" s="13">
        <f ca="1">INDEX($B$3:$B$26,MATCH(-S33,$O$3:$O$26,0))</f>
        <v>1</v>
      </c>
      <c r="S33" s="14">
        <f ca="1">IF(SMALL($O$3:$O$26,3)&gt;0,"",ABS(SMALL($O$3:$O$26,3)))</f>
        <v>158.75000000000003</v>
      </c>
      <c r="T33" s="13"/>
      <c r="Z33" s="70"/>
      <c r="AA33" s="70"/>
      <c r="AB33" s="70"/>
      <c r="AC33" s="70"/>
      <c r="AD33" s="70"/>
      <c r="AE33" s="70"/>
      <c r="AF33" s="70"/>
      <c r="AG33" s="70"/>
      <c r="AH33" s="70"/>
    </row>
    <row r="34" spans="1:36" s="6" customFormat="1" ht="67.5" customHeight="1">
      <c r="A34" s="65"/>
      <c r="B34" s="13">
        <f ca="1">INDEX($B$3:$B$26,MATCH(-C34,$C$3:$C$26,0))</f>
        <v>8</v>
      </c>
      <c r="C34" s="14">
        <f ca="1">IF(SMALL($C$3:$C$26,4)&gt;0,"",ABS(SMALL($C$3:$C$26,4)))</f>
        <v>1637.4499407134854</v>
      </c>
      <c r="D34" s="13"/>
      <c r="E34" s="13"/>
      <c r="F34" s="13">
        <f ca="1">INDEX($B$3:$B$26,MATCH(-G34,$G$3:$G$26,0))</f>
        <v>15</v>
      </c>
      <c r="G34" s="14">
        <f ca="1">IF(SMALL($G$3:$G$26,4)&gt;0,"",ABS(SMALL($G$3:$G$26,4)))</f>
        <v>3463.2799999999997</v>
      </c>
      <c r="H34" s="13"/>
      <c r="I34" s="53"/>
      <c r="J34" s="13">
        <f ca="1">INDEX($B$3:$B$26,MATCH(-K34,$K$3:$K$26,0))</f>
        <v>8</v>
      </c>
      <c r="K34" s="14">
        <f ca="1">IF(SMALL($K$3:$K$26,4)&gt;0,"",ABS(SMALL($K$3:$K$26,4)))</f>
        <v>962.08439999999973</v>
      </c>
      <c r="L34" s="13"/>
      <c r="N34" s="13">
        <f ca="1">INDEX($B$3:$B$26,MATCH(-O34,$O$3:$O$26,0))</f>
        <v>1</v>
      </c>
      <c r="O34" s="14">
        <f ca="1">IF(SMALL($O$3:$O$26,4)&gt;0,"",ABS(SMALL($O$3:$O$26,4)))</f>
        <v>158.75000000000003</v>
      </c>
      <c r="P34" s="13"/>
      <c r="R34" s="13">
        <f ca="1">INDEX($B$3:$B$26,MATCH(-S34,$O$3:$O$26,0))</f>
        <v>1</v>
      </c>
      <c r="S34" s="14">
        <f ca="1">IF(SMALL($O$3:$O$26,4)&gt;0,"",ABS(SMALL($O$3:$O$26,4)))</f>
        <v>158.75000000000003</v>
      </c>
      <c r="T34" s="13"/>
      <c r="Z34" s="70"/>
      <c r="AA34" s="70"/>
      <c r="AB34" s="70"/>
      <c r="AC34" s="70"/>
      <c r="AD34" s="70"/>
      <c r="AE34" s="70"/>
      <c r="AF34" s="70"/>
      <c r="AG34" s="70"/>
      <c r="AH34" s="70"/>
    </row>
    <row r="35" spans="1:36" s="6" customFormat="1" ht="67.5" customHeight="1">
      <c r="A35" s="65"/>
      <c r="B35" s="13" t="str">
        <f ca="1">INDEX($B$3:$B$26,MATCH(-C35,$C$3:$C$26,0))</f>
        <v>6h</v>
      </c>
      <c r="C35" s="14">
        <f ca="1">IF(SMALL($C$3:$C$26,5)&gt;0,"",ABS(SMALL($C$3:$C$26,5)))</f>
        <v>1502.2755464859456</v>
      </c>
      <c r="D35" s="13"/>
      <c r="E35" s="13"/>
      <c r="F35" s="13">
        <f ca="1">INDEX($B$3:$B$26,MATCH(-G35,$G$3:$G$26,0))</f>
        <v>14</v>
      </c>
      <c r="G35" s="14">
        <f ca="1">IF(SMALL($G$3:$G$26,5)&gt;0,"",ABS(SMALL($G$3:$G$26,5)))</f>
        <v>3178.76</v>
      </c>
      <c r="H35" s="13"/>
      <c r="I35" s="53"/>
      <c r="J35" s="13" t="str">
        <f ca="1">INDEX($B$3:$B$26,MATCH(-K35,$K$3:$K$26,0))</f>
        <v>6h</v>
      </c>
      <c r="K35" s="14">
        <f ca="1">IF(SMALL($K$3:$K$26,5)&gt;0,"",ABS(SMALL($K$3:$K$26,5)))</f>
        <v>908.91240000000016</v>
      </c>
      <c r="L35" s="13"/>
      <c r="N35" s="13">
        <f ca="1">INDEX($B$3:$B$26,MATCH(-O35,$O$3:$O$26,0))</f>
        <v>1</v>
      </c>
      <c r="O35" s="14">
        <f ca="1">IF(SMALL($O$3:$O$26,5)&gt;0,"",ABS(SMALL($O$3:$O$26,5)))</f>
        <v>158.75000000000003</v>
      </c>
      <c r="P35" s="13"/>
      <c r="R35" s="13">
        <f ca="1">INDEX($B$3:$B$26,MATCH(-S35,$O$3:$O$26,0))</f>
        <v>1</v>
      </c>
      <c r="S35" s="14">
        <f ca="1">IF(SMALL($O$3:$O$26,5)&gt;0,"",ABS(SMALL($O$3:$O$26,5)))</f>
        <v>158.75000000000003</v>
      </c>
      <c r="T35" s="1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6" s="6" customFormat="1" ht="67.5" customHeight="1">
      <c r="A36" s="65"/>
      <c r="B36" s="13"/>
      <c r="C36" s="13"/>
      <c r="D36" s="13"/>
      <c r="E36" s="13"/>
      <c r="F36" s="13"/>
      <c r="G36" s="13"/>
      <c r="H36" s="13"/>
      <c r="I36" s="53"/>
      <c r="J36" s="13"/>
      <c r="K36" s="13"/>
      <c r="L36" s="13"/>
      <c r="N36" s="13"/>
      <c r="O36" s="13"/>
      <c r="P36" s="13"/>
      <c r="R36" s="13"/>
      <c r="S36" s="13"/>
      <c r="T36" s="13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</row>
    <row r="37" spans="1:36" s="6" customFormat="1" ht="67.5" customHeight="1">
      <c r="A37" s="65"/>
      <c r="B37" s="13"/>
      <c r="C37" s="13"/>
      <c r="D37" s="13"/>
      <c r="E37" s="13"/>
      <c r="F37" s="13"/>
      <c r="G37" s="13"/>
      <c r="H37" s="13"/>
      <c r="I37" s="53"/>
      <c r="J37" s="13"/>
      <c r="K37" s="13"/>
      <c r="L37" s="13"/>
      <c r="N37" s="13"/>
      <c r="O37" s="13"/>
      <c r="P37" s="13"/>
      <c r="R37" s="13"/>
      <c r="S37" s="13"/>
      <c r="T37" s="13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</row>
    <row r="38" spans="1:36" s="6" customFormat="1" ht="67.5" customHeight="1">
      <c r="A38" s="65"/>
      <c r="B38" s="13"/>
      <c r="C38" s="13"/>
      <c r="D38" s="13"/>
      <c r="E38" s="13"/>
      <c r="F38" s="13"/>
      <c r="G38" s="13"/>
      <c r="H38" s="13"/>
      <c r="I38" s="53"/>
      <c r="J38" s="13"/>
      <c r="K38" s="13"/>
      <c r="L38" s="13"/>
      <c r="N38" s="13"/>
      <c r="O38" s="13"/>
      <c r="P38" s="13"/>
      <c r="R38" s="13"/>
      <c r="S38" s="13"/>
      <c r="T38" s="13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</row>
    <row r="39" spans="1:36" s="6" customFormat="1" ht="67.5" customHeight="1">
      <c r="A39" s="65"/>
      <c r="B39" s="13"/>
      <c r="C39" s="13"/>
      <c r="D39" s="13"/>
      <c r="E39" s="13"/>
      <c r="F39" s="13"/>
      <c r="G39" s="13"/>
      <c r="H39" s="13"/>
      <c r="J39" s="13"/>
      <c r="K39" s="13"/>
      <c r="L39" s="13"/>
      <c r="N39" s="13"/>
      <c r="O39" s="13"/>
      <c r="P39" s="13"/>
      <c r="R39" s="13"/>
      <c r="S39" s="13"/>
      <c r="T39" s="13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</row>
    <row r="40" spans="1:36" s="6" customFormat="1" ht="67.5" customHeight="1">
      <c r="A40" s="65"/>
      <c r="B40" s="13"/>
      <c r="C40" s="13"/>
      <c r="D40" s="13"/>
      <c r="E40" s="13"/>
      <c r="F40" s="13"/>
      <c r="G40" s="13"/>
      <c r="H40" s="13"/>
      <c r="J40" s="13"/>
      <c r="K40" s="13"/>
      <c r="L40" s="13"/>
      <c r="N40" s="13"/>
      <c r="O40" s="13"/>
      <c r="P40" s="13"/>
      <c r="R40" s="13"/>
      <c r="S40" s="13"/>
      <c r="T40" s="13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</row>
    <row r="41" spans="1:36" s="6" customFormat="1" ht="67.5" customHeight="1">
      <c r="A41" s="65"/>
      <c r="B41" s="13"/>
      <c r="C41" s="13"/>
      <c r="D41" s="13"/>
      <c r="E41" s="13"/>
      <c r="F41" s="13"/>
      <c r="G41" s="13"/>
      <c r="H41" s="13"/>
      <c r="J41" s="13"/>
      <c r="K41" s="13"/>
      <c r="L41" s="13"/>
      <c r="N41" s="13"/>
      <c r="O41" s="13"/>
      <c r="P41" s="13"/>
      <c r="R41" s="13"/>
      <c r="S41" s="13"/>
      <c r="T41" s="13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</row>
    <row r="42" spans="1:36" s="6" customFormat="1" ht="67.5" customHeight="1">
      <c r="A42" s="65"/>
      <c r="B42" s="13"/>
      <c r="C42" s="13"/>
      <c r="D42" s="13"/>
      <c r="E42" s="13"/>
      <c r="F42" s="13"/>
      <c r="G42" s="13"/>
      <c r="H42" s="13"/>
      <c r="J42" s="13"/>
      <c r="K42" s="13"/>
      <c r="L42" s="13"/>
      <c r="N42" s="13"/>
      <c r="O42" s="13"/>
      <c r="P42" s="13"/>
      <c r="R42" s="13"/>
      <c r="S42" s="13"/>
      <c r="T42" s="13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</row>
    <row r="49" spans="8:8" ht="67.5" customHeight="1">
      <c r="H49" s="15" t="s">
        <v>18</v>
      </c>
    </row>
  </sheetData>
  <autoFilter ref="F2:H26" xr:uid="{00000000-0009-0000-0000-000000000000}"/>
  <mergeCells count="15">
    <mergeCell ref="CA2:CB2"/>
    <mergeCell ref="BT3:CB6"/>
    <mergeCell ref="BJ3:BR6"/>
    <mergeCell ref="AS2:AT2"/>
    <mergeCell ref="AG2:AH2"/>
    <mergeCell ref="BE2:BF2"/>
    <mergeCell ref="Z3:AH12"/>
    <mergeCell ref="AL3:AT12"/>
    <mergeCell ref="AX3:BF12"/>
    <mergeCell ref="B1:D1"/>
    <mergeCell ref="F1:H1"/>
    <mergeCell ref="J1:L1"/>
    <mergeCell ref="N1:P1"/>
    <mergeCell ref="BQ2:BR2"/>
    <mergeCell ref="R1:T1"/>
  </mergeCells>
  <phoneticPr fontId="65" type="noConversion"/>
  <conditionalFormatting sqref="C3:C26 G3:G26 K3:K26">
    <cfRule type="cellIs" dxfId="216" priority="6" operator="lessThan">
      <formula>0</formula>
    </cfRule>
  </conditionalFormatting>
  <conditionalFormatting sqref="O3:O26">
    <cfRule type="cellIs" dxfId="215" priority="2" operator="lessThan">
      <formula>0</formula>
    </cfRule>
  </conditionalFormatting>
  <conditionalFormatting sqref="S3:S26">
    <cfRule type="cellIs" dxfId="21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1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EO165"/>
  <sheetViews>
    <sheetView showGridLines="0" tabSelected="1" topLeftCell="T15" zoomScale="80" zoomScaleNormal="80" workbookViewId="0">
      <selection activeCell="BR31" activeCellId="1" sqref="BC11 BR31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  <c r="CA1" s="17" t="s">
        <v>19</v>
      </c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 t="s">
        <v>20</v>
      </c>
      <c r="AE2" s="37"/>
      <c r="AF2" s="37"/>
      <c r="AG2" s="37"/>
      <c r="AH2" s="37"/>
      <c r="AI2" s="37"/>
      <c r="AJ2" s="37"/>
      <c r="AK2" s="37"/>
      <c r="AL2" s="221">
        <v>45448</v>
      </c>
      <c r="AM2" s="221"/>
      <c r="AN2" s="221"/>
      <c r="AO2" s="221"/>
      <c r="AP2" s="221"/>
    </row>
    <row r="3" spans="2:145" ht="79.900000000000006" customHeight="1">
      <c r="B3" s="40"/>
      <c r="C3" s="41"/>
      <c r="D3" s="41"/>
      <c r="E3" s="41"/>
      <c r="F3" s="41"/>
      <c r="G3" s="42" t="s">
        <v>21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0" t="s">
        <v>22</v>
      </c>
      <c r="AI3" s="220"/>
      <c r="AJ3" s="220"/>
      <c r="AK3" s="210"/>
      <c r="AL3" s="210"/>
      <c r="AM3" s="210"/>
      <c r="AN3" s="211" t="str">
        <f ca="1">IF(TODAY()&gt;'ACOMPANHAMENTO USINA'!AL2,"23:59:59",NOW())</f>
        <v>23:59:59</v>
      </c>
      <c r="AO3" s="211"/>
      <c r="AP3" s="212"/>
      <c r="BG3" s="17" t="s">
        <v>77</v>
      </c>
      <c r="DA3" s="40"/>
      <c r="DB3" s="41"/>
      <c r="DC3" s="41"/>
      <c r="DD3" s="41"/>
      <c r="DE3" s="41"/>
      <c r="DF3" s="42" t="s">
        <v>23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20" t="s">
        <v>22</v>
      </c>
      <c r="EH3" s="220"/>
      <c r="EI3" s="220"/>
      <c r="EJ3" s="210">
        <f ca="1">NOW()</f>
        <v>45836.484720949076</v>
      </c>
      <c r="EK3" s="210"/>
      <c r="EL3" s="210"/>
      <c r="EM3" s="218">
        <f ca="1">NOW()</f>
        <v>45836.484720949076</v>
      </c>
      <c r="EN3" s="218"/>
      <c r="EO3" s="219"/>
    </row>
    <row r="4" spans="2:145" ht="19.899999999999999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4" t="s">
        <v>24</v>
      </c>
      <c r="Q4" s="214"/>
      <c r="R4" s="214"/>
      <c r="S4" s="213">
        <f ca="1">NOW()</f>
        <v>45836.484720949076</v>
      </c>
      <c r="T4" s="213"/>
      <c r="AP4" s="24"/>
    </row>
    <row r="5" spans="2:145" ht="19.899999999999999" customHeight="1">
      <c r="B5" s="23"/>
      <c r="AP5" s="24"/>
    </row>
    <row r="6" spans="2:145" ht="19.899999999999999" customHeight="1">
      <c r="B6" s="27"/>
      <c r="C6" s="28"/>
      <c r="D6" s="28"/>
      <c r="AP6" s="24"/>
    </row>
    <row r="7" spans="2:145" ht="19.899999999999999" customHeight="1">
      <c r="B7" s="23"/>
      <c r="AP7" s="24"/>
    </row>
    <row r="8" spans="2:145" ht="19.899999999999999" customHeight="1">
      <c r="B8" s="23"/>
      <c r="AP8" s="24"/>
    </row>
    <row r="9" spans="2:145" ht="19.899999999999999" customHeight="1">
      <c r="B9" s="23"/>
      <c r="AP9" s="24"/>
    </row>
    <row r="10" spans="2:145" ht="19.899999999999999" customHeight="1">
      <c r="B10" s="23"/>
      <c r="AP10" s="24"/>
    </row>
    <row r="11" spans="2:145" ht="19.899999999999999" customHeight="1">
      <c r="B11" s="23"/>
      <c r="AP11" s="24"/>
    </row>
    <row r="12" spans="2:145" ht="19.899999999999999" customHeight="1">
      <c r="B12" s="23"/>
      <c r="AP12" s="24"/>
    </row>
    <row r="13" spans="2:145" ht="19.899999999999999" customHeight="1">
      <c r="B13" s="23"/>
      <c r="AP13" s="24"/>
    </row>
    <row r="14" spans="2:145" ht="19.899999999999999" customHeight="1">
      <c r="B14" s="23"/>
      <c r="AP14" s="24"/>
    </row>
    <row r="15" spans="2:145" ht="19.899999999999999" customHeight="1">
      <c r="B15" s="23"/>
      <c r="AP15" s="24"/>
    </row>
    <row r="16" spans="2:145" ht="19.899999999999999" customHeight="1">
      <c r="B16" s="23"/>
      <c r="AP16" s="24"/>
    </row>
    <row r="17" spans="2:64" ht="19.899999999999999" customHeight="1">
      <c r="B17" s="23"/>
      <c r="AP17" s="24"/>
      <c r="BB17" s="197" t="s">
        <v>25</v>
      </c>
      <c r="BC17" s="197"/>
      <c r="BD17" s="197"/>
      <c r="BE17" s="197"/>
      <c r="BF17" s="197"/>
      <c r="BG17" s="197"/>
      <c r="BH17" s="197"/>
      <c r="BI17" s="197"/>
      <c r="BJ17" s="197"/>
      <c r="BK17" s="197"/>
      <c r="BL17" s="197"/>
    </row>
    <row r="18" spans="2:64" ht="19.899999999999999" customHeight="1">
      <c r="B18" s="23"/>
      <c r="AP18" s="24"/>
      <c r="BB18" s="197"/>
      <c r="BC18" s="197"/>
      <c r="BD18" s="197"/>
      <c r="BE18" s="197"/>
      <c r="BF18" s="197"/>
      <c r="BG18" s="197"/>
      <c r="BH18" s="197"/>
      <c r="BI18" s="197"/>
      <c r="BJ18" s="197"/>
      <c r="BK18" s="197"/>
      <c r="BL18" s="197"/>
    </row>
    <row r="19" spans="2:64" s="30" customFormat="1" ht="19.899999999999999" customHeight="1">
      <c r="B19" s="29"/>
      <c r="K19" s="31"/>
      <c r="AP19" s="32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</row>
    <row r="20" spans="2:64" ht="16.5" customHeight="1">
      <c r="B20" s="23"/>
      <c r="AP20" s="24"/>
      <c r="BB20" s="197"/>
      <c r="BC20" s="197"/>
      <c r="BD20" s="197"/>
      <c r="BE20" s="197"/>
      <c r="BF20" s="197"/>
      <c r="BG20" s="197"/>
      <c r="BH20" s="197"/>
      <c r="BI20" s="197"/>
      <c r="BJ20" s="197"/>
      <c r="BK20" s="197"/>
      <c r="BL20" s="197"/>
    </row>
    <row r="21" spans="2:64" ht="16.5" customHeight="1">
      <c r="B21" s="23"/>
      <c r="AP21" s="24"/>
      <c r="BB21" s="197"/>
      <c r="BC21" s="197"/>
      <c r="BD21" s="197"/>
      <c r="BE21" s="197"/>
      <c r="BF21" s="197"/>
      <c r="BG21" s="197"/>
      <c r="BH21" s="197"/>
      <c r="BI21" s="197"/>
      <c r="BJ21" s="197"/>
      <c r="BK21" s="197"/>
      <c r="BL21" s="197"/>
    </row>
    <row r="22" spans="2:64" ht="16.5" customHeight="1">
      <c r="B22" s="23"/>
      <c r="AP22" s="24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</row>
    <row r="23" spans="2:64" ht="16.5" customHeight="1">
      <c r="B23" s="23"/>
      <c r="AP23" s="24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</row>
    <row r="24" spans="2:64" ht="16.5" customHeight="1">
      <c r="B24" s="23"/>
      <c r="AP24" s="24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</row>
    <row r="25" spans="2:64" ht="16.5" customHeight="1">
      <c r="B25" s="23"/>
      <c r="AP25" s="24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</row>
    <row r="26" spans="2:64" ht="16.5" customHeight="1">
      <c r="B26" s="23"/>
      <c r="AP26" s="24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</row>
    <row r="27" spans="2:64" ht="16.5" customHeight="1">
      <c r="B27" s="23"/>
      <c r="AP27" s="24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</row>
    <row r="28" spans="2:64" ht="16.5" customHeight="1">
      <c r="B28" s="23"/>
      <c r="AP28" s="24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</row>
    <row r="29" spans="2:64" ht="17.45" customHeight="1">
      <c r="B29" s="23"/>
      <c r="AP29" s="24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</row>
    <row r="30" spans="2:64" ht="14.25">
      <c r="B30" s="23"/>
      <c r="AP30" s="24"/>
    </row>
    <row r="31" spans="2:64" ht="14.25">
      <c r="B31" s="23"/>
      <c r="AP31" s="24"/>
    </row>
    <row r="32" spans="2:64" ht="14.25">
      <c r="B32" s="23"/>
      <c r="AP32" s="24"/>
    </row>
    <row r="33" spans="2:42" s="39" customFormat="1" ht="38.450000000000003" customHeight="1">
      <c r="B33" s="43"/>
      <c r="C33" s="44" t="s">
        <v>6</v>
      </c>
      <c r="D33" s="215" t="s">
        <v>7</v>
      </c>
      <c r="E33" s="216"/>
      <c r="F33" s="217" t="s">
        <v>8</v>
      </c>
      <c r="G33" s="217"/>
      <c r="H33" s="217"/>
      <c r="I33" s="217"/>
      <c r="J33" s="217"/>
      <c r="K33" s="217"/>
      <c r="M33" s="44" t="s">
        <v>6</v>
      </c>
      <c r="N33" s="215" t="s">
        <v>7</v>
      </c>
      <c r="O33" s="216"/>
      <c r="P33" s="217" t="s">
        <v>8</v>
      </c>
      <c r="Q33" s="217"/>
      <c r="R33" s="217"/>
      <c r="S33" s="217"/>
      <c r="T33" s="217"/>
      <c r="U33" s="217"/>
      <c r="W33" s="44" t="s">
        <v>6</v>
      </c>
      <c r="X33" s="215" t="s">
        <v>7</v>
      </c>
      <c r="Y33" s="216"/>
      <c r="Z33" s="217" t="s">
        <v>8</v>
      </c>
      <c r="AA33" s="217"/>
      <c r="AB33" s="217"/>
      <c r="AC33" s="217"/>
      <c r="AD33" s="217"/>
      <c r="AE33" s="217"/>
      <c r="AG33" s="44" t="s">
        <v>6</v>
      </c>
      <c r="AH33" s="215" t="s">
        <v>7</v>
      </c>
      <c r="AI33" s="216"/>
      <c r="AJ33" s="217" t="s">
        <v>8</v>
      </c>
      <c r="AK33" s="217"/>
      <c r="AL33" s="217"/>
      <c r="AM33" s="217"/>
      <c r="AN33" s="217"/>
      <c r="AO33" s="217"/>
      <c r="AP33" s="45"/>
    </row>
    <row r="34" spans="2:42" s="46" customFormat="1" ht="75" customHeight="1">
      <c r="B34" s="47"/>
      <c r="C34" s="48">
        <v>1</v>
      </c>
      <c r="D34" s="195">
        <f ca="1">'JUSTIFICATIVA DE USINA'!C3</f>
        <v>-1949.091271546873</v>
      </c>
      <c r="E34" s="195"/>
      <c r="F34" s="196" t="str">
        <f>'JUSTIFICATIVA DE USINA'!D3</f>
        <v>Principal impacto: - TR 149-02/ F.Disco: falha no sensor de velociadade, TR 151-23/F. Prensa: Rolamento do tambor danificado;</v>
      </c>
      <c r="G34" s="196"/>
      <c r="H34" s="196"/>
      <c r="I34" s="196"/>
      <c r="J34" s="196"/>
      <c r="K34" s="196"/>
      <c r="M34" s="48">
        <v>1</v>
      </c>
      <c r="N34" s="195">
        <f ca="1">'JUSTIFICATIVA DE USINA'!G3</f>
        <v>-2889.7200000000003</v>
      </c>
      <c r="O34" s="195"/>
      <c r="P34" s="196" t="str">
        <f>'JUSTIFICATIVA DE USINA'!H3</f>
        <v>Principal impacto: - Descontaminação da classificação que está produzindo FASN, No D veio programado SFLS;</v>
      </c>
      <c r="Q34" s="196"/>
      <c r="R34" s="196"/>
      <c r="S34" s="196"/>
      <c r="T34" s="196"/>
      <c r="U34" s="196"/>
      <c r="W34" s="48">
        <v>1</v>
      </c>
      <c r="X34" s="195">
        <f ca="1">'JUSTIFICATIVA DE USINA'!K3</f>
        <v>-31.579199999999673</v>
      </c>
      <c r="Y34" s="195"/>
      <c r="Z34" s="196" t="str">
        <f>'JUSTIFICATIVA DE USINA'!L3</f>
        <v>'Principal impacto: - REP06: material granulado da ESC 0901 ocasionando limpeza de grelha;</v>
      </c>
      <c r="AA34" s="196"/>
      <c r="AB34" s="196"/>
      <c r="AC34" s="196"/>
      <c r="AD34" s="196"/>
      <c r="AE34" s="196"/>
      <c r="AG34" s="48">
        <v>1</v>
      </c>
      <c r="AH34" s="195">
        <f ca="1">'JUSTIFICATIVA DE USINA'!O3</f>
        <v>-158.75000000000003</v>
      </c>
      <c r="AI34" s="195"/>
      <c r="AJ34" s="196" t="str">
        <f>'JUSTIFICATIVA DE USINA'!P3</f>
        <v>Principal impacto: - REP03/05: Falta de área de estocagem no pátio M;</v>
      </c>
      <c r="AK34" s="196"/>
      <c r="AL34" s="196"/>
      <c r="AM34" s="196"/>
      <c r="AN34" s="196"/>
      <c r="AO34" s="196"/>
      <c r="AP34" s="49"/>
    </row>
    <row r="35" spans="2:42" s="46" customFormat="1" ht="75" customHeight="1">
      <c r="B35" s="47"/>
      <c r="C35" s="48">
        <v>2</v>
      </c>
      <c r="D35" s="195">
        <f ca="1">'JUSTIFICATIVA DE USINA'!C4</f>
        <v>621.52328464417587</v>
      </c>
      <c r="E35" s="195"/>
      <c r="F35" s="196">
        <f>'JUSTIFICATIVA DE USINA'!D4</f>
        <v>0</v>
      </c>
      <c r="G35" s="196"/>
      <c r="H35" s="196"/>
      <c r="I35" s="196"/>
      <c r="J35" s="196"/>
      <c r="K35" s="196"/>
      <c r="M35" s="48">
        <v>2</v>
      </c>
      <c r="N35" s="195">
        <f ca="1">'JUSTIFICATIVA DE USINA'!G4</f>
        <v>-2402.7200000000003</v>
      </c>
      <c r="O35" s="195"/>
      <c r="P35" s="196" t="str">
        <f>'JUSTIFICATIVA DE USINA'!H4</f>
        <v>Principal impacto: - Descontaminação da classificação que está produzindo FASN, no D veio programado SFLS;</v>
      </c>
      <c r="Q35" s="196"/>
      <c r="R35" s="196"/>
      <c r="S35" s="196"/>
      <c r="T35" s="196"/>
      <c r="U35" s="196"/>
      <c r="W35" s="48">
        <v>2</v>
      </c>
      <c r="X35" s="195">
        <f ca="1">'JUSTIFICATIVA DE USINA'!K4</f>
        <v>-551.17799999999988</v>
      </c>
      <c r="Y35" s="195"/>
      <c r="Z35" s="196" t="str">
        <f>'JUSTIFICATIVA DE USINA'!L4</f>
        <v>'Principal impacto: - REP06: material granulado da ESC 0901 ocasionando limpeza de grelha;</v>
      </c>
      <c r="AA35" s="196"/>
      <c r="AB35" s="196"/>
      <c r="AC35" s="196"/>
      <c r="AD35" s="196"/>
      <c r="AE35" s="196"/>
      <c r="AG35" s="48">
        <v>2</v>
      </c>
      <c r="AH35" s="195">
        <f ca="1">'JUSTIFICATIVA DE USINA'!O4</f>
        <v>-158.75000000000003</v>
      </c>
      <c r="AI35" s="195"/>
      <c r="AJ35" s="196" t="str">
        <f>'JUSTIFICATIVA DE USINA'!P4</f>
        <v>Principal impacto: - REP03/05: Falta de área de estocagem no pátio M;</v>
      </c>
      <c r="AK35" s="196"/>
      <c r="AL35" s="196"/>
      <c r="AM35" s="196"/>
      <c r="AN35" s="196"/>
      <c r="AO35" s="196"/>
      <c r="AP35" s="49"/>
    </row>
    <row r="36" spans="2:42" s="46" customFormat="1" ht="75" customHeight="1">
      <c r="B36" s="47"/>
      <c r="C36" s="48">
        <v>3</v>
      </c>
      <c r="D36" s="195">
        <f ca="1">'JUSTIFICATIVA DE USINA'!C5</f>
        <v>1814.2457896642118</v>
      </c>
      <c r="E36" s="195"/>
      <c r="F36" s="196">
        <f>'JUSTIFICATIVA DE USINA'!D5</f>
        <v>0</v>
      </c>
      <c r="G36" s="196"/>
      <c r="H36" s="196"/>
      <c r="I36" s="196"/>
      <c r="J36" s="196"/>
      <c r="K36" s="196"/>
      <c r="M36" s="48">
        <v>3</v>
      </c>
      <c r="N36" s="195">
        <f ca="1">'JUSTIFICATIVA DE USINA'!G5</f>
        <v>-3994.5599999999995</v>
      </c>
      <c r="O36" s="195"/>
      <c r="P36" s="196" t="str">
        <f>'JUSTIFICATIVA DE USINA'!H5</f>
        <v>Principal impacto: - Descontaminação da classificação que está produzindo FASN, no D veio programado SFLS;</v>
      </c>
      <c r="Q36" s="196"/>
      <c r="R36" s="196"/>
      <c r="S36" s="196"/>
      <c r="T36" s="196"/>
      <c r="U36" s="196"/>
      <c r="W36" s="48">
        <v>3</v>
      </c>
      <c r="X36" s="195">
        <f ca="1">'JUSTIFICATIVA DE USINA'!K5</f>
        <v>-520.89960000000019</v>
      </c>
      <c r="Y36" s="195"/>
      <c r="Z36" s="196" t="str">
        <f>'JUSTIFICATIVA DE USINA'!L5</f>
        <v>'Principal impacto: - REP02,06: material granulado da ESC 0901 ocasionando limpeza de grelha;</v>
      </c>
      <c r="AA36" s="196"/>
      <c r="AB36" s="196"/>
      <c r="AC36" s="196"/>
      <c r="AD36" s="196"/>
      <c r="AE36" s="196"/>
      <c r="AG36" s="48">
        <v>3</v>
      </c>
      <c r="AH36" s="195">
        <f ca="1">'JUSTIFICATIVA DE USINA'!O5</f>
        <v>-158.75000000000003</v>
      </c>
      <c r="AI36" s="195"/>
      <c r="AJ36" s="196" t="str">
        <f>'JUSTIFICATIVA DE USINA'!P5</f>
        <v>Principal impacto: - REP03/05: Falta de área de estocagem no pátio M;</v>
      </c>
      <c r="AK36" s="196"/>
      <c r="AL36" s="196"/>
      <c r="AM36" s="196"/>
      <c r="AN36" s="196"/>
      <c r="AO36" s="196"/>
      <c r="AP36" s="49"/>
    </row>
    <row r="37" spans="2:42" s="46" customFormat="1" ht="75" customHeight="1">
      <c r="B37" s="47"/>
      <c r="C37" s="48">
        <v>4</v>
      </c>
      <c r="D37" s="195">
        <f ca="1">'JUSTIFICATIVA DE USINA'!C6</f>
        <v>-2818.4020612842723</v>
      </c>
      <c r="E37" s="195"/>
      <c r="F37" s="196" t="str">
        <f>'JUSTIFICATIVA DE USINA'!D6</f>
        <v>Principal impacto: - TR 117-07/BSM07: Sensor de rasgo, rompeu o Nylon do Rip Cord (Identificado borda);</v>
      </c>
      <c r="G37" s="196"/>
      <c r="H37" s="196"/>
      <c r="I37" s="196"/>
      <c r="J37" s="196"/>
      <c r="K37" s="196"/>
      <c r="M37" s="48">
        <v>4</v>
      </c>
      <c r="N37" s="195">
        <f ca="1">'JUSTIFICATIVA DE USINA'!G6</f>
        <v>-3770.84</v>
      </c>
      <c r="O37" s="195"/>
      <c r="P37" s="196" t="str">
        <f>'JUSTIFICATIVA DE USINA'!H6</f>
        <v>Principal impacto: - Restrição na classificação devido, DF de britadores, BR 3030-01: Falha hidráulica, BR 3030-03: Manutenção Preventiva, BR 3030-05: Troca do motor;</v>
      </c>
      <c r="Q37" s="196"/>
      <c r="R37" s="196"/>
      <c r="S37" s="196"/>
      <c r="T37" s="196"/>
      <c r="U37" s="196"/>
      <c r="W37" s="48">
        <v>4</v>
      </c>
      <c r="X37" s="195">
        <f ca="1">'JUSTIFICATIVA DE USINA'!K6</f>
        <v>159.22319999999991</v>
      </c>
      <c r="Y37" s="195"/>
      <c r="Z37" s="196"/>
      <c r="AA37" s="196"/>
      <c r="AB37" s="196"/>
      <c r="AC37" s="196"/>
      <c r="AD37" s="196"/>
      <c r="AE37" s="196"/>
      <c r="AG37" s="48">
        <v>4</v>
      </c>
      <c r="AH37" s="195">
        <f ca="1">'JUSTIFICATIVA DE USINA'!O6</f>
        <v>-158.75000000000003</v>
      </c>
      <c r="AI37" s="195"/>
      <c r="AJ37" s="196" t="str">
        <f>'JUSTIFICATIVA DE USINA'!P6</f>
        <v>Principal impacto: - REP03/05: Falta de área de estocagem no pátio M;</v>
      </c>
      <c r="AK37" s="196"/>
      <c r="AL37" s="196"/>
      <c r="AM37" s="196"/>
      <c r="AN37" s="196"/>
      <c r="AO37" s="196"/>
      <c r="AP37" s="49"/>
    </row>
    <row r="38" spans="2:42" s="46" customFormat="1" ht="75" customHeight="1">
      <c r="B38" s="47"/>
      <c r="C38" s="48">
        <v>5</v>
      </c>
      <c r="D38" s="195">
        <f ca="1">'JUSTIFICATIVA DE USINA'!C7</f>
        <v>-3423.580984978129</v>
      </c>
      <c r="E38" s="195"/>
      <c r="F38" s="196" t="str">
        <f>'JUSTIFICATIVA DE USINA'!D7</f>
        <v>Principal impacto: PN II, baixa produtividade devido material úmido e argiloso, operando com taxas mínimas (ESC0903);</v>
      </c>
      <c r="G38" s="196"/>
      <c r="H38" s="196"/>
      <c r="I38" s="196"/>
      <c r="J38" s="196"/>
      <c r="K38" s="196"/>
      <c r="M38" s="48">
        <v>5</v>
      </c>
      <c r="N38" s="195">
        <f ca="1">'JUSTIFICATIVA DE USINA'!G7</f>
        <v>-456.48</v>
      </c>
      <c r="O38" s="195"/>
      <c r="P38" s="196" t="str">
        <f>'JUSTIFICATIVA DE USINA'!H7</f>
        <v>Principal impacto: - Restrição na classificação devido, DF de britadores, BR 3030-01: Falha hidráulica, BR 3030-03: Manutenção Preventiva, BR 3030-05: Troca do motor;</v>
      </c>
      <c r="Q38" s="196"/>
      <c r="R38" s="196"/>
      <c r="S38" s="196"/>
      <c r="T38" s="196"/>
      <c r="U38" s="196"/>
      <c r="W38" s="48">
        <v>5</v>
      </c>
      <c r="X38" s="195">
        <f ca="1">'JUSTIFICATIVA DE USINA'!K7</f>
        <v>-231.96160000000009</v>
      </c>
      <c r="Y38" s="195"/>
      <c r="Z38" s="196" t="str">
        <f>'JUSTIFICATIVA DE USINA'!L7</f>
        <v>'Principal impacto: - REP06: material granulado da ESC 0901 ocasionando limpeza de grelha;</v>
      </c>
      <c r="AA38" s="196"/>
      <c r="AB38" s="196"/>
      <c r="AC38" s="196"/>
      <c r="AD38" s="196"/>
      <c r="AE38" s="196"/>
      <c r="AG38" s="48">
        <v>5</v>
      </c>
      <c r="AH38" s="195">
        <f ca="1">'JUSTIFICATIVA DE USINA'!O7</f>
        <v>-158.75000000000003</v>
      </c>
      <c r="AI38" s="195"/>
      <c r="AJ38" s="196" t="str">
        <f>'JUSTIFICATIVA DE USINA'!P7</f>
        <v>Principal impacto: - REP03/05: Falta de área de estocagem no pátio M;</v>
      </c>
      <c r="AK38" s="196"/>
      <c r="AL38" s="196"/>
      <c r="AM38" s="196"/>
      <c r="AN38" s="196"/>
      <c r="AO38" s="196"/>
      <c r="AP38" s="49"/>
    </row>
    <row r="39" spans="2:42" s="46" customFormat="1" ht="75" customHeight="1">
      <c r="B39" s="47"/>
      <c r="C39" s="48" t="s">
        <v>15</v>
      </c>
      <c r="D39" s="195">
        <f ca="1">'JUSTIFICATIVA DE USINA'!C8</f>
        <v>-1502.2755464859456</v>
      </c>
      <c r="E39" s="195"/>
      <c r="F39" s="196" t="str">
        <f>'JUSTIFICATIVA DE USINA'!D8</f>
        <v>Principal impacto: PN II, baixa produtividade devido material úmido e argiloso, operando com taxas mínimas (ESC0903);</v>
      </c>
      <c r="G39" s="196"/>
      <c r="H39" s="196"/>
      <c r="I39" s="196"/>
      <c r="J39" s="196"/>
      <c r="K39" s="196"/>
      <c r="M39" s="48" t="s">
        <v>15</v>
      </c>
      <c r="N39" s="195">
        <f ca="1">'JUSTIFICATIVA DE USINA'!G8</f>
        <v>-2151.3199999999997</v>
      </c>
      <c r="O39" s="195"/>
      <c r="P39" s="196" t="str">
        <f>'JUSTIFICATIVA DE USINA'!H8</f>
        <v>Principal impacto: - Restrição na classificação devido, DF de britadores, BR 3030-01: Falha hidráulica, BR 3030-03: Manutenção Preventiva, BR 3030-05: Troca do motor;</v>
      </c>
      <c r="Q39" s="196"/>
      <c r="R39" s="196"/>
      <c r="S39" s="196"/>
      <c r="T39" s="196"/>
      <c r="U39" s="196"/>
      <c r="W39" s="48" t="s">
        <v>15</v>
      </c>
      <c r="X39" s="195">
        <f ca="1">'JUSTIFICATIVA DE USINA'!K8</f>
        <v>-908.91240000000016</v>
      </c>
      <c r="Y39" s="195"/>
      <c r="Z39" s="196" t="str">
        <f>'JUSTIFICATIVA DE USINA'!L8</f>
        <v>'Principal impacto: - REP02: material granulado da ESC 0901 ocasionando limpeza de grelha; TR 1230-73/REP06: desalinhamento;</v>
      </c>
      <c r="AA39" s="196"/>
      <c r="AB39" s="196"/>
      <c r="AC39" s="196"/>
      <c r="AD39" s="196"/>
      <c r="AE39" s="196"/>
      <c r="AG39" s="48" t="s">
        <v>15</v>
      </c>
      <c r="AH39" s="195">
        <f ca="1">'JUSTIFICATIVA DE USINA'!O8</f>
        <v>-158.75000000000003</v>
      </c>
      <c r="AI39" s="195"/>
      <c r="AJ39" s="196" t="str">
        <f>'JUSTIFICATIVA DE USINA'!P8</f>
        <v>Principal impacto: - REP03/05: Falta de área de estocagem no pátio M;</v>
      </c>
      <c r="AK39" s="196"/>
      <c r="AL39" s="196"/>
      <c r="AM39" s="196"/>
      <c r="AN39" s="196"/>
      <c r="AO39" s="196"/>
      <c r="AP39" s="49"/>
    </row>
    <row r="40" spans="2:42" s="46" customFormat="1" ht="75" customHeight="1">
      <c r="B40" s="47"/>
      <c r="C40" s="48">
        <v>7</v>
      </c>
      <c r="D40" s="195">
        <f ca="1">'JUSTIFICATIVA DE USINA'!C9</f>
        <v>-1417.6254165639393</v>
      </c>
      <c r="E40" s="195"/>
      <c r="F40" s="196" t="str">
        <f>'JUSTIFICATIVA DE USINA'!D9</f>
        <v>Principal impacto: PN II, baixa produtividade devido material úmido e argiloso, operando com taxas mínimas (ESC0903);</v>
      </c>
      <c r="G40" s="196"/>
      <c r="H40" s="196"/>
      <c r="I40" s="196"/>
      <c r="J40" s="196"/>
      <c r="K40" s="196"/>
      <c r="M40" s="48">
        <v>7</v>
      </c>
      <c r="N40" s="195">
        <f ca="1">'JUSTIFICATIVA DE USINA'!G9</f>
        <v>-2696.8</v>
      </c>
      <c r="O40" s="195"/>
      <c r="P40" s="196" t="str">
        <f>'JUSTIFICATIVA DE USINA'!H9</f>
        <v>Principal impacto: - Restrição na classificação devido, DF de britadores, BR 3030-01: Falha hidráulica, BR 3030-03: Manutenção Preventiva, BR 3030-05: Troca do motor;</v>
      </c>
      <c r="Q40" s="196"/>
      <c r="R40" s="196"/>
      <c r="S40" s="196"/>
      <c r="T40" s="196"/>
      <c r="U40" s="196"/>
      <c r="W40" s="48">
        <v>7</v>
      </c>
      <c r="X40" s="195">
        <f ca="1">'JUSTIFICATIVA DE USINA'!K9</f>
        <v>-1600.4984000000004</v>
      </c>
      <c r="Y40" s="195"/>
      <c r="Z40" s="196" t="str">
        <f>'JUSTIFICATIVA DE USINA'!L9</f>
        <v>'Principal impacto: - REP02 e 06: troca de turno;</v>
      </c>
      <c r="AA40" s="196"/>
      <c r="AB40" s="196"/>
      <c r="AC40" s="196"/>
      <c r="AD40" s="196"/>
      <c r="AE40" s="196"/>
      <c r="AG40" s="48">
        <v>7</v>
      </c>
      <c r="AH40" s="195">
        <f ca="1">'JUSTIFICATIVA DE USINA'!O9</f>
        <v>-158.75000000000003</v>
      </c>
      <c r="AI40" s="195"/>
      <c r="AJ40" s="196" t="str">
        <f>'JUSTIFICATIVA DE USINA'!P9</f>
        <v>Principal impacto: - REP03/05: Falta de área de estocagem no pátio M;</v>
      </c>
      <c r="AK40" s="196"/>
      <c r="AL40" s="196"/>
      <c r="AM40" s="196"/>
      <c r="AN40" s="196"/>
      <c r="AO40" s="196"/>
      <c r="AP40" s="49"/>
    </row>
    <row r="41" spans="2:42" s="46" customFormat="1" ht="75" customHeight="1">
      <c r="B41" s="47"/>
      <c r="C41" s="48">
        <v>8</v>
      </c>
      <c r="D41" s="195">
        <f ca="1">'JUSTIFICATIVA DE USINA'!C10</f>
        <v>-1637.4499407134854</v>
      </c>
      <c r="E41" s="195"/>
      <c r="F41" s="196" t="str">
        <f>'JUSTIFICATIVA DE USINA'!D10</f>
        <v>Principal impacto: PN II, baixa produtividade devido material úmido e argiloso, operando com taxas mínimas (ESC0903);</v>
      </c>
      <c r="G41" s="196"/>
      <c r="H41" s="196"/>
      <c r="I41" s="196"/>
      <c r="J41" s="196"/>
      <c r="K41" s="196"/>
      <c r="M41" s="48">
        <v>8</v>
      </c>
      <c r="N41" s="195">
        <f ca="1">'JUSTIFICATIVA DE USINA'!G10</f>
        <v>-2984.76</v>
      </c>
      <c r="O41" s="195"/>
      <c r="P41" s="196" t="str">
        <f>'JUSTIFICATIVA DE USINA'!H10</f>
        <v>Principal impacto: - Restrição na classificação devido, DF de britadores, BR 3030-01: Falha hidráulica, BR 3030-03: Manutenção Preventiva, BR 3030-05: Troca do motor;</v>
      </c>
      <c r="Q41" s="196"/>
      <c r="R41" s="196"/>
      <c r="S41" s="196"/>
      <c r="T41" s="196"/>
      <c r="U41" s="196"/>
      <c r="W41" s="48">
        <v>8</v>
      </c>
      <c r="X41" s="195">
        <f ca="1">'JUSTIFICATIVA DE USINA'!K10</f>
        <v>-962.08439999999973</v>
      </c>
      <c r="Y41" s="195"/>
      <c r="Z41" s="196" t="str">
        <f>'JUSTIFICATIVA DE USINA'!L10</f>
        <v>'Principal impacto: - REP02 e 06: troca de turno;</v>
      </c>
      <c r="AA41" s="196"/>
      <c r="AB41" s="196"/>
      <c r="AC41" s="196"/>
      <c r="AD41" s="196"/>
      <c r="AE41" s="196"/>
      <c r="AG41" s="48">
        <v>8</v>
      </c>
      <c r="AH41" s="195">
        <f ca="1">'JUSTIFICATIVA DE USINA'!O10</f>
        <v>-158.75000000000003</v>
      </c>
      <c r="AI41" s="195"/>
      <c r="AJ41" s="196" t="str">
        <f>'JUSTIFICATIVA DE USINA'!P10</f>
        <v>Principal impacto: - REP03/05: Falta de área de estocagem no pátio M;</v>
      </c>
      <c r="AK41" s="196"/>
      <c r="AL41" s="196"/>
      <c r="AM41" s="196"/>
      <c r="AN41" s="196"/>
      <c r="AO41" s="196"/>
      <c r="AP41" s="49"/>
    </row>
    <row r="42" spans="2:42" s="46" customFormat="1" ht="75" customHeight="1">
      <c r="B42" s="47"/>
      <c r="C42" s="48">
        <v>9</v>
      </c>
      <c r="D42" s="195">
        <f ca="1">'JUSTIFICATIVA DE USINA'!C11</f>
        <v>-1212.8639349696432</v>
      </c>
      <c r="E42" s="195"/>
      <c r="F42" s="196" t="str">
        <f>'JUSTIFICATIVA DE USINA'!D11</f>
        <v>Principal impacto: PN II, baixa produtividade devido material úmido e argiloso, operando com taxas mínimas (ESC0903);</v>
      </c>
      <c r="G42" s="196"/>
      <c r="H42" s="196"/>
      <c r="I42" s="196"/>
      <c r="J42" s="196"/>
      <c r="K42" s="196"/>
      <c r="M42" s="48">
        <v>9</v>
      </c>
      <c r="N42" s="195">
        <f ca="1">'JUSTIFICATIVA DE USINA'!G11</f>
        <v>-1755.2799999999997</v>
      </c>
      <c r="O42" s="195"/>
      <c r="P42" s="196" t="str">
        <f>'JUSTIFICATIVA DE USINA'!H11</f>
        <v>Principal impacto: - Restrição na classificação devido, DF de britadores, BR 3030-01: Falha hidráulica, BR 3030-03: Manutenção Preventiva, BR 3030-05: Troca do motor;</v>
      </c>
      <c r="Q42" s="196"/>
      <c r="R42" s="196"/>
      <c r="S42" s="196"/>
      <c r="T42" s="196"/>
      <c r="U42" s="196"/>
      <c r="W42" s="48">
        <v>9</v>
      </c>
      <c r="X42" s="195">
        <f ca="1">'JUSTIFICATIVA DE USINA'!K11</f>
        <v>-1012.7639999999997</v>
      </c>
      <c r="Y42" s="195"/>
      <c r="Z42" s="196" t="str">
        <f>'JUSTIFICATIVA DE USINA'!L11</f>
        <v>'Principal impacto: - REP06: limpeza de tela e DF a LN 26 (tela) / Desc de fino: AL 135-02 desalinhamento;</v>
      </c>
      <c r="AA42" s="196"/>
      <c r="AB42" s="196"/>
      <c r="AC42" s="196"/>
      <c r="AD42" s="196"/>
      <c r="AE42" s="196"/>
      <c r="AG42" s="48">
        <v>9</v>
      </c>
      <c r="AH42" s="195">
        <f ca="1">'JUSTIFICATIVA DE USINA'!O11</f>
        <v>-158.75000000000003</v>
      </c>
      <c r="AI42" s="195"/>
      <c r="AJ42" s="196" t="str">
        <f>'JUSTIFICATIVA DE USINA'!P11</f>
        <v>Principal impacto: - REP03/05: Falta de área de estocagem no pátio M;</v>
      </c>
      <c r="AK42" s="196"/>
      <c r="AL42" s="196"/>
      <c r="AM42" s="196"/>
      <c r="AN42" s="196"/>
      <c r="AO42" s="196"/>
      <c r="AP42" s="49"/>
    </row>
    <row r="43" spans="2:42" s="46" customFormat="1" ht="75" customHeight="1">
      <c r="B43" s="47"/>
      <c r="C43" s="48">
        <v>10</v>
      </c>
      <c r="D43" s="195">
        <f ca="1">'JUSTIFICATIVA DE USINA'!C12</f>
        <v>474.67137891730272</v>
      </c>
      <c r="E43" s="195"/>
      <c r="F43" s="196">
        <f>'JUSTIFICATIVA DE USINA'!D12</f>
        <v>0</v>
      </c>
      <c r="G43" s="196"/>
      <c r="H43" s="196"/>
      <c r="I43" s="196"/>
      <c r="J43" s="196"/>
      <c r="K43" s="196"/>
      <c r="M43" s="48">
        <v>10</v>
      </c>
      <c r="N43" s="195">
        <f ca="1">'JUSTIFICATIVA DE USINA'!G12</f>
        <v>-2751.76</v>
      </c>
      <c r="O43" s="195"/>
      <c r="P43" s="196" t="str">
        <f>'JUSTIFICATIVA DE USINA'!H12</f>
        <v>Principal impacto: - Restrição na classificação devido, DF de britadores, BR 3030-01: Falha hidráulica, BR 3030-03: Manutenção Preventiva, BR 3030-05: Troca do motor;</v>
      </c>
      <c r="Q43" s="196"/>
      <c r="R43" s="196"/>
      <c r="S43" s="196"/>
      <c r="T43" s="196"/>
      <c r="U43" s="196"/>
      <c r="W43" s="48">
        <v>10</v>
      </c>
      <c r="X43" s="195">
        <f ca="1">'JUSTIFICATIVA DE USINA'!K12</f>
        <v>997.64439999999991</v>
      </c>
      <c r="Y43" s="195"/>
      <c r="Z43" s="196">
        <f>'JUSTIFICATIVA DE USINA'!L12</f>
        <v>0</v>
      </c>
      <c r="AA43" s="196"/>
      <c r="AB43" s="196"/>
      <c r="AC43" s="196"/>
      <c r="AD43" s="196"/>
      <c r="AE43" s="196"/>
      <c r="AG43" s="48">
        <v>10</v>
      </c>
      <c r="AH43" s="195">
        <f ca="1">'JUSTIFICATIVA DE USINA'!O12</f>
        <v>-158.75000000000003</v>
      </c>
      <c r="AI43" s="195"/>
      <c r="AJ43" s="196" t="str">
        <f>'JUSTIFICATIVA DE USINA'!P12</f>
        <v>Principal impacto: - REP03/05: Falta de área de estocagem no pátio M;</v>
      </c>
      <c r="AK43" s="196"/>
      <c r="AL43" s="196"/>
      <c r="AM43" s="196"/>
      <c r="AN43" s="196"/>
      <c r="AO43" s="196"/>
      <c r="AP43" s="49"/>
    </row>
    <row r="44" spans="2:42" s="46" customFormat="1" ht="75" customHeight="1">
      <c r="B44" s="47"/>
      <c r="C44" s="48">
        <v>11</v>
      </c>
      <c r="D44" s="195">
        <f ca="1">'JUSTIFICATIVA DE USINA'!C13</f>
        <v>720.62349948808878</v>
      </c>
      <c r="E44" s="195"/>
      <c r="F44" s="196">
        <f>'JUSTIFICATIVA DE USINA'!D13</f>
        <v>0</v>
      </c>
      <c r="G44" s="196"/>
      <c r="H44" s="196"/>
      <c r="I44" s="196"/>
      <c r="J44" s="196"/>
      <c r="K44" s="196"/>
      <c r="M44" s="48">
        <v>11</v>
      </c>
      <c r="N44" s="195">
        <f ca="1">'JUSTIFICATIVA DE USINA'!G13</f>
        <v>-2328.3599999999997</v>
      </c>
      <c r="O44" s="195"/>
      <c r="P44" s="196" t="str">
        <f>'JUSTIFICATIVA DE USINA'!H13</f>
        <v>Principal impacto: - Restrição na classificação devido, DF de britadores, BR 3030-01: Falha hidráulica, BR 3030-03: Manutenção Preventiva, BR 3030-05: Troca do motor;</v>
      </c>
      <c r="Q44" s="196"/>
      <c r="R44" s="196"/>
      <c r="S44" s="196"/>
      <c r="T44" s="196"/>
      <c r="U44" s="196"/>
      <c r="W44" s="48">
        <v>11</v>
      </c>
      <c r="X44" s="195">
        <f ca="1">'JUSTIFICATIVA DE USINA'!K13</f>
        <v>845.7800000000002</v>
      </c>
      <c r="Y44" s="195"/>
      <c r="Z44" s="196">
        <f>'JUSTIFICATIVA DE USINA'!L13</f>
        <v>0</v>
      </c>
      <c r="AA44" s="196"/>
      <c r="AB44" s="196"/>
      <c r="AC44" s="196"/>
      <c r="AD44" s="196"/>
      <c r="AE44" s="196"/>
      <c r="AG44" s="48">
        <v>11</v>
      </c>
      <c r="AH44" s="195">
        <f ca="1">'JUSTIFICATIVA DE USINA'!O13</f>
        <v>-158.75000000000003</v>
      </c>
      <c r="AI44" s="195"/>
      <c r="AJ44" s="196" t="str">
        <f>'JUSTIFICATIVA DE USINA'!P13</f>
        <v>Principal impacto: - REP03/05: Falta de área de estocagem no pátio M;</v>
      </c>
      <c r="AK44" s="196"/>
      <c r="AL44" s="196"/>
      <c r="AM44" s="196"/>
      <c r="AN44" s="196"/>
      <c r="AO44" s="196"/>
      <c r="AP44" s="49"/>
    </row>
    <row r="45" spans="2:42" s="46" customFormat="1" ht="75" customHeight="1">
      <c r="B45" s="47"/>
      <c r="C45" s="48">
        <v>12</v>
      </c>
      <c r="D45" s="195">
        <f ca="1">'JUSTIFICATIVA DE USINA'!C14</f>
        <v>1167.8334839659547</v>
      </c>
      <c r="E45" s="195"/>
      <c r="F45" s="196">
        <f>'JUSTIFICATIVA DE USINA'!D14</f>
        <v>0</v>
      </c>
      <c r="G45" s="196"/>
      <c r="H45" s="196"/>
      <c r="I45" s="196"/>
      <c r="J45" s="196"/>
      <c r="K45" s="196"/>
      <c r="M45" s="48">
        <v>12</v>
      </c>
      <c r="N45" s="195">
        <f ca="1">'JUSTIFICATIVA DE USINA'!G14</f>
        <v>-1260.6000000000004</v>
      </c>
      <c r="O45" s="195"/>
      <c r="P45" s="196" t="str">
        <f>'JUSTIFICATIVA DE USINA'!H14</f>
        <v>Principal impacto: BSM05: falta de alimentação devido DF de retro e moega cheia de material;</v>
      </c>
      <c r="Q45" s="196"/>
      <c r="R45" s="196"/>
      <c r="S45" s="196"/>
      <c r="T45" s="196"/>
      <c r="U45" s="196"/>
      <c r="W45" s="48">
        <v>12</v>
      </c>
      <c r="X45" s="195">
        <f ca="1">'JUSTIFICATIVA DE USINA'!K14</f>
        <v>1055.7799999999997</v>
      </c>
      <c r="Y45" s="195"/>
      <c r="Z45" s="196">
        <f>'JUSTIFICATIVA DE USINA'!L14</f>
        <v>0</v>
      </c>
      <c r="AA45" s="196"/>
      <c r="AB45" s="196"/>
      <c r="AC45" s="196"/>
      <c r="AD45" s="196"/>
      <c r="AE45" s="196"/>
      <c r="AG45" s="48">
        <v>12</v>
      </c>
      <c r="AH45" s="195">
        <f ca="1">'JUSTIFICATIVA DE USINA'!O14</f>
        <v>-158.75000000000003</v>
      </c>
      <c r="AI45" s="195"/>
      <c r="AJ45" s="196" t="str">
        <f>'JUSTIFICATIVA DE USINA'!P14</f>
        <v>Principal impacto: - REP03/05: Falta de área de estocagem no pátio M;</v>
      </c>
      <c r="AK45" s="196"/>
      <c r="AL45" s="196"/>
      <c r="AM45" s="196"/>
      <c r="AN45" s="196"/>
      <c r="AO45" s="196"/>
      <c r="AP45" s="49"/>
    </row>
    <row r="46" spans="2:42" s="46" customFormat="1" ht="75" customHeight="1">
      <c r="B46" s="47"/>
      <c r="C46" s="48">
        <v>13</v>
      </c>
      <c r="D46" s="195">
        <f ca="1">'JUSTIFICATIVA DE USINA'!C15</f>
        <v>-96.02663043391658</v>
      </c>
      <c r="E46" s="195"/>
      <c r="F46" s="196" t="str">
        <f>'JUSTIFICATIVA DE USINA'!D15</f>
        <v>Principal impacto: PN II, baixa produtividade devido material úmido e argiloso, perda de blend da BSM07 por limpeza de grelha.</v>
      </c>
      <c r="G46" s="196"/>
      <c r="H46" s="196"/>
      <c r="I46" s="196"/>
      <c r="J46" s="196"/>
      <c r="K46" s="196"/>
      <c r="M46" s="48">
        <v>13</v>
      </c>
      <c r="N46" s="195">
        <f ca="1">'JUSTIFICATIVA DE USINA'!G15</f>
        <v>-2262.3199999999997</v>
      </c>
      <c r="O46" s="195"/>
      <c r="P46" s="196" t="str">
        <f>'JUSTIFICATIVA DE USINA'!H15</f>
        <v>Principal impacto: BSM05: falta de alimentação devido DF de retro e moega cheia de material;</v>
      </c>
      <c r="Q46" s="196"/>
      <c r="R46" s="196"/>
      <c r="S46" s="196"/>
      <c r="T46" s="196"/>
      <c r="U46" s="196"/>
      <c r="W46" s="48">
        <v>13</v>
      </c>
      <c r="X46" s="195">
        <f ca="1">'JUSTIFICATIVA DE USINA'!K15</f>
        <v>-1119.8703999999998</v>
      </c>
      <c r="Y46" s="195"/>
      <c r="Z46" s="196" t="str">
        <f>'JUSTIFICATIVA DE USINA'!L15</f>
        <v>'Principal impacto: Desc de fino: TR 135-04,  nível alto no chute;</v>
      </c>
      <c r="AA46" s="196"/>
      <c r="AB46" s="196"/>
      <c r="AC46" s="196"/>
      <c r="AD46" s="196"/>
      <c r="AE46" s="196"/>
      <c r="AG46" s="48">
        <v>13</v>
      </c>
      <c r="AH46" s="195">
        <f ca="1">'JUSTIFICATIVA DE USINA'!O15</f>
        <v>-158.75000000000003</v>
      </c>
      <c r="AI46" s="195"/>
      <c r="AJ46" s="196" t="str">
        <f>'JUSTIFICATIVA DE USINA'!P15</f>
        <v>Principal impacto: - REP03/05: Falta de área de estocagem no pátio M;</v>
      </c>
      <c r="AK46" s="196"/>
      <c r="AL46" s="196"/>
      <c r="AM46" s="196"/>
      <c r="AN46" s="196"/>
      <c r="AO46" s="196"/>
      <c r="AP46" s="49"/>
    </row>
    <row r="47" spans="2:42" s="46" customFormat="1" ht="75" customHeight="1">
      <c r="B47" s="47"/>
      <c r="C47" s="48">
        <v>14</v>
      </c>
      <c r="D47" s="195">
        <f ca="1">'JUSTIFICATIVA DE USINA'!C16</f>
        <v>5017.7977779879329</v>
      </c>
      <c r="E47" s="195"/>
      <c r="F47" s="196">
        <f>'JUSTIFICATIVA DE USINA'!D16</f>
        <v>0</v>
      </c>
      <c r="G47" s="196"/>
      <c r="H47" s="196"/>
      <c r="I47" s="196"/>
      <c r="J47" s="196"/>
      <c r="K47" s="196"/>
      <c r="M47" s="48">
        <v>14</v>
      </c>
      <c r="N47" s="195">
        <f ca="1">'JUSTIFICATIVA DE USINA'!G16</f>
        <v>-3178.76</v>
      </c>
      <c r="O47" s="195"/>
      <c r="P47" s="196" t="str">
        <f>'JUSTIFICATIVA DE USINA'!H15</f>
        <v>Principal impacto: BSM05: falta de alimentação devido DF de retro e moega cheia de material;</v>
      </c>
      <c r="Q47" s="196"/>
      <c r="R47" s="196"/>
      <c r="S47" s="196"/>
      <c r="T47" s="196"/>
      <c r="U47" s="196"/>
      <c r="W47" s="48">
        <v>14</v>
      </c>
      <c r="X47" s="195">
        <f ca="1">'JUSTIFICATIVA DE USINA'!K16</f>
        <v>163.54719999999998</v>
      </c>
      <c r="Y47" s="195"/>
      <c r="Z47" s="196">
        <f>'JUSTIFICATIVA DE USINA'!L16</f>
        <v>0</v>
      </c>
      <c r="AA47" s="196"/>
      <c r="AB47" s="196"/>
      <c r="AC47" s="196"/>
      <c r="AD47" s="196"/>
      <c r="AE47" s="196"/>
      <c r="AG47" s="48">
        <v>14</v>
      </c>
      <c r="AH47" s="195">
        <f ca="1">'JUSTIFICATIVA DE USINA'!O16</f>
        <v>-158.75000000000003</v>
      </c>
      <c r="AI47" s="195"/>
      <c r="AJ47" s="196" t="str">
        <f>'JUSTIFICATIVA DE USINA'!P16</f>
        <v>Principal impacto: - REP03/05: Falta de área de estocagem no pátio M;</v>
      </c>
      <c r="AK47" s="196"/>
      <c r="AL47" s="196"/>
      <c r="AM47" s="196"/>
      <c r="AN47" s="196"/>
      <c r="AO47" s="196"/>
      <c r="AP47" s="49"/>
    </row>
    <row r="48" spans="2:42" s="46" customFormat="1" ht="75" customHeight="1">
      <c r="B48" s="47"/>
      <c r="C48" s="48">
        <v>15</v>
      </c>
      <c r="D48" s="195">
        <f ca="1">'JUSTIFICATIVA DE USINA'!C17</f>
        <v>3517.6733410853558</v>
      </c>
      <c r="E48" s="195"/>
      <c r="F48" s="196">
        <f>'JUSTIFICATIVA DE USINA'!D17</f>
        <v>0</v>
      </c>
      <c r="G48" s="196"/>
      <c r="H48" s="196"/>
      <c r="I48" s="196"/>
      <c r="J48" s="196"/>
      <c r="K48" s="196"/>
      <c r="M48" s="48">
        <v>15</v>
      </c>
      <c r="N48" s="195">
        <f ca="1">'JUSTIFICATIVA DE USINA'!G17</f>
        <v>-3463.2799999999997</v>
      </c>
      <c r="O48" s="195"/>
      <c r="P48" s="196" t="str">
        <f>'JUSTIFICATIVA DE USINA'!H16</f>
        <v>Principal impacto: BSM05: falta de alimentação devido DF de retro e moega cheia de material;</v>
      </c>
      <c r="Q48" s="196"/>
      <c r="R48" s="196"/>
      <c r="S48" s="196"/>
      <c r="T48" s="196"/>
      <c r="U48" s="196"/>
      <c r="W48" s="48">
        <v>15</v>
      </c>
      <c r="X48" s="195">
        <f ca="1">'JUSTIFICATIVA DE USINA'!K17</f>
        <v>2600</v>
      </c>
      <c r="Y48" s="195"/>
      <c r="Z48" s="196">
        <f>'JUSTIFICATIVA DE USINA'!L17</f>
        <v>0</v>
      </c>
      <c r="AA48" s="196"/>
      <c r="AB48" s="196"/>
      <c r="AC48" s="196"/>
      <c r="AD48" s="196"/>
      <c r="AE48" s="196"/>
      <c r="AG48" s="48">
        <v>15</v>
      </c>
      <c r="AH48" s="195">
        <f ca="1">'JUSTIFICATIVA DE USINA'!O17</f>
        <v>-158.75000000000003</v>
      </c>
      <c r="AI48" s="195"/>
      <c r="AJ48" s="196" t="str">
        <f>'JUSTIFICATIVA DE USINA'!P18</f>
        <v>Principal impacto: - REP03/05: Falta de área de estocagem no pátio M;</v>
      </c>
      <c r="AK48" s="196"/>
      <c r="AL48" s="196"/>
      <c r="AM48" s="196"/>
      <c r="AN48" s="196"/>
      <c r="AO48" s="196"/>
      <c r="AP48" s="49"/>
    </row>
    <row r="49" spans="2:42" s="46" customFormat="1" ht="75" customHeight="1">
      <c r="B49" s="47"/>
      <c r="C49" s="48">
        <v>16</v>
      </c>
      <c r="D49" s="195">
        <f ca="1">'JUSTIFICATIVA DE USINA'!C18</f>
        <v>4077.6644547497708</v>
      </c>
      <c r="E49" s="195"/>
      <c r="F49" s="196">
        <f>'JUSTIFICATIVA DE USINA'!D18</f>
        <v>0</v>
      </c>
      <c r="G49" s="196"/>
      <c r="H49" s="196"/>
      <c r="I49" s="196"/>
      <c r="J49" s="196"/>
      <c r="K49" s="196"/>
      <c r="M49" s="48">
        <v>16</v>
      </c>
      <c r="N49" s="195">
        <f ca="1">'JUSTIFICATIVA DE USINA'!G18</f>
        <v>2791.4</v>
      </c>
      <c r="O49" s="195"/>
      <c r="P49" s="196">
        <f>'JUSTIFICATIVA DE USINA'!H18</f>
        <v>0</v>
      </c>
      <c r="Q49" s="196"/>
      <c r="R49" s="196"/>
      <c r="S49" s="196"/>
      <c r="T49" s="196"/>
      <c r="U49" s="196"/>
      <c r="W49" s="48">
        <v>16</v>
      </c>
      <c r="X49" s="195">
        <f ca="1">'JUSTIFICATIVA DE USINA'!K18</f>
        <v>1760</v>
      </c>
      <c r="Y49" s="195"/>
      <c r="Z49" s="196">
        <f>'JUSTIFICATIVA DE USINA'!L18</f>
        <v>0</v>
      </c>
      <c r="AA49" s="196"/>
      <c r="AB49" s="196"/>
      <c r="AC49" s="196"/>
      <c r="AD49" s="196"/>
      <c r="AE49" s="196"/>
      <c r="AG49" s="48">
        <v>16</v>
      </c>
      <c r="AH49" s="195">
        <f ca="1">'JUSTIFICATIVA DE USINA'!O18</f>
        <v>-158.75000000000003</v>
      </c>
      <c r="AI49" s="195"/>
      <c r="AJ49" s="196" t="str">
        <f>'JUSTIFICATIVA DE USINA'!P18</f>
        <v>Principal impacto: - REP03/05: Falta de área de estocagem no pátio M;</v>
      </c>
      <c r="AK49" s="196"/>
      <c r="AL49" s="196"/>
      <c r="AM49" s="196"/>
      <c r="AN49" s="196"/>
      <c r="AO49" s="196"/>
      <c r="AP49" s="49"/>
    </row>
    <row r="50" spans="2:42" s="46" customFormat="1" ht="75" customHeight="1">
      <c r="B50" s="47"/>
      <c r="C50" s="48">
        <v>17</v>
      </c>
      <c r="D50" s="195">
        <f ca="1">'JUSTIFICATIVA DE USINA'!C19</f>
        <v>1657.7021348572034</v>
      </c>
      <c r="E50" s="195"/>
      <c r="F50" s="196">
        <f>'JUSTIFICATIVA DE USINA'!D19</f>
        <v>0</v>
      </c>
      <c r="G50" s="196"/>
      <c r="H50" s="196"/>
      <c r="I50" s="196"/>
      <c r="J50" s="196"/>
      <c r="K50" s="196"/>
      <c r="M50" s="48">
        <v>17</v>
      </c>
      <c r="N50" s="195">
        <f ca="1">'JUSTIFICATIVA DE USINA'!G19</f>
        <v>345.68000000000029</v>
      </c>
      <c r="O50" s="195"/>
      <c r="P50" s="196">
        <f>'JUSTIFICATIVA DE USINA'!H19</f>
        <v>0</v>
      </c>
      <c r="Q50" s="196"/>
      <c r="R50" s="196"/>
      <c r="S50" s="196"/>
      <c r="T50" s="196"/>
      <c r="U50" s="196"/>
      <c r="W50" s="48">
        <v>17</v>
      </c>
      <c r="X50" s="195">
        <f ca="1">'JUSTIFICATIVA DE USINA'!K19</f>
        <v>1576.5824</v>
      </c>
      <c r="Y50" s="195"/>
      <c r="Z50" s="196">
        <f>'JUSTIFICATIVA DE USINA'!L19</f>
        <v>0</v>
      </c>
      <c r="AA50" s="196"/>
      <c r="AB50" s="196"/>
      <c r="AC50" s="196"/>
      <c r="AD50" s="196"/>
      <c r="AE50" s="196"/>
      <c r="AG50" s="48">
        <v>17</v>
      </c>
      <c r="AH50" s="195">
        <f ca="1">'JUSTIFICATIVA DE USINA'!O19</f>
        <v>-158.75000000000003</v>
      </c>
      <c r="AI50" s="195"/>
      <c r="AJ50" s="196" t="str">
        <f>'JUSTIFICATIVA DE USINA'!P19</f>
        <v>Principal impacto: - REP03/05: Falta de área de estocagem no pátio M;</v>
      </c>
      <c r="AK50" s="196"/>
      <c r="AL50" s="196"/>
      <c r="AM50" s="196"/>
      <c r="AN50" s="196"/>
      <c r="AO50" s="196"/>
      <c r="AP50" s="49"/>
    </row>
    <row r="51" spans="2:42" s="46" customFormat="1" ht="75" customHeight="1">
      <c r="B51" s="47"/>
      <c r="C51" s="48">
        <v>18</v>
      </c>
      <c r="D51" s="195">
        <f ca="1">'JUSTIFICATIVA DE USINA'!C20</f>
        <v>3224.4112525560713</v>
      </c>
      <c r="E51" s="195"/>
      <c r="F51" s="196">
        <f>'JUSTIFICATIVA DE USINA'!D20</f>
        <v>0</v>
      </c>
      <c r="G51" s="196"/>
      <c r="H51" s="196"/>
      <c r="I51" s="196"/>
      <c r="J51" s="196"/>
      <c r="K51" s="196"/>
      <c r="M51" s="48">
        <v>18</v>
      </c>
      <c r="N51" s="195">
        <f ca="1">'JUSTIFICATIVA DE USINA'!G20</f>
        <v>-1841.2799999999997</v>
      </c>
      <c r="O51" s="195"/>
      <c r="P51" s="196" t="str">
        <f>'JUSTIFICATIVA DE USINA'!H20</f>
        <v>Principal impacto: TR 3011-19/Bloco B parado devido vazamento no chute</v>
      </c>
      <c r="Q51" s="196"/>
      <c r="R51" s="196"/>
      <c r="S51" s="196"/>
      <c r="T51" s="196"/>
      <c r="U51" s="196"/>
      <c r="W51" s="48">
        <v>18</v>
      </c>
      <c r="X51" s="195">
        <f ca="1">'JUSTIFICATIVA DE USINA'!K20</f>
        <v>1071.4559999999999</v>
      </c>
      <c r="Y51" s="195"/>
      <c r="Z51" s="196">
        <f>'JUSTIFICATIVA DE USINA'!L20</f>
        <v>0</v>
      </c>
      <c r="AA51" s="196"/>
      <c r="AB51" s="196"/>
      <c r="AC51" s="196"/>
      <c r="AD51" s="196"/>
      <c r="AE51" s="196"/>
      <c r="AG51" s="48">
        <v>18</v>
      </c>
      <c r="AH51" s="195">
        <f ca="1">'JUSTIFICATIVA DE USINA'!O20</f>
        <v>-158.75000000000003</v>
      </c>
      <c r="AI51" s="195"/>
      <c r="AJ51" s="196" t="str">
        <f>'JUSTIFICATIVA DE USINA'!P20</f>
        <v>Principal impacto: - REP03/05: Falta de área de estocagem no pátio M;</v>
      </c>
      <c r="AK51" s="196"/>
      <c r="AL51" s="196"/>
      <c r="AM51" s="196"/>
      <c r="AN51" s="196"/>
      <c r="AO51" s="196"/>
      <c r="AP51" s="49"/>
    </row>
    <row r="52" spans="2:42" s="46" customFormat="1" ht="75" customHeight="1">
      <c r="B52" s="47"/>
      <c r="C52" s="48">
        <v>19</v>
      </c>
      <c r="D52" s="195">
        <f ca="1">'JUSTIFICATIVA DE USINA'!C21</f>
        <v>3327.1776107076594</v>
      </c>
      <c r="E52" s="195"/>
      <c r="F52" s="196">
        <f>'JUSTIFICATIVA DE USINA'!D21</f>
        <v>0</v>
      </c>
      <c r="G52" s="196"/>
      <c r="H52" s="196"/>
      <c r="I52" s="196"/>
      <c r="J52" s="196"/>
      <c r="K52" s="196"/>
      <c r="M52" s="48">
        <v>19</v>
      </c>
      <c r="N52" s="195">
        <f ca="1">'JUSTIFICATIVA DE USINA'!G21</f>
        <v>-3758.24</v>
      </c>
      <c r="O52" s="195"/>
      <c r="P52" s="196" t="str">
        <f>'JUSTIFICATIVA DE USINA'!H21</f>
        <v>Principal impacto: TR 3011-19/Bloco B parado devido vazamento no chute</v>
      </c>
      <c r="Q52" s="196"/>
      <c r="R52" s="196"/>
      <c r="S52" s="196"/>
      <c r="T52" s="196"/>
      <c r="U52" s="196"/>
      <c r="W52" s="48">
        <v>19</v>
      </c>
      <c r="X52" s="195">
        <f ca="1">'JUSTIFICATIVA DE USINA'!K21</f>
        <v>146.33680000000004</v>
      </c>
      <c r="Y52" s="195"/>
      <c r="Z52" s="196">
        <f>'JUSTIFICATIVA DE USINA'!L21</f>
        <v>0</v>
      </c>
      <c r="AA52" s="196"/>
      <c r="AB52" s="196"/>
      <c r="AC52" s="196"/>
      <c r="AD52" s="196"/>
      <c r="AE52" s="196"/>
      <c r="AG52" s="48">
        <v>19</v>
      </c>
      <c r="AH52" s="195">
        <f ca="1">'JUSTIFICATIVA DE USINA'!O21</f>
        <v>-158.75000000000003</v>
      </c>
      <c r="AI52" s="195"/>
      <c r="AJ52" s="196" t="str">
        <f>'JUSTIFICATIVA DE USINA'!P21</f>
        <v>Principal impacto: - REP03/05: Falta de área de estocagem no pátio M;</v>
      </c>
      <c r="AK52" s="196"/>
      <c r="AL52" s="196"/>
      <c r="AM52" s="196"/>
      <c r="AN52" s="196"/>
      <c r="AO52" s="196"/>
      <c r="AP52" s="49"/>
    </row>
    <row r="53" spans="2:42" s="46" customFormat="1" ht="75" customHeight="1">
      <c r="B53" s="47"/>
      <c r="C53" s="48">
        <v>20</v>
      </c>
      <c r="D53" s="195">
        <f ca="1">'JUSTIFICATIVA DE USINA'!C22</f>
        <v>790.68107507042896</v>
      </c>
      <c r="E53" s="195"/>
      <c r="F53" s="196">
        <f>'JUSTIFICATIVA DE USINA'!D22</f>
        <v>0</v>
      </c>
      <c r="G53" s="196"/>
      <c r="H53" s="196"/>
      <c r="I53" s="196"/>
      <c r="J53" s="196"/>
      <c r="K53" s="196"/>
      <c r="M53" s="48">
        <v>20</v>
      </c>
      <c r="N53" s="195">
        <f ca="1">'JUSTIFICATIVA DE USINA'!G22</f>
        <v>-2333.2399999999998</v>
      </c>
      <c r="O53" s="195"/>
      <c r="P53" s="196" t="str">
        <f>'JUSTIFICATIVA DE USINA'!H22</f>
        <v>Principal impacto: TR 3011-19/Bloco B parado devido vazamento no chute</v>
      </c>
      <c r="Q53" s="196"/>
      <c r="R53" s="196"/>
      <c r="S53" s="196"/>
      <c r="T53" s="196"/>
      <c r="U53" s="196"/>
      <c r="W53" s="48">
        <v>20</v>
      </c>
      <c r="X53" s="195">
        <f ca="1">'JUSTIFICATIVA DE USINA'!K22</f>
        <v>766.05840000000001</v>
      </c>
      <c r="Y53" s="195"/>
      <c r="Z53" s="196">
        <f>'JUSTIFICATIVA DE USINA'!L22</f>
        <v>0</v>
      </c>
      <c r="AA53" s="196"/>
      <c r="AB53" s="196"/>
      <c r="AC53" s="196"/>
      <c r="AD53" s="196"/>
      <c r="AE53" s="196"/>
      <c r="AG53" s="48">
        <v>20</v>
      </c>
      <c r="AH53" s="195">
        <f ca="1">'JUSTIFICATIVA DE USINA'!O22</f>
        <v>-158.75000000000003</v>
      </c>
      <c r="AI53" s="195"/>
      <c r="AJ53" s="196" t="str">
        <f>'JUSTIFICATIVA DE USINA'!P22</f>
        <v>Principal impacto: - REP03/05: Falta de área de estocagem no pátio M;</v>
      </c>
      <c r="AK53" s="196"/>
      <c r="AL53" s="196"/>
      <c r="AM53" s="196"/>
      <c r="AN53" s="196"/>
      <c r="AO53" s="196"/>
      <c r="AP53" s="49"/>
    </row>
    <row r="54" spans="2:42" s="46" customFormat="1" ht="75" customHeight="1">
      <c r="B54" s="47"/>
      <c r="C54" s="48">
        <v>21</v>
      </c>
      <c r="D54" s="195">
        <f ca="1">'JUSTIFICATIVA DE USINA'!C23</f>
        <v>1061.3776557077563</v>
      </c>
      <c r="E54" s="195"/>
      <c r="F54" s="196">
        <f>'JUSTIFICATIVA DE USINA'!D23</f>
        <v>0</v>
      </c>
      <c r="G54" s="196"/>
      <c r="H54" s="196"/>
      <c r="I54" s="196"/>
      <c r="J54" s="196"/>
      <c r="K54" s="196"/>
      <c r="M54" s="48">
        <v>21</v>
      </c>
      <c r="N54" s="195">
        <f ca="1">'JUSTIFICATIVA DE USINA'!G23</f>
        <v>-2039.2399999999998</v>
      </c>
      <c r="O54" s="195"/>
      <c r="P54" s="196" t="str">
        <f>'JUSTIFICATIVA DE USINA'!H23</f>
        <v>Principal impacto: TR 3011-19/Bloco B parado devido vazamento no chute</v>
      </c>
      <c r="Q54" s="196"/>
      <c r="R54" s="196"/>
      <c r="S54" s="196"/>
      <c r="T54" s="196"/>
      <c r="U54" s="196"/>
      <c r="W54" s="48">
        <v>21</v>
      </c>
      <c r="X54" s="195">
        <f ca="1">'JUSTIFICATIVA DE USINA'!K23</f>
        <v>814.10400000000004</v>
      </c>
      <c r="Y54" s="195"/>
      <c r="Z54" s="196">
        <f>'JUSTIFICATIVA DE USINA'!L23</f>
        <v>0</v>
      </c>
      <c r="AA54" s="196"/>
      <c r="AB54" s="196"/>
      <c r="AC54" s="196"/>
      <c r="AD54" s="196"/>
      <c r="AE54" s="196"/>
      <c r="AG54" s="48">
        <v>21</v>
      </c>
      <c r="AH54" s="195">
        <f ca="1">'JUSTIFICATIVA DE USINA'!O23</f>
        <v>-158.75000000000003</v>
      </c>
      <c r="AI54" s="195"/>
      <c r="AJ54" s="196" t="str">
        <f>'JUSTIFICATIVA DE USINA'!P23</f>
        <v>Principal impacto: - REP03/05: Falta de área de estocagem no pátio M;</v>
      </c>
      <c r="AK54" s="196"/>
      <c r="AL54" s="196"/>
      <c r="AM54" s="196"/>
      <c r="AN54" s="196"/>
      <c r="AO54" s="196"/>
      <c r="AP54" s="49"/>
    </row>
    <row r="55" spans="2:42" s="46" customFormat="1" ht="75" customHeight="1">
      <c r="B55" s="47"/>
      <c r="C55" s="48">
        <v>22</v>
      </c>
      <c r="D55" s="195">
        <f ca="1">'JUSTIFICATIVA DE USINA'!C24</f>
        <v>1198.9995822735309</v>
      </c>
      <c r="E55" s="195"/>
      <c r="F55" s="196">
        <f>'JUSTIFICATIVA DE USINA'!D24</f>
        <v>0</v>
      </c>
      <c r="G55" s="196"/>
      <c r="H55" s="196"/>
      <c r="I55" s="196"/>
      <c r="J55" s="196"/>
      <c r="K55" s="196"/>
      <c r="M55" s="48">
        <v>22</v>
      </c>
      <c r="N55" s="195">
        <f ca="1">'JUSTIFICATIVA DE USINA'!G24</f>
        <v>-1154.08</v>
      </c>
      <c r="O55" s="195"/>
      <c r="P55" s="196" t="str">
        <f>'JUSTIFICATIVA DE USINA'!H24</f>
        <v>Principal impacto: TR 3011-19/Bloco B parado devido vazamento no chute</v>
      </c>
      <c r="Q55" s="196"/>
      <c r="R55" s="196"/>
      <c r="S55" s="196"/>
      <c r="T55" s="196"/>
      <c r="U55" s="196"/>
      <c r="W55" s="48">
        <v>22</v>
      </c>
      <c r="X55" s="195">
        <f ca="1">'JUSTIFICATIVA DE USINA'!K24</f>
        <v>632.23960000000011</v>
      </c>
      <c r="Y55" s="195"/>
      <c r="Z55" s="196">
        <f>'JUSTIFICATIVA DE USINA'!L24</f>
        <v>0</v>
      </c>
      <c r="AA55" s="196"/>
      <c r="AB55" s="196"/>
      <c r="AC55" s="196"/>
      <c r="AD55" s="196"/>
      <c r="AE55" s="196"/>
      <c r="AG55" s="48">
        <v>22</v>
      </c>
      <c r="AH55" s="195">
        <f ca="1">'JUSTIFICATIVA DE USINA'!O24</f>
        <v>-158.75000000000003</v>
      </c>
      <c r="AI55" s="195"/>
      <c r="AJ55" s="196" t="str">
        <f>'JUSTIFICATIVA DE USINA'!P24</f>
        <v>Principal impacto: - REP03/05: Falta de área de estocagem no pátio M;</v>
      </c>
      <c r="AK55" s="196"/>
      <c r="AL55" s="196"/>
      <c r="AM55" s="196"/>
      <c r="AN55" s="196"/>
      <c r="AO55" s="196"/>
      <c r="AP55" s="49"/>
    </row>
    <row r="56" spans="2:42" s="46" customFormat="1" ht="75" customHeight="1">
      <c r="B56" s="47"/>
      <c r="C56" s="48">
        <v>23</v>
      </c>
      <c r="D56" s="195">
        <f ca="1">'JUSTIFICATIVA DE USINA'!C25</f>
        <v>1579.2323738623145</v>
      </c>
      <c r="E56" s="195"/>
      <c r="F56" s="196">
        <f>'JUSTIFICATIVA DE USINA'!D25</f>
        <v>0</v>
      </c>
      <c r="G56" s="196"/>
      <c r="H56" s="196"/>
      <c r="I56" s="196"/>
      <c r="J56" s="196"/>
      <c r="K56" s="196"/>
      <c r="M56" s="48">
        <v>23</v>
      </c>
      <c r="N56" s="195">
        <f ca="1">'JUSTIFICATIVA DE USINA'!G25</f>
        <v>-2273.08</v>
      </c>
      <c r="O56" s="195"/>
      <c r="P56" s="196" t="str">
        <f>'JUSTIFICATIVA DE USINA'!H25</f>
        <v xml:space="preserve">Principal impacto:  Classificação baixa produtividade  DF de britadores, </v>
      </c>
      <c r="Q56" s="196"/>
      <c r="R56" s="196"/>
      <c r="S56" s="196"/>
      <c r="T56" s="196"/>
      <c r="U56" s="196"/>
      <c r="W56" s="48">
        <v>23</v>
      </c>
      <c r="X56" s="195">
        <f ca="1">'JUSTIFICATIVA DE USINA'!K25</f>
        <v>1.0547999999998865</v>
      </c>
      <c r="Y56" s="195"/>
      <c r="Z56" s="196">
        <f>'JUSTIFICATIVA DE USINA'!L25</f>
        <v>0</v>
      </c>
      <c r="AA56" s="196"/>
      <c r="AB56" s="196"/>
      <c r="AC56" s="196"/>
      <c r="AD56" s="196"/>
      <c r="AE56" s="196"/>
      <c r="AG56" s="48">
        <v>23</v>
      </c>
      <c r="AH56" s="195">
        <f ca="1">'JUSTIFICATIVA DE USINA'!O25</f>
        <v>-158.75000000000003</v>
      </c>
      <c r="AI56" s="195"/>
      <c r="AJ56" s="196" t="str">
        <f>'JUSTIFICATIVA DE USINA'!P25</f>
        <v>Principal impacto: - REP03/05: Falta de área de estocagem no pátio M;</v>
      </c>
      <c r="AK56" s="196"/>
      <c r="AL56" s="196"/>
      <c r="AM56" s="196"/>
      <c r="AN56" s="196"/>
      <c r="AO56" s="196"/>
      <c r="AP56" s="49"/>
    </row>
    <row r="57" spans="2:42" s="46" customFormat="1" ht="75" customHeight="1">
      <c r="B57" s="47"/>
      <c r="C57" s="48">
        <v>24</v>
      </c>
      <c r="D57" s="195">
        <f ca="1">'JUSTIFICATIVA DE USINA'!C26</f>
        <v>-569.67877948543173</v>
      </c>
      <c r="E57" s="195"/>
      <c r="F57" s="196" t="str">
        <f>'JUSTIFICATIVA DE USINA'!D26</f>
        <v xml:space="preserve">Principal impacto:  TR 151-25 desalinhamento da correia </v>
      </c>
      <c r="G57" s="196"/>
      <c r="H57" s="196"/>
      <c r="I57" s="196"/>
      <c r="J57" s="196"/>
      <c r="K57" s="196"/>
      <c r="M57" s="48">
        <v>24</v>
      </c>
      <c r="N57" s="195">
        <f ca="1">'JUSTIFICATIVA DE USINA'!G26</f>
        <v>-2140.4800000000005</v>
      </c>
      <c r="O57" s="195"/>
      <c r="P57" s="196" t="str">
        <f>'JUSTIFICATIVA DE USINA'!H26</f>
        <v xml:space="preserve">Principal impacto:  Classificação baixa produtividade  DF de britadores, </v>
      </c>
      <c r="Q57" s="196"/>
      <c r="R57" s="196"/>
      <c r="S57" s="196"/>
      <c r="T57" s="196"/>
      <c r="U57" s="196"/>
      <c r="W57" s="48">
        <v>24</v>
      </c>
      <c r="X57" s="195">
        <f ca="1">'JUSTIFICATIVA DE USINA'!K26</f>
        <v>-96.051600000000008</v>
      </c>
      <c r="Y57" s="195"/>
      <c r="Z57" s="196" t="str">
        <f>'JUSTIFICATIVA DE USINA'!L26</f>
        <v xml:space="preserve">Principal impacto:  TR 151-25 desalinhamento da correia </v>
      </c>
      <c r="AA57" s="196"/>
      <c r="AB57" s="196"/>
      <c r="AC57" s="196"/>
      <c r="AD57" s="196"/>
      <c r="AE57" s="196"/>
      <c r="AG57" s="48">
        <v>24</v>
      </c>
      <c r="AH57" s="195">
        <f ca="1">'JUSTIFICATIVA DE USINA'!O26</f>
        <v>-158.75000000000003</v>
      </c>
      <c r="AI57" s="195"/>
      <c r="AJ57" s="196" t="str">
        <f>'JUSTIFICATIVA DE USINA'!P26</f>
        <v>Principal impacto: - REP03/05: Falta de área de estocagem no pátio M;</v>
      </c>
      <c r="AK57" s="196"/>
      <c r="AL57" s="196"/>
      <c r="AM57" s="196"/>
      <c r="AN57" s="196"/>
      <c r="AO57" s="196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04" t="s">
        <v>1</v>
      </c>
      <c r="AB93" s="205"/>
      <c r="AC93" s="205"/>
      <c r="AD93" s="205"/>
      <c r="AE93" s="205"/>
      <c r="AF93" s="205"/>
      <c r="AG93" s="205"/>
      <c r="AH93" s="205"/>
      <c r="AI93" s="205"/>
      <c r="AJ93" s="205"/>
      <c r="AK93" s="205"/>
      <c r="AL93" s="205"/>
      <c r="AM93" s="205"/>
      <c r="AN93" s="205"/>
      <c r="AO93" s="206"/>
      <c r="AP93" s="24"/>
    </row>
    <row r="94" spans="2:42" ht="24" customHeight="1">
      <c r="B94" s="23"/>
      <c r="AA94" s="207"/>
      <c r="AB94" s="208"/>
      <c r="AC94" s="208"/>
      <c r="AD94" s="208"/>
      <c r="AE94" s="208"/>
      <c r="AF94" s="208"/>
      <c r="AG94" s="208"/>
      <c r="AH94" s="208"/>
      <c r="AI94" s="208"/>
      <c r="AJ94" s="208"/>
      <c r="AK94" s="208"/>
      <c r="AL94" s="208"/>
      <c r="AM94" s="208"/>
      <c r="AN94" s="208"/>
      <c r="AO94" s="209"/>
      <c r="AP94" s="24"/>
    </row>
    <row r="95" spans="2:42" ht="24" customHeight="1">
      <c r="B95" s="23"/>
      <c r="AA95" s="198" t="str">
        <f>'JUSTIFICATIVA DE USINA'!Z3</f>
        <v xml:space="preserve">-Aderente ao programa:
Impactos:
Ponto de atenção:*
Nota:
Programação de massa da BSM3 realizado as 04:00h
</v>
      </c>
      <c r="AB95" s="199"/>
      <c r="AC95" s="199"/>
      <c r="AD95" s="199"/>
      <c r="AE95" s="199"/>
      <c r="AF95" s="199"/>
      <c r="AG95" s="199"/>
      <c r="AH95" s="199"/>
      <c r="AI95" s="199"/>
      <c r="AJ95" s="199"/>
      <c r="AK95" s="199"/>
      <c r="AL95" s="199"/>
      <c r="AM95" s="199"/>
      <c r="AN95" s="199"/>
      <c r="AO95" s="200"/>
      <c r="AP95" s="24"/>
    </row>
    <row r="96" spans="2:42" ht="35.25" customHeight="1">
      <c r="B96" s="23"/>
      <c r="AA96" s="198"/>
      <c r="AB96" s="199"/>
      <c r="AC96" s="199"/>
      <c r="AD96" s="199"/>
      <c r="AE96" s="199"/>
      <c r="AF96" s="199"/>
      <c r="AG96" s="199"/>
      <c r="AH96" s="199"/>
      <c r="AI96" s="199"/>
      <c r="AJ96" s="199"/>
      <c r="AK96" s="199"/>
      <c r="AL96" s="199"/>
      <c r="AM96" s="199"/>
      <c r="AN96" s="199"/>
      <c r="AO96" s="200"/>
      <c r="AP96" s="24"/>
    </row>
    <row r="97" spans="2:42" ht="35.25" customHeight="1">
      <c r="B97" s="23"/>
      <c r="AA97" s="198"/>
      <c r="AB97" s="199"/>
      <c r="AC97" s="199"/>
      <c r="AD97" s="199"/>
      <c r="AE97" s="199"/>
      <c r="AF97" s="199"/>
      <c r="AG97" s="199"/>
      <c r="AH97" s="199"/>
      <c r="AI97" s="199"/>
      <c r="AJ97" s="199"/>
      <c r="AK97" s="199"/>
      <c r="AL97" s="199"/>
      <c r="AM97" s="199"/>
      <c r="AN97" s="199"/>
      <c r="AO97" s="200"/>
      <c r="AP97" s="24"/>
    </row>
    <row r="98" spans="2:42" ht="35.25" customHeight="1">
      <c r="B98" s="23"/>
      <c r="AA98" s="198"/>
      <c r="AB98" s="199"/>
      <c r="AC98" s="199"/>
      <c r="AD98" s="199"/>
      <c r="AE98" s="199"/>
      <c r="AF98" s="199"/>
      <c r="AG98" s="199"/>
      <c r="AH98" s="199"/>
      <c r="AI98" s="199"/>
      <c r="AJ98" s="199"/>
      <c r="AK98" s="199"/>
      <c r="AL98" s="199"/>
      <c r="AM98" s="199"/>
      <c r="AN98" s="199"/>
      <c r="AO98" s="200"/>
      <c r="AP98" s="24"/>
    </row>
    <row r="99" spans="2:42" ht="35.25" customHeight="1">
      <c r="B99" s="23"/>
      <c r="AA99" s="198"/>
      <c r="AB99" s="199"/>
      <c r="AC99" s="199"/>
      <c r="AD99" s="199"/>
      <c r="AE99" s="199"/>
      <c r="AF99" s="199"/>
      <c r="AG99" s="199"/>
      <c r="AH99" s="199"/>
      <c r="AI99" s="199"/>
      <c r="AJ99" s="199"/>
      <c r="AK99" s="199"/>
      <c r="AL99" s="199"/>
      <c r="AM99" s="199"/>
      <c r="AN99" s="199"/>
      <c r="AO99" s="200"/>
      <c r="AP99" s="24"/>
    </row>
    <row r="100" spans="2:42" ht="35.25" customHeight="1">
      <c r="B100" s="23"/>
      <c r="AA100" s="198"/>
      <c r="AB100" s="199"/>
      <c r="AC100" s="199"/>
      <c r="AD100" s="199"/>
      <c r="AE100" s="199"/>
      <c r="AF100" s="199"/>
      <c r="AG100" s="199"/>
      <c r="AH100" s="199"/>
      <c r="AI100" s="199"/>
      <c r="AJ100" s="199"/>
      <c r="AK100" s="199"/>
      <c r="AL100" s="199"/>
      <c r="AM100" s="199"/>
      <c r="AN100" s="199"/>
      <c r="AO100" s="200"/>
      <c r="AP100" s="24"/>
    </row>
    <row r="101" spans="2:42" ht="35.25" customHeight="1">
      <c r="B101" s="23"/>
      <c r="AA101" s="198"/>
      <c r="AB101" s="199"/>
      <c r="AC101" s="199"/>
      <c r="AD101" s="199"/>
      <c r="AE101" s="199"/>
      <c r="AF101" s="199"/>
      <c r="AG101" s="199"/>
      <c r="AH101" s="199"/>
      <c r="AI101" s="199"/>
      <c r="AJ101" s="199"/>
      <c r="AK101" s="199"/>
      <c r="AL101" s="199"/>
      <c r="AM101" s="199"/>
      <c r="AN101" s="199"/>
      <c r="AO101" s="200"/>
      <c r="AP101" s="24"/>
    </row>
    <row r="102" spans="2:42" ht="35.25" customHeight="1">
      <c r="B102" s="23"/>
      <c r="AA102" s="198"/>
      <c r="AB102" s="199"/>
      <c r="AC102" s="199"/>
      <c r="AD102" s="199"/>
      <c r="AE102" s="199"/>
      <c r="AF102" s="199"/>
      <c r="AG102" s="199"/>
      <c r="AH102" s="199"/>
      <c r="AI102" s="199"/>
      <c r="AJ102" s="199"/>
      <c r="AK102" s="199"/>
      <c r="AL102" s="199"/>
      <c r="AM102" s="199"/>
      <c r="AN102" s="199"/>
      <c r="AO102" s="200"/>
      <c r="AP102" s="24"/>
    </row>
    <row r="103" spans="2:42" ht="35.25" customHeight="1">
      <c r="B103" s="23"/>
      <c r="AA103" s="198"/>
      <c r="AB103" s="199"/>
      <c r="AC103" s="199"/>
      <c r="AD103" s="199"/>
      <c r="AE103" s="199"/>
      <c r="AF103" s="199"/>
      <c r="AG103" s="199"/>
      <c r="AH103" s="199"/>
      <c r="AI103" s="199"/>
      <c r="AJ103" s="199"/>
      <c r="AK103" s="199"/>
      <c r="AL103" s="199"/>
      <c r="AM103" s="199"/>
      <c r="AN103" s="199"/>
      <c r="AO103" s="200"/>
      <c r="AP103" s="24"/>
    </row>
    <row r="104" spans="2:42" ht="51" customHeight="1">
      <c r="B104" s="23"/>
      <c r="AA104" s="198"/>
      <c r="AB104" s="199"/>
      <c r="AC104" s="199"/>
      <c r="AD104" s="199"/>
      <c r="AE104" s="199"/>
      <c r="AF104" s="199"/>
      <c r="AG104" s="199"/>
      <c r="AH104" s="199"/>
      <c r="AI104" s="199"/>
      <c r="AJ104" s="199"/>
      <c r="AK104" s="199"/>
      <c r="AL104" s="199"/>
      <c r="AM104" s="199"/>
      <c r="AN104" s="199"/>
      <c r="AO104" s="200"/>
      <c r="AP104" s="24"/>
    </row>
    <row r="105" spans="2:42" ht="51" customHeight="1">
      <c r="B105" s="23"/>
      <c r="AA105" s="198"/>
      <c r="AB105" s="199"/>
      <c r="AC105" s="199"/>
      <c r="AD105" s="199"/>
      <c r="AE105" s="199"/>
      <c r="AF105" s="199"/>
      <c r="AG105" s="199"/>
      <c r="AH105" s="199"/>
      <c r="AI105" s="199"/>
      <c r="AJ105" s="199"/>
      <c r="AK105" s="199"/>
      <c r="AL105" s="199"/>
      <c r="AM105" s="199"/>
      <c r="AN105" s="199"/>
      <c r="AO105" s="200"/>
      <c r="AP105" s="24"/>
    </row>
    <row r="106" spans="2:42" ht="51" customHeight="1">
      <c r="B106" s="23"/>
      <c r="AA106" s="198"/>
      <c r="AB106" s="199"/>
      <c r="AC106" s="199"/>
      <c r="AD106" s="199"/>
      <c r="AE106" s="199"/>
      <c r="AF106" s="199"/>
      <c r="AG106" s="199"/>
      <c r="AH106" s="199"/>
      <c r="AI106" s="199"/>
      <c r="AJ106" s="199"/>
      <c r="AK106" s="199"/>
      <c r="AL106" s="199"/>
      <c r="AM106" s="199"/>
      <c r="AN106" s="199"/>
      <c r="AO106" s="200"/>
      <c r="AP106" s="24"/>
    </row>
    <row r="107" spans="2:42" ht="51" customHeight="1">
      <c r="B107" s="23"/>
      <c r="AA107" s="198"/>
      <c r="AB107" s="199"/>
      <c r="AC107" s="199"/>
      <c r="AD107" s="199"/>
      <c r="AE107" s="199"/>
      <c r="AF107" s="199"/>
      <c r="AG107" s="199"/>
      <c r="AH107" s="199"/>
      <c r="AI107" s="199"/>
      <c r="AJ107" s="199"/>
      <c r="AK107" s="199"/>
      <c r="AL107" s="199"/>
      <c r="AM107" s="199"/>
      <c r="AN107" s="199"/>
      <c r="AO107" s="200"/>
      <c r="AP107" s="24"/>
    </row>
    <row r="108" spans="2:42" ht="51" customHeight="1" thickBot="1">
      <c r="B108" s="23"/>
      <c r="AA108" s="201"/>
      <c r="AB108" s="202"/>
      <c r="AC108" s="202"/>
      <c r="AD108" s="202"/>
      <c r="AE108" s="202"/>
      <c r="AF108" s="202"/>
      <c r="AG108" s="202"/>
      <c r="AH108" s="202"/>
      <c r="AI108" s="202"/>
      <c r="AJ108" s="202"/>
      <c r="AK108" s="202"/>
      <c r="AL108" s="202"/>
      <c r="AM108" s="202"/>
      <c r="AN108" s="202"/>
      <c r="AO108" s="203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24" customHeight="1">
      <c r="B111" s="23"/>
      <c r="AA111" s="204" t="s">
        <v>2</v>
      </c>
      <c r="AB111" s="205"/>
      <c r="AC111" s="205"/>
      <c r="AD111" s="205"/>
      <c r="AE111" s="205"/>
      <c r="AF111" s="205"/>
      <c r="AG111" s="205"/>
      <c r="AH111" s="205"/>
      <c r="AI111" s="205"/>
      <c r="AJ111" s="205"/>
      <c r="AK111" s="205"/>
      <c r="AL111" s="205"/>
      <c r="AM111" s="205"/>
      <c r="AN111" s="205"/>
      <c r="AO111" s="206"/>
      <c r="AP111" s="24"/>
    </row>
    <row r="112" spans="2:42" ht="24" customHeight="1">
      <c r="B112" s="23"/>
      <c r="AA112" s="207"/>
      <c r="AB112" s="208"/>
      <c r="AC112" s="208"/>
      <c r="AD112" s="208"/>
      <c r="AE112" s="208"/>
      <c r="AF112" s="208"/>
      <c r="AG112" s="208"/>
      <c r="AH112" s="208"/>
      <c r="AI112" s="208"/>
      <c r="AJ112" s="208"/>
      <c r="AK112" s="208"/>
      <c r="AL112" s="208"/>
      <c r="AM112" s="208"/>
      <c r="AN112" s="208"/>
      <c r="AO112" s="209"/>
      <c r="AP112" s="24"/>
    </row>
    <row r="113" spans="2:42" ht="24" customHeight="1">
      <c r="B113" s="23"/>
      <c r="AA113" s="198" t="str">
        <f>'JUSTIFICATIVA DE USINA'!AL3</f>
        <v xml:space="preserve">- Abaixo do programa:
Impactos:
-  Classificação e DF de britadores, estamos produzindo o FASN (alta sílica) de 00:00 ás 15:00
- TR 3011-18 parando por chave de desalinhamento, dificultando o processo de zerar os silos,  de 00:00 ás 03:00
- BSM05: falta de alimentação devido DF de retro e moega cheia de material de 12:00 às 15:00
- TR 3011-19/Bloco B parado devido vazamento no chute, de  18:00 às 21:15 
Pontos de atenção:
- TR 3030-02- Desgaste no trilho (vigente);
 </v>
      </c>
      <c r="AB113" s="199"/>
      <c r="AC113" s="199"/>
      <c r="AD113" s="199"/>
      <c r="AE113" s="199"/>
      <c r="AF113" s="199"/>
      <c r="AG113" s="199"/>
      <c r="AH113" s="199"/>
      <c r="AI113" s="199"/>
      <c r="AJ113" s="199"/>
      <c r="AK113" s="199"/>
      <c r="AL113" s="199"/>
      <c r="AM113" s="199"/>
      <c r="AN113" s="199"/>
      <c r="AO113" s="200"/>
      <c r="AP113" s="24"/>
    </row>
    <row r="114" spans="2:42" ht="24" customHeight="1">
      <c r="B114" s="23"/>
      <c r="AA114" s="198"/>
      <c r="AB114" s="199"/>
      <c r="AC114" s="199"/>
      <c r="AD114" s="199"/>
      <c r="AE114" s="199"/>
      <c r="AF114" s="199"/>
      <c r="AG114" s="199"/>
      <c r="AH114" s="199"/>
      <c r="AI114" s="199"/>
      <c r="AJ114" s="199"/>
      <c r="AK114" s="199"/>
      <c r="AL114" s="199"/>
      <c r="AM114" s="199"/>
      <c r="AN114" s="199"/>
      <c r="AO114" s="200"/>
      <c r="AP114" s="24"/>
    </row>
    <row r="115" spans="2:42" ht="24" customHeight="1">
      <c r="B115" s="23"/>
      <c r="AA115" s="198"/>
      <c r="AB115" s="199"/>
      <c r="AC115" s="199"/>
      <c r="AD115" s="199"/>
      <c r="AE115" s="199"/>
      <c r="AF115" s="199"/>
      <c r="AG115" s="199"/>
      <c r="AH115" s="199"/>
      <c r="AI115" s="199"/>
      <c r="AJ115" s="199"/>
      <c r="AK115" s="199"/>
      <c r="AL115" s="199"/>
      <c r="AM115" s="199"/>
      <c r="AN115" s="199"/>
      <c r="AO115" s="200"/>
      <c r="AP115" s="24"/>
    </row>
    <row r="116" spans="2:42" ht="24" customHeight="1">
      <c r="B116" s="23"/>
      <c r="AA116" s="198"/>
      <c r="AB116" s="199"/>
      <c r="AC116" s="199"/>
      <c r="AD116" s="199"/>
      <c r="AE116" s="199"/>
      <c r="AF116" s="199"/>
      <c r="AG116" s="199"/>
      <c r="AH116" s="199"/>
      <c r="AI116" s="199"/>
      <c r="AJ116" s="199"/>
      <c r="AK116" s="199"/>
      <c r="AL116" s="199"/>
      <c r="AM116" s="199"/>
      <c r="AN116" s="199"/>
      <c r="AO116" s="200"/>
      <c r="AP116" s="24"/>
    </row>
    <row r="117" spans="2:42" ht="24" customHeight="1">
      <c r="B117" s="23"/>
      <c r="AA117" s="198"/>
      <c r="AB117" s="199"/>
      <c r="AC117" s="199"/>
      <c r="AD117" s="199"/>
      <c r="AE117" s="199"/>
      <c r="AF117" s="199"/>
      <c r="AG117" s="199"/>
      <c r="AH117" s="199"/>
      <c r="AI117" s="199"/>
      <c r="AJ117" s="199"/>
      <c r="AK117" s="199"/>
      <c r="AL117" s="199"/>
      <c r="AM117" s="199"/>
      <c r="AN117" s="199"/>
      <c r="AO117" s="200"/>
      <c r="AP117" s="24"/>
    </row>
    <row r="118" spans="2:42" ht="24" customHeight="1">
      <c r="B118" s="23"/>
      <c r="AA118" s="198"/>
      <c r="AB118" s="199"/>
      <c r="AC118" s="199"/>
      <c r="AD118" s="199"/>
      <c r="AE118" s="199"/>
      <c r="AF118" s="199"/>
      <c r="AG118" s="199"/>
      <c r="AH118" s="199"/>
      <c r="AI118" s="199"/>
      <c r="AJ118" s="199"/>
      <c r="AK118" s="199"/>
      <c r="AL118" s="199"/>
      <c r="AM118" s="199"/>
      <c r="AN118" s="199"/>
      <c r="AO118" s="200"/>
      <c r="AP118" s="24"/>
    </row>
    <row r="119" spans="2:42" ht="24" customHeight="1">
      <c r="B119" s="23"/>
      <c r="AA119" s="198"/>
      <c r="AB119" s="199"/>
      <c r="AC119" s="199"/>
      <c r="AD119" s="199"/>
      <c r="AE119" s="199"/>
      <c r="AF119" s="199"/>
      <c r="AG119" s="199"/>
      <c r="AH119" s="199"/>
      <c r="AI119" s="199"/>
      <c r="AJ119" s="199"/>
      <c r="AK119" s="199"/>
      <c r="AL119" s="199"/>
      <c r="AM119" s="199"/>
      <c r="AN119" s="199"/>
      <c r="AO119" s="200"/>
      <c r="AP119" s="24"/>
    </row>
    <row r="120" spans="2:42" ht="24" customHeight="1">
      <c r="B120" s="23"/>
      <c r="AA120" s="198"/>
      <c r="AB120" s="199"/>
      <c r="AC120" s="199"/>
      <c r="AD120" s="199"/>
      <c r="AE120" s="199"/>
      <c r="AF120" s="199"/>
      <c r="AG120" s="199"/>
      <c r="AH120" s="199"/>
      <c r="AI120" s="199"/>
      <c r="AJ120" s="199"/>
      <c r="AK120" s="199"/>
      <c r="AL120" s="199"/>
      <c r="AM120" s="199"/>
      <c r="AN120" s="199"/>
      <c r="AO120" s="200"/>
      <c r="AP120" s="24"/>
    </row>
    <row r="121" spans="2:42" ht="24" customHeight="1">
      <c r="B121" s="23"/>
      <c r="AA121" s="198"/>
      <c r="AB121" s="199"/>
      <c r="AC121" s="199"/>
      <c r="AD121" s="199"/>
      <c r="AE121" s="199"/>
      <c r="AF121" s="199"/>
      <c r="AG121" s="199"/>
      <c r="AH121" s="199"/>
      <c r="AI121" s="199"/>
      <c r="AJ121" s="199"/>
      <c r="AK121" s="199"/>
      <c r="AL121" s="199"/>
      <c r="AM121" s="199"/>
      <c r="AN121" s="199"/>
      <c r="AO121" s="200"/>
      <c r="AP121" s="24"/>
    </row>
    <row r="122" spans="2:42" ht="24" customHeight="1">
      <c r="B122" s="23"/>
      <c r="AA122" s="198"/>
      <c r="AB122" s="199"/>
      <c r="AC122" s="199"/>
      <c r="AD122" s="199"/>
      <c r="AE122" s="199"/>
      <c r="AF122" s="199"/>
      <c r="AG122" s="199"/>
      <c r="AH122" s="199"/>
      <c r="AI122" s="199"/>
      <c r="AJ122" s="199"/>
      <c r="AK122" s="199"/>
      <c r="AL122" s="199"/>
      <c r="AM122" s="199"/>
      <c r="AN122" s="199"/>
      <c r="AO122" s="200"/>
      <c r="AP122" s="24"/>
    </row>
    <row r="123" spans="2:42" ht="24" customHeight="1">
      <c r="B123" s="23"/>
      <c r="AA123" s="198"/>
      <c r="AB123" s="199"/>
      <c r="AC123" s="199"/>
      <c r="AD123" s="199"/>
      <c r="AE123" s="199"/>
      <c r="AF123" s="199"/>
      <c r="AG123" s="199"/>
      <c r="AH123" s="199"/>
      <c r="AI123" s="199"/>
      <c r="AJ123" s="199"/>
      <c r="AK123" s="199"/>
      <c r="AL123" s="199"/>
      <c r="AM123" s="199"/>
      <c r="AN123" s="199"/>
      <c r="AO123" s="200"/>
      <c r="AP123" s="24"/>
    </row>
    <row r="124" spans="2:42" ht="24" customHeight="1">
      <c r="B124" s="23"/>
      <c r="AA124" s="198"/>
      <c r="AB124" s="199"/>
      <c r="AC124" s="199"/>
      <c r="AD124" s="199"/>
      <c r="AE124" s="199"/>
      <c r="AF124" s="199"/>
      <c r="AG124" s="199"/>
      <c r="AH124" s="199"/>
      <c r="AI124" s="199"/>
      <c r="AJ124" s="199"/>
      <c r="AK124" s="199"/>
      <c r="AL124" s="199"/>
      <c r="AM124" s="199"/>
      <c r="AN124" s="199"/>
      <c r="AO124" s="200"/>
      <c r="AP124" s="24"/>
    </row>
    <row r="125" spans="2:42" ht="24" customHeight="1">
      <c r="B125" s="23"/>
      <c r="AA125" s="198"/>
      <c r="AB125" s="199"/>
      <c r="AC125" s="199"/>
      <c r="AD125" s="199"/>
      <c r="AE125" s="199"/>
      <c r="AF125" s="199"/>
      <c r="AG125" s="199"/>
      <c r="AH125" s="199"/>
      <c r="AI125" s="199"/>
      <c r="AJ125" s="199"/>
      <c r="AK125" s="199"/>
      <c r="AL125" s="199"/>
      <c r="AM125" s="199"/>
      <c r="AN125" s="199"/>
      <c r="AO125" s="200"/>
      <c r="AP125" s="24"/>
    </row>
    <row r="126" spans="2:42" ht="24" customHeight="1" thickBot="1">
      <c r="B126" s="23"/>
      <c r="AA126" s="201"/>
      <c r="AB126" s="202"/>
      <c r="AC126" s="202"/>
      <c r="AD126" s="202"/>
      <c r="AE126" s="202"/>
      <c r="AF126" s="202"/>
      <c r="AG126" s="202"/>
      <c r="AH126" s="202"/>
      <c r="AI126" s="202"/>
      <c r="AJ126" s="202"/>
      <c r="AK126" s="202"/>
      <c r="AL126" s="202"/>
      <c r="AM126" s="202"/>
      <c r="AN126" s="202"/>
      <c r="AO126" s="203"/>
      <c r="AP126" s="24"/>
    </row>
    <row r="127" spans="2:42" ht="9.75" customHeight="1">
      <c r="B127" s="23"/>
      <c r="AP127" s="24"/>
    </row>
    <row r="128" spans="2:42" ht="9.7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04" t="s">
        <v>3</v>
      </c>
      <c r="AB129" s="205"/>
      <c r="AC129" s="205"/>
      <c r="AD129" s="205"/>
      <c r="AE129" s="205"/>
      <c r="AF129" s="205"/>
      <c r="AG129" s="205"/>
      <c r="AH129" s="205"/>
      <c r="AI129" s="205"/>
      <c r="AJ129" s="205"/>
      <c r="AK129" s="205"/>
      <c r="AL129" s="205"/>
      <c r="AM129" s="205"/>
      <c r="AN129" s="205"/>
      <c r="AO129" s="206"/>
      <c r="AP129" s="24"/>
    </row>
    <row r="130" spans="2:42" ht="19.899999999999999" customHeight="1">
      <c r="B130" s="23"/>
      <c r="AA130" s="207"/>
      <c r="AB130" s="208"/>
      <c r="AC130" s="208"/>
      <c r="AD130" s="208"/>
      <c r="AE130" s="208"/>
      <c r="AF130" s="208"/>
      <c r="AG130" s="208"/>
      <c r="AH130" s="208"/>
      <c r="AI130" s="208"/>
      <c r="AJ130" s="208"/>
      <c r="AK130" s="208"/>
      <c r="AL130" s="208"/>
      <c r="AM130" s="208"/>
      <c r="AN130" s="208"/>
      <c r="AO130" s="209"/>
      <c r="AP130" s="24"/>
    </row>
    <row r="131" spans="2:42" ht="19.899999999999999" customHeight="1">
      <c r="B131" s="23"/>
      <c r="AA131" s="198" t="str">
        <f>'JUSTIFICATIVA DE USINA'!AX3</f>
        <v xml:space="preserve">-Aderente ao programa:
Impactos:
</v>
      </c>
      <c r="AB131" s="199"/>
      <c r="AC131" s="199"/>
      <c r="AD131" s="199"/>
      <c r="AE131" s="199"/>
      <c r="AF131" s="199"/>
      <c r="AG131" s="199"/>
      <c r="AH131" s="199"/>
      <c r="AI131" s="199"/>
      <c r="AJ131" s="199"/>
      <c r="AK131" s="199"/>
      <c r="AL131" s="199"/>
      <c r="AM131" s="199"/>
      <c r="AN131" s="199"/>
      <c r="AO131" s="200"/>
      <c r="AP131" s="24"/>
    </row>
    <row r="132" spans="2:42" ht="19.899999999999999" customHeight="1">
      <c r="B132" s="23"/>
      <c r="AA132" s="198"/>
      <c r="AB132" s="199"/>
      <c r="AC132" s="199"/>
      <c r="AD132" s="199"/>
      <c r="AE132" s="199"/>
      <c r="AF132" s="199"/>
      <c r="AG132" s="199"/>
      <c r="AH132" s="199"/>
      <c r="AI132" s="199"/>
      <c r="AJ132" s="199"/>
      <c r="AK132" s="199"/>
      <c r="AL132" s="199"/>
      <c r="AM132" s="199"/>
      <c r="AN132" s="199"/>
      <c r="AO132" s="200"/>
      <c r="AP132" s="24"/>
    </row>
    <row r="133" spans="2:42" ht="19.899999999999999" customHeight="1">
      <c r="B133" s="23"/>
      <c r="AA133" s="198"/>
      <c r="AB133" s="199"/>
      <c r="AC133" s="199"/>
      <c r="AD133" s="199"/>
      <c r="AE133" s="199"/>
      <c r="AF133" s="199"/>
      <c r="AG133" s="199"/>
      <c r="AH133" s="199"/>
      <c r="AI133" s="199"/>
      <c r="AJ133" s="199"/>
      <c r="AK133" s="199"/>
      <c r="AL133" s="199"/>
      <c r="AM133" s="199"/>
      <c r="AN133" s="199"/>
      <c r="AO133" s="200"/>
      <c r="AP133" s="24"/>
    </row>
    <row r="134" spans="2:42" ht="19.899999999999999" customHeight="1">
      <c r="B134" s="23"/>
      <c r="AA134" s="198"/>
      <c r="AB134" s="199"/>
      <c r="AC134" s="199"/>
      <c r="AD134" s="199"/>
      <c r="AE134" s="199"/>
      <c r="AF134" s="199"/>
      <c r="AG134" s="199"/>
      <c r="AH134" s="199"/>
      <c r="AI134" s="199"/>
      <c r="AJ134" s="199"/>
      <c r="AK134" s="199"/>
      <c r="AL134" s="199"/>
      <c r="AM134" s="199"/>
      <c r="AN134" s="199"/>
      <c r="AO134" s="200"/>
      <c r="AP134" s="24"/>
    </row>
    <row r="135" spans="2:42" ht="19.899999999999999" customHeight="1">
      <c r="B135" s="23"/>
      <c r="AA135" s="198"/>
      <c r="AB135" s="199"/>
      <c r="AC135" s="199"/>
      <c r="AD135" s="199"/>
      <c r="AE135" s="199"/>
      <c r="AF135" s="199"/>
      <c r="AG135" s="199"/>
      <c r="AH135" s="199"/>
      <c r="AI135" s="199"/>
      <c r="AJ135" s="199"/>
      <c r="AK135" s="199"/>
      <c r="AL135" s="199"/>
      <c r="AM135" s="199"/>
      <c r="AN135" s="199"/>
      <c r="AO135" s="200"/>
      <c r="AP135" s="24"/>
    </row>
    <row r="136" spans="2:42" ht="19.899999999999999" customHeight="1">
      <c r="B136" s="23"/>
      <c r="AA136" s="198"/>
      <c r="AB136" s="199"/>
      <c r="AC136" s="199"/>
      <c r="AD136" s="199"/>
      <c r="AE136" s="199"/>
      <c r="AF136" s="199"/>
      <c r="AG136" s="199"/>
      <c r="AH136" s="199"/>
      <c r="AI136" s="199"/>
      <c r="AJ136" s="199"/>
      <c r="AK136" s="199"/>
      <c r="AL136" s="199"/>
      <c r="AM136" s="199"/>
      <c r="AN136" s="199"/>
      <c r="AO136" s="200"/>
      <c r="AP136" s="24"/>
    </row>
    <row r="137" spans="2:42" ht="19.899999999999999" customHeight="1">
      <c r="B137" s="23"/>
      <c r="AA137" s="198"/>
      <c r="AB137" s="199"/>
      <c r="AC137" s="199"/>
      <c r="AD137" s="199"/>
      <c r="AE137" s="199"/>
      <c r="AF137" s="199"/>
      <c r="AG137" s="199"/>
      <c r="AH137" s="199"/>
      <c r="AI137" s="199"/>
      <c r="AJ137" s="199"/>
      <c r="AK137" s="199"/>
      <c r="AL137" s="199"/>
      <c r="AM137" s="199"/>
      <c r="AN137" s="199"/>
      <c r="AO137" s="200"/>
      <c r="AP137" s="24"/>
    </row>
    <row r="138" spans="2:42" ht="19.899999999999999" customHeight="1">
      <c r="B138" s="23"/>
      <c r="AA138" s="198"/>
      <c r="AB138" s="199"/>
      <c r="AC138" s="199"/>
      <c r="AD138" s="199"/>
      <c r="AE138" s="199"/>
      <c r="AF138" s="199"/>
      <c r="AG138" s="199"/>
      <c r="AH138" s="199"/>
      <c r="AI138" s="199"/>
      <c r="AJ138" s="199"/>
      <c r="AK138" s="199"/>
      <c r="AL138" s="199"/>
      <c r="AM138" s="199"/>
      <c r="AN138" s="199"/>
      <c r="AO138" s="200"/>
      <c r="AP138" s="24"/>
    </row>
    <row r="139" spans="2:42" ht="19.899999999999999" customHeight="1">
      <c r="B139" s="23"/>
      <c r="AA139" s="198"/>
      <c r="AB139" s="199"/>
      <c r="AC139" s="199"/>
      <c r="AD139" s="199"/>
      <c r="AE139" s="199"/>
      <c r="AF139" s="199"/>
      <c r="AG139" s="199"/>
      <c r="AH139" s="199"/>
      <c r="AI139" s="199"/>
      <c r="AJ139" s="199"/>
      <c r="AK139" s="199"/>
      <c r="AL139" s="199"/>
      <c r="AM139" s="199"/>
      <c r="AN139" s="199"/>
      <c r="AO139" s="200"/>
      <c r="AP139" s="24"/>
    </row>
    <row r="140" spans="2:42" ht="19.899999999999999" customHeight="1">
      <c r="B140" s="23"/>
      <c r="AA140" s="198"/>
      <c r="AB140" s="199"/>
      <c r="AC140" s="199"/>
      <c r="AD140" s="199"/>
      <c r="AE140" s="199"/>
      <c r="AF140" s="199"/>
      <c r="AG140" s="199"/>
      <c r="AH140" s="199"/>
      <c r="AI140" s="199"/>
      <c r="AJ140" s="199"/>
      <c r="AK140" s="199"/>
      <c r="AL140" s="199"/>
      <c r="AM140" s="199"/>
      <c r="AN140" s="199"/>
      <c r="AO140" s="200"/>
      <c r="AP140" s="24"/>
    </row>
    <row r="141" spans="2:42" ht="19.899999999999999" customHeight="1">
      <c r="B141" s="23"/>
      <c r="AA141" s="198"/>
      <c r="AB141" s="199"/>
      <c r="AC141" s="199"/>
      <c r="AD141" s="199"/>
      <c r="AE141" s="199"/>
      <c r="AF141" s="199"/>
      <c r="AG141" s="199"/>
      <c r="AH141" s="199"/>
      <c r="AI141" s="199"/>
      <c r="AJ141" s="199"/>
      <c r="AK141" s="199"/>
      <c r="AL141" s="199"/>
      <c r="AM141" s="199"/>
      <c r="AN141" s="199"/>
      <c r="AO141" s="200"/>
      <c r="AP141" s="24"/>
    </row>
    <row r="142" spans="2:42" ht="19.899999999999999" customHeight="1">
      <c r="B142" s="23"/>
      <c r="AA142" s="198"/>
      <c r="AB142" s="199"/>
      <c r="AC142" s="199"/>
      <c r="AD142" s="199"/>
      <c r="AE142" s="199"/>
      <c r="AF142" s="199"/>
      <c r="AG142" s="199"/>
      <c r="AH142" s="199"/>
      <c r="AI142" s="199"/>
      <c r="AJ142" s="199"/>
      <c r="AK142" s="199"/>
      <c r="AL142" s="199"/>
      <c r="AM142" s="199"/>
      <c r="AN142" s="199"/>
      <c r="AO142" s="200"/>
      <c r="AP142" s="24"/>
    </row>
    <row r="143" spans="2:42" ht="19.899999999999999" customHeight="1">
      <c r="B143" s="23"/>
      <c r="AA143" s="198"/>
      <c r="AB143" s="199"/>
      <c r="AC143" s="199"/>
      <c r="AD143" s="199"/>
      <c r="AE143" s="199"/>
      <c r="AF143" s="199"/>
      <c r="AG143" s="199"/>
      <c r="AH143" s="199"/>
      <c r="AI143" s="199"/>
      <c r="AJ143" s="199"/>
      <c r="AK143" s="199"/>
      <c r="AL143" s="199"/>
      <c r="AM143" s="199"/>
      <c r="AN143" s="199"/>
      <c r="AO143" s="200"/>
      <c r="AP143" s="24"/>
    </row>
    <row r="144" spans="2:42" ht="19.899999999999999" customHeight="1" thickBot="1">
      <c r="B144" s="23"/>
      <c r="AA144" s="201"/>
      <c r="AB144" s="202"/>
      <c r="AC144" s="202"/>
      <c r="AD144" s="202"/>
      <c r="AE144" s="202"/>
      <c r="AF144" s="202"/>
      <c r="AG144" s="202"/>
      <c r="AH144" s="202"/>
      <c r="AI144" s="202"/>
      <c r="AJ144" s="202"/>
      <c r="AK144" s="202"/>
      <c r="AL144" s="202"/>
      <c r="AM144" s="202"/>
      <c r="AN144" s="202"/>
      <c r="AO144" s="203"/>
      <c r="AP144" s="24"/>
    </row>
    <row r="145" spans="2:42" ht="8.2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8.25" customHeight="1" thickBot="1">
      <c r="B146" s="23"/>
      <c r="AP146" s="24"/>
    </row>
    <row r="147" spans="2:42" ht="19.899999999999999" customHeight="1">
      <c r="B147" s="23"/>
      <c r="AA147" s="204" t="s">
        <v>4</v>
      </c>
      <c r="AB147" s="205"/>
      <c r="AC147" s="205"/>
      <c r="AD147" s="205"/>
      <c r="AE147" s="205"/>
      <c r="AF147" s="205"/>
      <c r="AG147" s="205"/>
      <c r="AH147" s="205"/>
      <c r="AI147" s="205"/>
      <c r="AJ147" s="205"/>
      <c r="AK147" s="205"/>
      <c r="AL147" s="205"/>
      <c r="AM147" s="205"/>
      <c r="AN147" s="205"/>
      <c r="AO147" s="206"/>
      <c r="AP147" s="24"/>
    </row>
    <row r="148" spans="2:42" ht="19.899999999999999" customHeight="1">
      <c r="B148" s="23"/>
      <c r="AA148" s="207"/>
      <c r="AB148" s="208"/>
      <c r="AC148" s="208"/>
      <c r="AD148" s="208"/>
      <c r="AE148" s="208"/>
      <c r="AF148" s="208"/>
      <c r="AG148" s="208"/>
      <c r="AH148" s="208"/>
      <c r="AI148" s="208"/>
      <c r="AJ148" s="208"/>
      <c r="AK148" s="208"/>
      <c r="AL148" s="208"/>
      <c r="AM148" s="208"/>
      <c r="AN148" s="208"/>
      <c r="AO148" s="209"/>
      <c r="AP148" s="24"/>
    </row>
    <row r="149" spans="2:42" ht="19.899999999999999" customHeight="1">
      <c r="B149" s="23"/>
      <c r="AA149" s="198" t="str">
        <f>'JUSTIFICATIVA DE USINA'!BJ3</f>
        <v>-Abaixo do programa
Impactos:
- REP03/05: parados devido falta de área de estocagem no pátio M;</v>
      </c>
      <c r="AB149" s="199"/>
      <c r="AC149" s="199"/>
      <c r="AD149" s="199"/>
      <c r="AE149" s="199"/>
      <c r="AF149" s="199"/>
      <c r="AG149" s="199"/>
      <c r="AH149" s="199"/>
      <c r="AI149" s="199"/>
      <c r="AJ149" s="199"/>
      <c r="AK149" s="199"/>
      <c r="AL149" s="199"/>
      <c r="AM149" s="199"/>
      <c r="AN149" s="199"/>
      <c r="AO149" s="200"/>
      <c r="AP149" s="24"/>
    </row>
    <row r="150" spans="2:42" ht="19.899999999999999" customHeight="1">
      <c r="B150" s="23"/>
      <c r="AA150" s="198"/>
      <c r="AB150" s="199"/>
      <c r="AC150" s="199"/>
      <c r="AD150" s="199"/>
      <c r="AE150" s="199"/>
      <c r="AF150" s="199"/>
      <c r="AG150" s="199"/>
      <c r="AH150" s="199"/>
      <c r="AI150" s="199"/>
      <c r="AJ150" s="199"/>
      <c r="AK150" s="199"/>
      <c r="AL150" s="199"/>
      <c r="AM150" s="199"/>
      <c r="AN150" s="199"/>
      <c r="AO150" s="200"/>
      <c r="AP150" s="24"/>
    </row>
    <row r="151" spans="2:42" ht="19.899999999999999" customHeight="1">
      <c r="B151" s="23"/>
      <c r="AA151" s="198"/>
      <c r="AB151" s="199"/>
      <c r="AC151" s="199"/>
      <c r="AD151" s="199"/>
      <c r="AE151" s="199"/>
      <c r="AF151" s="199"/>
      <c r="AG151" s="199"/>
      <c r="AH151" s="199"/>
      <c r="AI151" s="199"/>
      <c r="AJ151" s="199"/>
      <c r="AK151" s="199"/>
      <c r="AL151" s="199"/>
      <c r="AM151" s="199"/>
      <c r="AN151" s="199"/>
      <c r="AO151" s="200"/>
      <c r="AP151" s="24"/>
    </row>
    <row r="152" spans="2:42" ht="19.899999999999999" customHeight="1">
      <c r="B152" s="23"/>
      <c r="AA152" s="198"/>
      <c r="AB152" s="199"/>
      <c r="AC152" s="199"/>
      <c r="AD152" s="199"/>
      <c r="AE152" s="199"/>
      <c r="AF152" s="199"/>
      <c r="AG152" s="199"/>
      <c r="AH152" s="199"/>
      <c r="AI152" s="199"/>
      <c r="AJ152" s="199"/>
      <c r="AK152" s="199"/>
      <c r="AL152" s="199"/>
      <c r="AM152" s="199"/>
      <c r="AN152" s="199"/>
      <c r="AO152" s="200"/>
      <c r="AP152" s="24"/>
    </row>
    <row r="153" spans="2:42" ht="19.899999999999999" customHeight="1">
      <c r="B153" s="23"/>
      <c r="AA153" s="198"/>
      <c r="AB153" s="199"/>
      <c r="AC153" s="199"/>
      <c r="AD153" s="199"/>
      <c r="AE153" s="199"/>
      <c r="AF153" s="199"/>
      <c r="AG153" s="199"/>
      <c r="AH153" s="199"/>
      <c r="AI153" s="199"/>
      <c r="AJ153" s="199"/>
      <c r="AK153" s="199"/>
      <c r="AL153" s="199"/>
      <c r="AM153" s="199"/>
      <c r="AN153" s="199"/>
      <c r="AO153" s="200"/>
      <c r="AP153" s="24"/>
    </row>
    <row r="154" spans="2:42" ht="19.899999999999999" customHeight="1">
      <c r="B154" s="23"/>
      <c r="AA154" s="198"/>
      <c r="AB154" s="199"/>
      <c r="AC154" s="199"/>
      <c r="AD154" s="199"/>
      <c r="AE154" s="199"/>
      <c r="AF154" s="199"/>
      <c r="AG154" s="199"/>
      <c r="AH154" s="199"/>
      <c r="AI154" s="199"/>
      <c r="AJ154" s="199"/>
      <c r="AK154" s="199"/>
      <c r="AL154" s="199"/>
      <c r="AM154" s="199"/>
      <c r="AN154" s="199"/>
      <c r="AO154" s="200"/>
      <c r="AP154" s="24"/>
    </row>
    <row r="155" spans="2:42" ht="19.899999999999999" customHeight="1">
      <c r="B155" s="23"/>
      <c r="AA155" s="198"/>
      <c r="AB155" s="199"/>
      <c r="AC155" s="199"/>
      <c r="AD155" s="199"/>
      <c r="AE155" s="199"/>
      <c r="AF155" s="199"/>
      <c r="AG155" s="199"/>
      <c r="AH155" s="199"/>
      <c r="AI155" s="199"/>
      <c r="AJ155" s="199"/>
      <c r="AK155" s="199"/>
      <c r="AL155" s="199"/>
      <c r="AM155" s="199"/>
      <c r="AN155" s="199"/>
      <c r="AO155" s="200"/>
      <c r="AP155" s="24"/>
    </row>
    <row r="156" spans="2:42" ht="19.899999999999999" customHeight="1">
      <c r="B156" s="23"/>
      <c r="AA156" s="198"/>
      <c r="AB156" s="199"/>
      <c r="AC156" s="199"/>
      <c r="AD156" s="199"/>
      <c r="AE156" s="199"/>
      <c r="AF156" s="199"/>
      <c r="AG156" s="199"/>
      <c r="AH156" s="199"/>
      <c r="AI156" s="199"/>
      <c r="AJ156" s="199"/>
      <c r="AK156" s="199"/>
      <c r="AL156" s="199"/>
      <c r="AM156" s="199"/>
      <c r="AN156" s="199"/>
      <c r="AO156" s="200"/>
      <c r="AP156" s="24"/>
    </row>
    <row r="157" spans="2:42" ht="19.899999999999999" customHeight="1">
      <c r="B157" s="23"/>
      <c r="AA157" s="198"/>
      <c r="AB157" s="199"/>
      <c r="AC157" s="199"/>
      <c r="AD157" s="199"/>
      <c r="AE157" s="199"/>
      <c r="AF157" s="199"/>
      <c r="AG157" s="199"/>
      <c r="AH157" s="199"/>
      <c r="AI157" s="199"/>
      <c r="AJ157" s="199"/>
      <c r="AK157" s="199"/>
      <c r="AL157" s="199"/>
      <c r="AM157" s="199"/>
      <c r="AN157" s="199"/>
      <c r="AO157" s="200"/>
      <c r="AP157" s="24"/>
    </row>
    <row r="158" spans="2:42" ht="19.899999999999999" customHeight="1">
      <c r="B158" s="23"/>
      <c r="AA158" s="198"/>
      <c r="AB158" s="199"/>
      <c r="AC158" s="199"/>
      <c r="AD158" s="199"/>
      <c r="AE158" s="199"/>
      <c r="AF158" s="199"/>
      <c r="AG158" s="199"/>
      <c r="AH158" s="199"/>
      <c r="AI158" s="199"/>
      <c r="AJ158" s="199"/>
      <c r="AK158" s="199"/>
      <c r="AL158" s="199"/>
      <c r="AM158" s="199"/>
      <c r="AN158" s="199"/>
      <c r="AO158" s="200"/>
      <c r="AP158" s="24"/>
    </row>
    <row r="159" spans="2:42" ht="19.899999999999999" customHeight="1">
      <c r="B159" s="23"/>
      <c r="AA159" s="198"/>
      <c r="AB159" s="199"/>
      <c r="AC159" s="199"/>
      <c r="AD159" s="199"/>
      <c r="AE159" s="199"/>
      <c r="AF159" s="199"/>
      <c r="AG159" s="199"/>
      <c r="AH159" s="199"/>
      <c r="AI159" s="199"/>
      <c r="AJ159" s="199"/>
      <c r="AK159" s="199"/>
      <c r="AL159" s="199"/>
      <c r="AM159" s="199"/>
      <c r="AN159" s="199"/>
      <c r="AO159" s="200"/>
      <c r="AP159" s="24"/>
    </row>
    <row r="160" spans="2:42" ht="19.899999999999999" customHeight="1">
      <c r="B160" s="23"/>
      <c r="AA160" s="198"/>
      <c r="AB160" s="199"/>
      <c r="AC160" s="199"/>
      <c r="AD160" s="199"/>
      <c r="AE160" s="199"/>
      <c r="AF160" s="199"/>
      <c r="AG160" s="199"/>
      <c r="AH160" s="199"/>
      <c r="AI160" s="199"/>
      <c r="AJ160" s="199"/>
      <c r="AK160" s="199"/>
      <c r="AL160" s="199"/>
      <c r="AM160" s="199"/>
      <c r="AN160" s="199"/>
      <c r="AO160" s="200"/>
      <c r="AP160" s="24"/>
    </row>
    <row r="161" spans="2:42" ht="19.899999999999999" customHeight="1">
      <c r="B161" s="23"/>
      <c r="AA161" s="198"/>
      <c r="AB161" s="199"/>
      <c r="AC161" s="199"/>
      <c r="AD161" s="199"/>
      <c r="AE161" s="199"/>
      <c r="AF161" s="199"/>
      <c r="AG161" s="199"/>
      <c r="AH161" s="199"/>
      <c r="AI161" s="199"/>
      <c r="AJ161" s="199"/>
      <c r="AK161" s="199"/>
      <c r="AL161" s="199"/>
      <c r="AM161" s="199"/>
      <c r="AN161" s="199"/>
      <c r="AO161" s="200"/>
      <c r="AP161" s="24"/>
    </row>
    <row r="162" spans="2:42" ht="19.899999999999999" customHeight="1" thickBot="1">
      <c r="B162" s="23"/>
      <c r="AA162" s="201"/>
      <c r="AB162" s="202"/>
      <c r="AC162" s="202"/>
      <c r="AD162" s="202"/>
      <c r="AE162" s="202"/>
      <c r="AF162" s="202"/>
      <c r="AG162" s="202"/>
      <c r="AH162" s="202"/>
      <c r="AI162" s="202"/>
      <c r="AJ162" s="202"/>
      <c r="AK162" s="202"/>
      <c r="AL162" s="202"/>
      <c r="AM162" s="202"/>
      <c r="AN162" s="202"/>
      <c r="AO162" s="203"/>
      <c r="AP162" s="24"/>
    </row>
    <row r="163" spans="2:42" ht="16.5" customHeight="1">
      <c r="B163" s="23"/>
      <c r="AP163" s="24"/>
    </row>
    <row r="164" spans="2:42" ht="16.5" customHeight="1">
      <c r="B164" s="23"/>
      <c r="AP164" s="24"/>
    </row>
    <row r="165" spans="2:42" ht="16.5" customHeight="1" thickBot="1">
      <c r="B165" s="34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6"/>
    </row>
  </sheetData>
  <mergeCells count="218">
    <mergeCell ref="AL2:AP2"/>
    <mergeCell ref="AH57:AI57"/>
    <mergeCell ref="AH34:AI34"/>
    <mergeCell ref="AH35:AI35"/>
    <mergeCell ref="AH36:AI36"/>
    <mergeCell ref="AH37:AI37"/>
    <mergeCell ref="AH38:AI38"/>
    <mergeCell ref="X53:Y53"/>
    <mergeCell ref="X54:Y54"/>
    <mergeCell ref="X55:Y55"/>
    <mergeCell ref="X56:Y56"/>
    <mergeCell ref="X57:Y57"/>
    <mergeCell ref="X48:Y48"/>
    <mergeCell ref="X49:Y49"/>
    <mergeCell ref="X50:Y50"/>
    <mergeCell ref="AH54:AI54"/>
    <mergeCell ref="AH55:AI55"/>
    <mergeCell ref="AH56:AI56"/>
    <mergeCell ref="AH49:AI49"/>
    <mergeCell ref="X43:Y43"/>
    <mergeCell ref="X44:Y44"/>
    <mergeCell ref="X45:Y45"/>
    <mergeCell ref="X47:Y47"/>
    <mergeCell ref="X42:Y42"/>
    <mergeCell ref="EM3:EO3"/>
    <mergeCell ref="P33:U33"/>
    <mergeCell ref="Z33:AE33"/>
    <mergeCell ref="AJ33:AO33"/>
    <mergeCell ref="AH39:AI39"/>
    <mergeCell ref="AH40:AI40"/>
    <mergeCell ref="AJ34:AO34"/>
    <mergeCell ref="AJ35:AO35"/>
    <mergeCell ref="AJ36:AO36"/>
    <mergeCell ref="AJ37:AO37"/>
    <mergeCell ref="AJ38:AO38"/>
    <mergeCell ref="AJ39:AO39"/>
    <mergeCell ref="AJ40:AO40"/>
    <mergeCell ref="X38:Y38"/>
    <mergeCell ref="X39:Y39"/>
    <mergeCell ref="X40:Y40"/>
    <mergeCell ref="P34:U34"/>
    <mergeCell ref="P35:U35"/>
    <mergeCell ref="P36:U36"/>
    <mergeCell ref="X33:Y33"/>
    <mergeCell ref="AH33:AI33"/>
    <mergeCell ref="EG3:EI3"/>
    <mergeCell ref="EJ3:EL3"/>
    <mergeCell ref="AH3:AJ3"/>
    <mergeCell ref="D53:E53"/>
    <mergeCell ref="D54:E54"/>
    <mergeCell ref="D43:E43"/>
    <mergeCell ref="D44:E44"/>
    <mergeCell ref="D45:E45"/>
    <mergeCell ref="D46:E46"/>
    <mergeCell ref="D47:E47"/>
    <mergeCell ref="N53:O53"/>
    <mergeCell ref="N54:O54"/>
    <mergeCell ref="N46:O46"/>
    <mergeCell ref="N47:O47"/>
    <mergeCell ref="N48:O48"/>
    <mergeCell ref="N49:O49"/>
    <mergeCell ref="N50:O50"/>
    <mergeCell ref="N44:O44"/>
    <mergeCell ref="N45:O45"/>
    <mergeCell ref="F45:K45"/>
    <mergeCell ref="D55:E55"/>
    <mergeCell ref="D56:E56"/>
    <mergeCell ref="D57:E57"/>
    <mergeCell ref="D48:E48"/>
    <mergeCell ref="D49:E49"/>
    <mergeCell ref="D50:E50"/>
    <mergeCell ref="D51:E51"/>
    <mergeCell ref="D52:E52"/>
    <mergeCell ref="AJ56:AO56"/>
    <mergeCell ref="AJ57:AO57"/>
    <mergeCell ref="AJ51:AO51"/>
    <mergeCell ref="AJ52:AO52"/>
    <mergeCell ref="AJ53:AO53"/>
    <mergeCell ref="AJ54:AO54"/>
    <mergeCell ref="AJ55:AO55"/>
    <mergeCell ref="P57:U57"/>
    <mergeCell ref="P48:U48"/>
    <mergeCell ref="P49:U49"/>
    <mergeCell ref="P50:U50"/>
    <mergeCell ref="P51:U51"/>
    <mergeCell ref="P52:U52"/>
    <mergeCell ref="P53:U53"/>
    <mergeCell ref="P54:U54"/>
    <mergeCell ref="P55:U55"/>
    <mergeCell ref="D39:E39"/>
    <mergeCell ref="D40:E40"/>
    <mergeCell ref="D41:E41"/>
    <mergeCell ref="D42:E42"/>
    <mergeCell ref="N39:O39"/>
    <mergeCell ref="N40:O40"/>
    <mergeCell ref="X34:Y34"/>
    <mergeCell ref="AH41:AI41"/>
    <mergeCell ref="AJ41:AO41"/>
    <mergeCell ref="X41:Y41"/>
    <mergeCell ref="X35:Y35"/>
    <mergeCell ref="X36:Y36"/>
    <mergeCell ref="X37:Y37"/>
    <mergeCell ref="AJ42:AO42"/>
    <mergeCell ref="F56:K56"/>
    <mergeCell ref="F57:K57"/>
    <mergeCell ref="P46:U46"/>
    <mergeCell ref="P47:U47"/>
    <mergeCell ref="F51:K51"/>
    <mergeCell ref="F52:K52"/>
    <mergeCell ref="F53:K53"/>
    <mergeCell ref="F54:K54"/>
    <mergeCell ref="F55:K55"/>
    <mergeCell ref="N55:O55"/>
    <mergeCell ref="N56:O56"/>
    <mergeCell ref="N57:O57"/>
    <mergeCell ref="N51:O51"/>
    <mergeCell ref="N52:O52"/>
    <mergeCell ref="F46:K46"/>
    <mergeCell ref="F47:K47"/>
    <mergeCell ref="F48:K48"/>
    <mergeCell ref="F49:K49"/>
    <mergeCell ref="F50:K50"/>
    <mergeCell ref="P56:U56"/>
    <mergeCell ref="Z48:AE48"/>
    <mergeCell ref="Z54:AE54"/>
    <mergeCell ref="Z55:AE55"/>
    <mergeCell ref="Z56:AE56"/>
    <mergeCell ref="X46:Y46"/>
    <mergeCell ref="Z49:AE49"/>
    <mergeCell ref="Z50:AE50"/>
    <mergeCell ref="Z51:AE51"/>
    <mergeCell ref="Z52:AE52"/>
    <mergeCell ref="Z53:AE53"/>
    <mergeCell ref="D33:E33"/>
    <mergeCell ref="N33:O33"/>
    <mergeCell ref="F36:K36"/>
    <mergeCell ref="F37:K37"/>
    <mergeCell ref="F38:K38"/>
    <mergeCell ref="F39:K39"/>
    <mergeCell ref="F40:K40"/>
    <mergeCell ref="P37:U37"/>
    <mergeCell ref="P38:U38"/>
    <mergeCell ref="P39:U39"/>
    <mergeCell ref="P40:U40"/>
    <mergeCell ref="N36:O36"/>
    <mergeCell ref="N37:O37"/>
    <mergeCell ref="N38:O38"/>
    <mergeCell ref="N34:O34"/>
    <mergeCell ref="N35:O35"/>
    <mergeCell ref="F33:K33"/>
    <mergeCell ref="F34:K34"/>
    <mergeCell ref="F35:K35"/>
    <mergeCell ref="D34:E34"/>
    <mergeCell ref="D35:E35"/>
    <mergeCell ref="D36:E36"/>
    <mergeCell ref="D37:E37"/>
    <mergeCell ref="D38:E38"/>
    <mergeCell ref="AK3:AM3"/>
    <mergeCell ref="AN3:AP3"/>
    <mergeCell ref="S4:T4"/>
    <mergeCell ref="P4:R4"/>
    <mergeCell ref="Z34:AE34"/>
    <mergeCell ref="Z35:AE35"/>
    <mergeCell ref="P41:U41"/>
    <mergeCell ref="P42:U42"/>
    <mergeCell ref="AH42:AI42"/>
    <mergeCell ref="Z36:AE36"/>
    <mergeCell ref="Z37:AE37"/>
    <mergeCell ref="Z38:AE38"/>
    <mergeCell ref="Z39:AE39"/>
    <mergeCell ref="AA95:AO108"/>
    <mergeCell ref="AA113:AO126"/>
    <mergeCell ref="AA131:AO144"/>
    <mergeCell ref="AA149:AO162"/>
    <mergeCell ref="AA93:AO94"/>
    <mergeCell ref="AA111:AO112"/>
    <mergeCell ref="AA129:AO130"/>
    <mergeCell ref="AA147:AO148"/>
    <mergeCell ref="Z40:AE40"/>
    <mergeCell ref="Z41:AE41"/>
    <mergeCell ref="Z42:AE42"/>
    <mergeCell ref="Z57:AE57"/>
    <mergeCell ref="AJ46:AO46"/>
    <mergeCell ref="AJ47:AO47"/>
    <mergeCell ref="AJ48:AO48"/>
    <mergeCell ref="AJ49:AO49"/>
    <mergeCell ref="AJ50:AO50"/>
    <mergeCell ref="AH50:AI50"/>
    <mergeCell ref="AH51:AI51"/>
    <mergeCell ref="Z43:AE43"/>
    <mergeCell ref="AJ43:AO43"/>
    <mergeCell ref="AH43:AI43"/>
    <mergeCell ref="Z44:AE44"/>
    <mergeCell ref="AH46:AI46"/>
    <mergeCell ref="AH52:AI52"/>
    <mergeCell ref="AH53:AI53"/>
    <mergeCell ref="AH48:AI48"/>
    <mergeCell ref="AH45:AI45"/>
    <mergeCell ref="F41:K41"/>
    <mergeCell ref="F42:K42"/>
    <mergeCell ref="F43:K43"/>
    <mergeCell ref="F44:K44"/>
    <mergeCell ref="BB17:BL29"/>
    <mergeCell ref="N41:O41"/>
    <mergeCell ref="N42:O42"/>
    <mergeCell ref="N43:O43"/>
    <mergeCell ref="P43:U43"/>
    <mergeCell ref="P44:U44"/>
    <mergeCell ref="P45:U45"/>
    <mergeCell ref="AH47:AI47"/>
    <mergeCell ref="AJ44:AO44"/>
    <mergeCell ref="AJ45:AO45"/>
    <mergeCell ref="AH44:AI44"/>
    <mergeCell ref="X51:Y51"/>
    <mergeCell ref="X52:Y52"/>
    <mergeCell ref="Z45:AE45"/>
    <mergeCell ref="Z46:AE46"/>
    <mergeCell ref="Z47:AE47"/>
  </mergeCells>
  <conditionalFormatting sqref="D34">
    <cfRule type="cellIs" dxfId="213" priority="508" operator="lessThan">
      <formula>0</formula>
    </cfRule>
  </conditionalFormatting>
  <conditionalFormatting sqref="D35">
    <cfRule type="cellIs" dxfId="212" priority="383" operator="lessThan">
      <formula>0</formula>
    </cfRule>
  </conditionalFormatting>
  <conditionalFormatting sqref="D36">
    <cfRule type="cellIs" dxfId="211" priority="382" operator="lessThan">
      <formula>0</formula>
    </cfRule>
  </conditionalFormatting>
  <conditionalFormatting sqref="D37">
    <cfRule type="cellIs" dxfId="210" priority="381" operator="lessThan">
      <formula>0</formula>
    </cfRule>
  </conditionalFormatting>
  <conditionalFormatting sqref="D38">
    <cfRule type="cellIs" dxfId="209" priority="380" operator="lessThan">
      <formula>0</formula>
    </cfRule>
  </conditionalFormatting>
  <conditionalFormatting sqref="D39">
    <cfRule type="cellIs" dxfId="208" priority="379" operator="lessThan">
      <formula>0</formula>
    </cfRule>
  </conditionalFormatting>
  <conditionalFormatting sqref="D40">
    <cfRule type="cellIs" dxfId="207" priority="378" operator="lessThan">
      <formula>0</formula>
    </cfRule>
  </conditionalFormatting>
  <conditionalFormatting sqref="D41">
    <cfRule type="cellIs" dxfId="206" priority="377" operator="lessThan">
      <formula>0</formula>
    </cfRule>
  </conditionalFormatting>
  <conditionalFormatting sqref="D42">
    <cfRule type="cellIs" dxfId="205" priority="376" operator="lessThan">
      <formula>0</formula>
    </cfRule>
  </conditionalFormatting>
  <conditionalFormatting sqref="D43">
    <cfRule type="cellIs" dxfId="204" priority="375" operator="lessThan">
      <formula>0</formula>
    </cfRule>
  </conditionalFormatting>
  <conditionalFormatting sqref="D44">
    <cfRule type="cellIs" dxfId="203" priority="374" operator="lessThan">
      <formula>0</formula>
    </cfRule>
  </conditionalFormatting>
  <conditionalFormatting sqref="D45">
    <cfRule type="cellIs" dxfId="202" priority="373" operator="lessThan">
      <formula>0</formula>
    </cfRule>
  </conditionalFormatting>
  <conditionalFormatting sqref="D46">
    <cfRule type="cellIs" dxfId="201" priority="372" operator="lessThan">
      <formula>0</formula>
    </cfRule>
  </conditionalFormatting>
  <conditionalFormatting sqref="D47">
    <cfRule type="cellIs" dxfId="200" priority="371" operator="lessThan">
      <formula>0</formula>
    </cfRule>
  </conditionalFormatting>
  <conditionalFormatting sqref="D48">
    <cfRule type="cellIs" dxfId="199" priority="370" operator="lessThan">
      <formula>0</formula>
    </cfRule>
  </conditionalFormatting>
  <conditionalFormatting sqref="D49">
    <cfRule type="cellIs" dxfId="198" priority="369" operator="lessThan">
      <formula>0</formula>
    </cfRule>
  </conditionalFormatting>
  <conditionalFormatting sqref="D50">
    <cfRule type="cellIs" dxfId="197" priority="368" operator="lessThan">
      <formula>0</formula>
    </cfRule>
  </conditionalFormatting>
  <conditionalFormatting sqref="D51">
    <cfRule type="cellIs" dxfId="196" priority="367" operator="lessThan">
      <formula>0</formula>
    </cfRule>
  </conditionalFormatting>
  <conditionalFormatting sqref="D52">
    <cfRule type="cellIs" dxfId="195" priority="366" operator="lessThan">
      <formula>0</formula>
    </cfRule>
  </conditionalFormatting>
  <conditionalFormatting sqref="D53">
    <cfRule type="cellIs" dxfId="194" priority="365" operator="lessThan">
      <formula>0</formula>
    </cfRule>
  </conditionalFormatting>
  <conditionalFormatting sqref="D54">
    <cfRule type="cellIs" dxfId="193" priority="364" operator="lessThan">
      <formula>0</formula>
    </cfRule>
  </conditionalFormatting>
  <conditionalFormatting sqref="D55">
    <cfRule type="cellIs" dxfId="192" priority="363" operator="lessThan">
      <formula>0</formula>
    </cfRule>
  </conditionalFormatting>
  <conditionalFormatting sqref="D56">
    <cfRule type="cellIs" dxfId="191" priority="362" operator="lessThan">
      <formula>0</formula>
    </cfRule>
  </conditionalFormatting>
  <conditionalFormatting sqref="D57">
    <cfRule type="cellIs" dxfId="190" priority="361" operator="lessThan">
      <formula>0</formula>
    </cfRule>
  </conditionalFormatting>
  <conditionalFormatting sqref="N34">
    <cfRule type="cellIs" dxfId="189" priority="72" operator="lessThan">
      <formula>0</formula>
    </cfRule>
  </conditionalFormatting>
  <conditionalFormatting sqref="N35">
    <cfRule type="cellIs" dxfId="188" priority="71" operator="lessThan">
      <formula>0</formula>
    </cfRule>
  </conditionalFormatting>
  <conditionalFormatting sqref="N36">
    <cfRule type="cellIs" dxfId="187" priority="70" operator="lessThan">
      <formula>0</formula>
    </cfRule>
  </conditionalFormatting>
  <conditionalFormatting sqref="N37">
    <cfRule type="cellIs" dxfId="186" priority="69" operator="lessThan">
      <formula>0</formula>
    </cfRule>
  </conditionalFormatting>
  <conditionalFormatting sqref="N38">
    <cfRule type="cellIs" dxfId="185" priority="68" operator="lessThan">
      <formula>0</formula>
    </cfRule>
  </conditionalFormatting>
  <conditionalFormatting sqref="N39">
    <cfRule type="cellIs" dxfId="184" priority="67" operator="lessThan">
      <formula>0</formula>
    </cfRule>
  </conditionalFormatting>
  <conditionalFormatting sqref="N40">
    <cfRule type="cellIs" dxfId="183" priority="66" operator="lessThan">
      <formula>0</formula>
    </cfRule>
  </conditionalFormatting>
  <conditionalFormatting sqref="N41">
    <cfRule type="cellIs" dxfId="182" priority="65" operator="lessThan">
      <formula>0</formula>
    </cfRule>
  </conditionalFormatting>
  <conditionalFormatting sqref="N42">
    <cfRule type="cellIs" dxfId="181" priority="64" operator="lessThan">
      <formula>0</formula>
    </cfRule>
  </conditionalFormatting>
  <conditionalFormatting sqref="N43">
    <cfRule type="cellIs" dxfId="180" priority="63" operator="lessThan">
      <formula>0</formula>
    </cfRule>
  </conditionalFormatting>
  <conditionalFormatting sqref="N44">
    <cfRule type="cellIs" dxfId="179" priority="62" operator="lessThan">
      <formula>0</formula>
    </cfRule>
  </conditionalFormatting>
  <conditionalFormatting sqref="N45">
    <cfRule type="cellIs" dxfId="178" priority="61" operator="lessThan">
      <formula>0</formula>
    </cfRule>
  </conditionalFormatting>
  <conditionalFormatting sqref="N46">
    <cfRule type="cellIs" dxfId="177" priority="60" operator="lessThan">
      <formula>0</formula>
    </cfRule>
  </conditionalFormatting>
  <conditionalFormatting sqref="N47">
    <cfRule type="cellIs" dxfId="176" priority="59" operator="lessThan">
      <formula>0</formula>
    </cfRule>
  </conditionalFormatting>
  <conditionalFormatting sqref="N48">
    <cfRule type="cellIs" dxfId="175" priority="58" operator="lessThan">
      <formula>0</formula>
    </cfRule>
  </conditionalFormatting>
  <conditionalFormatting sqref="N49">
    <cfRule type="cellIs" dxfId="174" priority="57" operator="lessThan">
      <formula>0</formula>
    </cfRule>
  </conditionalFormatting>
  <conditionalFormatting sqref="N50">
    <cfRule type="cellIs" dxfId="173" priority="56" operator="lessThan">
      <formula>0</formula>
    </cfRule>
  </conditionalFormatting>
  <conditionalFormatting sqref="N51">
    <cfRule type="cellIs" dxfId="172" priority="55" operator="lessThan">
      <formula>0</formula>
    </cfRule>
  </conditionalFormatting>
  <conditionalFormatting sqref="N52">
    <cfRule type="cellIs" dxfId="171" priority="54" operator="lessThan">
      <formula>0</formula>
    </cfRule>
  </conditionalFormatting>
  <conditionalFormatting sqref="N53">
    <cfRule type="cellIs" dxfId="170" priority="53" operator="lessThan">
      <formula>0</formula>
    </cfRule>
  </conditionalFormatting>
  <conditionalFormatting sqref="N54">
    <cfRule type="cellIs" dxfId="169" priority="52" operator="lessThan">
      <formula>0</formula>
    </cfRule>
  </conditionalFormatting>
  <conditionalFormatting sqref="N55">
    <cfRule type="cellIs" dxfId="168" priority="51" operator="lessThan">
      <formula>0</formula>
    </cfRule>
  </conditionalFormatting>
  <conditionalFormatting sqref="N56">
    <cfRule type="cellIs" dxfId="167" priority="50" operator="lessThan">
      <formula>0</formula>
    </cfRule>
  </conditionalFormatting>
  <conditionalFormatting sqref="N57">
    <cfRule type="cellIs" dxfId="166" priority="49" operator="lessThan">
      <formula>0</formula>
    </cfRule>
  </conditionalFormatting>
  <conditionalFormatting sqref="X34">
    <cfRule type="cellIs" dxfId="165" priority="48" operator="lessThan">
      <formula>0</formula>
    </cfRule>
  </conditionalFormatting>
  <conditionalFormatting sqref="X35">
    <cfRule type="cellIs" dxfId="164" priority="47" operator="lessThan">
      <formula>0</formula>
    </cfRule>
  </conditionalFormatting>
  <conditionalFormatting sqref="X36">
    <cfRule type="cellIs" dxfId="163" priority="46" operator="lessThan">
      <formula>0</formula>
    </cfRule>
  </conditionalFormatting>
  <conditionalFormatting sqref="X37">
    <cfRule type="cellIs" dxfId="162" priority="45" operator="lessThan">
      <formula>0</formula>
    </cfRule>
  </conditionalFormatting>
  <conditionalFormatting sqref="X38">
    <cfRule type="cellIs" dxfId="161" priority="44" operator="lessThan">
      <formula>0</formula>
    </cfRule>
  </conditionalFormatting>
  <conditionalFormatting sqref="X39">
    <cfRule type="cellIs" dxfId="160" priority="43" operator="lessThan">
      <formula>0</formula>
    </cfRule>
  </conditionalFormatting>
  <conditionalFormatting sqref="X40">
    <cfRule type="cellIs" dxfId="159" priority="42" operator="lessThan">
      <formula>0</formula>
    </cfRule>
  </conditionalFormatting>
  <conditionalFormatting sqref="X41">
    <cfRule type="cellIs" dxfId="158" priority="41" operator="lessThan">
      <formula>0</formula>
    </cfRule>
  </conditionalFormatting>
  <conditionalFormatting sqref="X42">
    <cfRule type="cellIs" dxfId="157" priority="40" operator="lessThan">
      <formula>0</formula>
    </cfRule>
  </conditionalFormatting>
  <conditionalFormatting sqref="X43">
    <cfRule type="cellIs" dxfId="156" priority="39" operator="lessThan">
      <formula>0</formula>
    </cfRule>
  </conditionalFormatting>
  <conditionalFormatting sqref="X44">
    <cfRule type="cellIs" dxfId="155" priority="38" operator="lessThan">
      <formula>0</formula>
    </cfRule>
  </conditionalFormatting>
  <conditionalFormatting sqref="X45">
    <cfRule type="cellIs" dxfId="154" priority="37" operator="lessThan">
      <formula>0</formula>
    </cfRule>
  </conditionalFormatting>
  <conditionalFormatting sqref="X46">
    <cfRule type="cellIs" dxfId="153" priority="36" operator="lessThan">
      <formula>0</formula>
    </cfRule>
  </conditionalFormatting>
  <conditionalFormatting sqref="X47">
    <cfRule type="cellIs" dxfId="152" priority="35" operator="lessThan">
      <formula>0</formula>
    </cfRule>
  </conditionalFormatting>
  <conditionalFormatting sqref="X48">
    <cfRule type="cellIs" dxfId="151" priority="34" operator="lessThan">
      <formula>0</formula>
    </cfRule>
  </conditionalFormatting>
  <conditionalFormatting sqref="X49">
    <cfRule type="cellIs" dxfId="150" priority="33" operator="lessThan">
      <formula>0</formula>
    </cfRule>
  </conditionalFormatting>
  <conditionalFormatting sqref="X50">
    <cfRule type="cellIs" dxfId="149" priority="32" operator="lessThan">
      <formula>0</formula>
    </cfRule>
  </conditionalFormatting>
  <conditionalFormatting sqref="X51">
    <cfRule type="cellIs" dxfId="148" priority="31" operator="lessThan">
      <formula>0</formula>
    </cfRule>
  </conditionalFormatting>
  <conditionalFormatting sqref="X52">
    <cfRule type="cellIs" dxfId="147" priority="30" operator="lessThan">
      <formula>0</formula>
    </cfRule>
  </conditionalFormatting>
  <conditionalFormatting sqref="X53">
    <cfRule type="cellIs" dxfId="146" priority="29" operator="lessThan">
      <formula>0</formula>
    </cfRule>
  </conditionalFormatting>
  <conditionalFormatting sqref="X54">
    <cfRule type="cellIs" dxfId="145" priority="28" operator="lessThan">
      <formula>0</formula>
    </cfRule>
  </conditionalFormatting>
  <conditionalFormatting sqref="X55">
    <cfRule type="cellIs" dxfId="144" priority="27" operator="lessThan">
      <formula>0</formula>
    </cfRule>
  </conditionalFormatting>
  <conditionalFormatting sqref="X56">
    <cfRule type="cellIs" dxfId="143" priority="26" operator="lessThan">
      <formula>0</formula>
    </cfRule>
  </conditionalFormatting>
  <conditionalFormatting sqref="X57">
    <cfRule type="cellIs" dxfId="142" priority="25" operator="lessThan">
      <formula>0</formula>
    </cfRule>
  </conditionalFormatting>
  <conditionalFormatting sqref="AH34">
    <cfRule type="cellIs" dxfId="141" priority="24" operator="lessThan">
      <formula>0</formula>
    </cfRule>
  </conditionalFormatting>
  <conditionalFormatting sqref="AH35">
    <cfRule type="cellIs" dxfId="140" priority="23" operator="lessThan">
      <formula>0</formula>
    </cfRule>
  </conditionalFormatting>
  <conditionalFormatting sqref="AH36">
    <cfRule type="cellIs" dxfId="139" priority="22" operator="lessThan">
      <formula>0</formula>
    </cfRule>
  </conditionalFormatting>
  <conditionalFormatting sqref="AH37">
    <cfRule type="cellIs" dxfId="138" priority="21" operator="lessThan">
      <formula>0</formula>
    </cfRule>
  </conditionalFormatting>
  <conditionalFormatting sqref="AH38">
    <cfRule type="cellIs" dxfId="137" priority="20" operator="lessThan">
      <formula>0</formula>
    </cfRule>
  </conditionalFormatting>
  <conditionalFormatting sqref="AH39">
    <cfRule type="cellIs" dxfId="136" priority="19" operator="lessThan">
      <formula>0</formula>
    </cfRule>
  </conditionalFormatting>
  <conditionalFormatting sqref="AH40">
    <cfRule type="cellIs" dxfId="135" priority="18" operator="lessThan">
      <formula>0</formula>
    </cfRule>
  </conditionalFormatting>
  <conditionalFormatting sqref="AH41">
    <cfRule type="cellIs" dxfId="134" priority="17" operator="lessThan">
      <formula>0</formula>
    </cfRule>
  </conditionalFormatting>
  <conditionalFormatting sqref="AH42">
    <cfRule type="cellIs" dxfId="133" priority="16" operator="lessThan">
      <formula>0</formula>
    </cfRule>
  </conditionalFormatting>
  <conditionalFormatting sqref="AH43">
    <cfRule type="cellIs" dxfId="132" priority="15" operator="lessThan">
      <formula>0</formula>
    </cfRule>
  </conditionalFormatting>
  <conditionalFormatting sqref="AH44">
    <cfRule type="cellIs" dxfId="131" priority="14" operator="lessThan">
      <formula>0</formula>
    </cfRule>
  </conditionalFormatting>
  <conditionalFormatting sqref="AH45">
    <cfRule type="cellIs" dxfId="130" priority="13" operator="lessThan">
      <formula>0</formula>
    </cfRule>
  </conditionalFormatting>
  <conditionalFormatting sqref="AH46">
    <cfRule type="cellIs" dxfId="129" priority="12" operator="lessThan">
      <formula>0</formula>
    </cfRule>
  </conditionalFormatting>
  <conditionalFormatting sqref="AH47">
    <cfRule type="cellIs" dxfId="128" priority="11" operator="lessThan">
      <formula>0</formula>
    </cfRule>
  </conditionalFormatting>
  <conditionalFormatting sqref="AH48">
    <cfRule type="cellIs" dxfId="127" priority="10" operator="lessThan">
      <formula>0</formula>
    </cfRule>
  </conditionalFormatting>
  <conditionalFormatting sqref="AH49">
    <cfRule type="cellIs" dxfId="126" priority="9" operator="lessThan">
      <formula>0</formula>
    </cfRule>
  </conditionalFormatting>
  <conditionalFormatting sqref="AH50">
    <cfRule type="cellIs" dxfId="125" priority="8" operator="lessThan">
      <formula>0</formula>
    </cfRule>
  </conditionalFormatting>
  <conditionalFormatting sqref="AH51">
    <cfRule type="cellIs" dxfId="124" priority="7" operator="lessThan">
      <formula>0</formula>
    </cfRule>
  </conditionalFormatting>
  <conditionalFormatting sqref="AH52">
    <cfRule type="cellIs" dxfId="123" priority="6" operator="lessThan">
      <formula>0</formula>
    </cfRule>
  </conditionalFormatting>
  <conditionalFormatting sqref="AH53">
    <cfRule type="cellIs" dxfId="122" priority="5" operator="lessThan">
      <formula>0</formula>
    </cfRule>
  </conditionalFormatting>
  <conditionalFormatting sqref="AH54">
    <cfRule type="cellIs" dxfId="121" priority="4" operator="lessThan">
      <formula>0</formula>
    </cfRule>
  </conditionalFormatting>
  <conditionalFormatting sqref="AH55">
    <cfRule type="cellIs" dxfId="120" priority="3" operator="lessThan">
      <formula>0</formula>
    </cfRule>
  </conditionalFormatting>
  <conditionalFormatting sqref="AH56">
    <cfRule type="cellIs" dxfId="119" priority="2" operator="lessThan">
      <formula>0</formula>
    </cfRule>
  </conditionalFormatting>
  <conditionalFormatting sqref="AH57">
    <cfRule type="cellIs" dxfId="118" priority="1" operator="lessThan">
      <formula>0</formula>
    </cfRule>
  </conditionalFormatting>
  <pageMargins left="0.92181102399999992" right="0.33" top="0.52" bottom="0.34" header="0.31496062000000002" footer="0.18"/>
  <pageSetup scale="25" fitToHeight="2" orientation="portrait" horizontalDpi="360" verticalDpi="360" r:id="rId1"/>
  <rowBreaks count="1" manualBreakCount="1">
    <brk id="72" max="41" man="1"/>
  </rowBreaks>
  <drawing r:id="rId2"/>
  <legacyDrawing r:id="rId3"/>
  <webPublishItems count="5">
    <webPublishItem id="31095" divId="Atualizando Informações COI - USINA_31095" sourceType="range" sourceRef="A1:U89" destinationFile="C:\Users\01516483\Desktop\Informações COI - USINA.html"/>
    <webPublishItem id="9731" divId="InformacoesCOI MINA" sourceType="range" sourceRef="A1:AQ73" destinationFile="M:\turno\InformacoesCOI_MINAs.htm"/>
    <webPublishItem id="13468" divId="InformacoesCOI" sourceType="range" sourceRef="A1:AQ165" destinationFile="M:\turno\InformacoesCOI_USINAs.html"/>
    <webPublishItem id="28299" divId="InformacoesCOIs" sourceType="range" sourceRef="A1:AQ165" destinationFile="\\172.19.44.204\cco\turno\InformacoesCOI_USINAs.html"/>
    <webPublishItem id="4904" divId="ACOMPANHAMENTO USINA" sourceType="range" sourceRef="A1:AQ165" destinationFile="\\10.46.67.9\Publicar\Usina\InformCOIDia\Dia5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pageSetUpPr fitToPage="1"/>
  </sheetPr>
  <dimension ref="B2:EO111"/>
  <sheetViews>
    <sheetView showGridLines="0" topLeftCell="A54" zoomScale="60" zoomScaleNormal="60" workbookViewId="0">
      <selection activeCell="AA25" sqref="AA25:AO38"/>
    </sheetView>
  </sheetViews>
  <sheetFormatPr defaultColWidth="8.85546875" defaultRowHeight="15"/>
  <cols>
    <col min="1" max="1" width="3.7109375" style="55" customWidth="1"/>
    <col min="2" max="41" width="9.42578125" style="55" customWidth="1"/>
    <col min="42" max="42" width="3.7109375" style="55" customWidth="1"/>
    <col min="43" max="16384" width="8.85546875" style="55"/>
  </cols>
  <sheetData>
    <row r="2" spans="2:145" ht="15.75" thickBot="1"/>
    <row r="3" spans="2:145" s="59" customFormat="1" ht="79.900000000000006" customHeight="1" thickBot="1">
      <c r="B3" s="40"/>
      <c r="C3" s="41"/>
      <c r="D3" s="41"/>
      <c r="E3" s="41"/>
      <c r="F3" s="41"/>
      <c r="G3" s="42" t="s">
        <v>21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0" t="s">
        <v>22</v>
      </c>
      <c r="AI3" s="220"/>
      <c r="AJ3" s="220"/>
      <c r="AK3" s="210">
        <f>'ACOMPANHAMENTO USINA'!$AK$3</f>
        <v>0</v>
      </c>
      <c r="AL3" s="210"/>
      <c r="AM3" s="210"/>
      <c r="AN3" s="218" t="str">
        <f ca="1">'ACOMPANHAMENTO USINA'!$AN$3</f>
        <v>23:59:59</v>
      </c>
      <c r="AO3" s="218"/>
      <c r="AP3" s="219"/>
      <c r="DA3" s="56"/>
      <c r="DB3" s="57"/>
      <c r="DC3" s="57"/>
      <c r="DD3" s="57"/>
      <c r="DE3" s="57"/>
      <c r="DF3" s="58" t="s">
        <v>23</v>
      </c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226" t="s">
        <v>22</v>
      </c>
      <c r="EH3" s="226"/>
      <c r="EI3" s="226"/>
      <c r="EJ3" s="223">
        <f ca="1">NOW()</f>
        <v>45836.484720949076</v>
      </c>
      <c r="EK3" s="223"/>
      <c r="EL3" s="223"/>
      <c r="EM3" s="224">
        <f ca="1">NOW()</f>
        <v>45836.484720949076</v>
      </c>
      <c r="EN3" s="224"/>
      <c r="EO3" s="225"/>
    </row>
    <row r="4" spans="2:145" s="59" customFormat="1" ht="19.899999999999999" customHeight="1">
      <c r="B4" s="18"/>
      <c r="C4" s="19"/>
      <c r="D4" s="19"/>
      <c r="E4" s="19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/>
      <c r="AN4" s="21"/>
      <c r="AO4" s="21"/>
      <c r="AP4" s="22"/>
    </row>
    <row r="5" spans="2:145" s="59" customFormat="1" ht="28.15" customHeight="1">
      <c r="B5" s="23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24"/>
    </row>
    <row r="6" spans="2:145" s="59" customFormat="1" ht="28.15" customHeight="1">
      <c r="B6" s="23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24"/>
    </row>
    <row r="7" spans="2:145" s="59" customFormat="1" ht="28.15" customHeight="1">
      <c r="B7" s="2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24"/>
    </row>
    <row r="8" spans="2:145" s="59" customFormat="1" ht="28.15" customHeight="1">
      <c r="B8" s="23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24"/>
    </row>
    <row r="9" spans="2:145" s="59" customFormat="1" ht="28.15" customHeight="1">
      <c r="B9" s="23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24"/>
    </row>
    <row r="10" spans="2:145" s="59" customFormat="1" ht="28.15" customHeight="1">
      <c r="B10" s="23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24"/>
    </row>
    <row r="11" spans="2:145" s="59" customFormat="1" ht="28.15" customHeight="1">
      <c r="B11" s="23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24"/>
    </row>
    <row r="12" spans="2:145" s="59" customFormat="1" ht="28.15" customHeight="1">
      <c r="B12" s="23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24"/>
    </row>
    <row r="13" spans="2:145" s="59" customFormat="1" ht="28.15" customHeight="1">
      <c r="B13" s="23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24"/>
    </row>
    <row r="14" spans="2:145" s="59" customFormat="1" ht="28.15" customHeight="1">
      <c r="B14" s="23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24"/>
    </row>
    <row r="15" spans="2:145" s="59" customFormat="1" ht="28.15" customHeight="1">
      <c r="B15" s="23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24"/>
    </row>
    <row r="16" spans="2:145" s="59" customFormat="1" ht="28.15" customHeight="1">
      <c r="B16" s="23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24"/>
    </row>
    <row r="17" spans="2:42" s="59" customFormat="1" ht="28.15" customHeight="1">
      <c r="B17" s="23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24"/>
    </row>
    <row r="18" spans="2:42" s="59" customFormat="1" ht="28.15" customHeight="1">
      <c r="B18" s="23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24"/>
    </row>
    <row r="19" spans="2:42" s="59" customFormat="1" ht="28.15" customHeight="1">
      <c r="B19" s="23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24"/>
    </row>
    <row r="20" spans="2:42" s="59" customFormat="1" ht="28.15" customHeight="1">
      <c r="B20" s="23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24"/>
    </row>
    <row r="21" spans="2:42" s="59" customFormat="1" ht="28.15" customHeight="1">
      <c r="B21" s="23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24"/>
    </row>
    <row r="22" spans="2:42" s="59" customFormat="1" ht="28.15" customHeight="1" thickBot="1">
      <c r="B22" s="23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24"/>
    </row>
    <row r="23" spans="2:42" s="59" customFormat="1" ht="36" customHeight="1">
      <c r="B23" s="23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204" t="s">
        <v>1</v>
      </c>
      <c r="AB23" s="205"/>
      <c r="AC23" s="205"/>
      <c r="AD23" s="205"/>
      <c r="AE23" s="205"/>
      <c r="AF23" s="205"/>
      <c r="AG23" s="205"/>
      <c r="AH23" s="205"/>
      <c r="AI23" s="205"/>
      <c r="AJ23" s="205"/>
      <c r="AK23" s="205"/>
      <c r="AL23" s="205"/>
      <c r="AM23" s="205"/>
      <c r="AN23" s="205"/>
      <c r="AO23" s="206"/>
      <c r="AP23" s="24"/>
    </row>
    <row r="24" spans="2:42" s="59" customFormat="1" ht="36" customHeight="1">
      <c r="B24" s="23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207"/>
      <c r="AB24" s="208"/>
      <c r="AC24" s="208"/>
      <c r="AD24" s="208"/>
      <c r="AE24" s="208"/>
      <c r="AF24" s="208"/>
      <c r="AG24" s="208"/>
      <c r="AH24" s="208"/>
      <c r="AI24" s="208"/>
      <c r="AJ24" s="208"/>
      <c r="AK24" s="208"/>
      <c r="AL24" s="208"/>
      <c r="AM24" s="208"/>
      <c r="AN24" s="208"/>
      <c r="AO24" s="209"/>
      <c r="AP24" s="24"/>
    </row>
    <row r="25" spans="2:42" s="59" customFormat="1" ht="36" customHeight="1">
      <c r="B25" s="23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227" t="s">
        <v>139</v>
      </c>
      <c r="AB25" s="228"/>
      <c r="AC25" s="228"/>
      <c r="AD25" s="228"/>
      <c r="AE25" s="228"/>
      <c r="AF25" s="228"/>
      <c r="AG25" s="228"/>
      <c r="AH25" s="228"/>
      <c r="AI25" s="228"/>
      <c r="AJ25" s="228"/>
      <c r="AK25" s="228"/>
      <c r="AL25" s="228"/>
      <c r="AM25" s="228"/>
      <c r="AN25" s="228"/>
      <c r="AO25" s="229"/>
      <c r="AP25" s="24"/>
    </row>
    <row r="26" spans="2:42" s="59" customFormat="1" ht="36" customHeight="1">
      <c r="B26" s="23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230"/>
      <c r="AB26" s="228"/>
      <c r="AC26" s="228"/>
      <c r="AD26" s="228"/>
      <c r="AE26" s="228"/>
      <c r="AF26" s="228"/>
      <c r="AG26" s="228"/>
      <c r="AH26" s="228"/>
      <c r="AI26" s="228"/>
      <c r="AJ26" s="228"/>
      <c r="AK26" s="228"/>
      <c r="AL26" s="228"/>
      <c r="AM26" s="228"/>
      <c r="AN26" s="228"/>
      <c r="AO26" s="229"/>
      <c r="AP26" s="24"/>
    </row>
    <row r="27" spans="2:42" s="59" customFormat="1" ht="36" customHeight="1">
      <c r="B27" s="23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230"/>
      <c r="AB27" s="228"/>
      <c r="AC27" s="228"/>
      <c r="AD27" s="228"/>
      <c r="AE27" s="228"/>
      <c r="AF27" s="228"/>
      <c r="AG27" s="228"/>
      <c r="AH27" s="228"/>
      <c r="AI27" s="228"/>
      <c r="AJ27" s="228"/>
      <c r="AK27" s="228"/>
      <c r="AL27" s="228"/>
      <c r="AM27" s="228"/>
      <c r="AN27" s="228"/>
      <c r="AO27" s="229"/>
      <c r="AP27" s="24"/>
    </row>
    <row r="28" spans="2:42" s="59" customFormat="1" ht="36" customHeight="1">
      <c r="B28" s="23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230"/>
      <c r="AB28" s="228"/>
      <c r="AC28" s="228"/>
      <c r="AD28" s="228"/>
      <c r="AE28" s="228"/>
      <c r="AF28" s="228"/>
      <c r="AG28" s="228"/>
      <c r="AH28" s="228"/>
      <c r="AI28" s="228"/>
      <c r="AJ28" s="228"/>
      <c r="AK28" s="228"/>
      <c r="AL28" s="228"/>
      <c r="AM28" s="228"/>
      <c r="AN28" s="228"/>
      <c r="AO28" s="229"/>
      <c r="AP28" s="24"/>
    </row>
    <row r="29" spans="2:42" s="59" customFormat="1" ht="36" customHeight="1">
      <c r="B29" s="23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230"/>
      <c r="AB29" s="228"/>
      <c r="AC29" s="228"/>
      <c r="AD29" s="228"/>
      <c r="AE29" s="228"/>
      <c r="AF29" s="228"/>
      <c r="AG29" s="228"/>
      <c r="AH29" s="228"/>
      <c r="AI29" s="228"/>
      <c r="AJ29" s="228"/>
      <c r="AK29" s="228"/>
      <c r="AL29" s="228"/>
      <c r="AM29" s="228"/>
      <c r="AN29" s="228"/>
      <c r="AO29" s="229"/>
      <c r="AP29" s="24"/>
    </row>
    <row r="30" spans="2:42" s="59" customFormat="1" ht="36" customHeight="1">
      <c r="B30" s="23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230"/>
      <c r="AB30" s="228"/>
      <c r="AC30" s="228"/>
      <c r="AD30" s="228"/>
      <c r="AE30" s="228"/>
      <c r="AF30" s="228"/>
      <c r="AG30" s="228"/>
      <c r="AH30" s="228"/>
      <c r="AI30" s="228"/>
      <c r="AJ30" s="228"/>
      <c r="AK30" s="228"/>
      <c r="AL30" s="228"/>
      <c r="AM30" s="228"/>
      <c r="AN30" s="228"/>
      <c r="AO30" s="229"/>
      <c r="AP30" s="24"/>
    </row>
    <row r="31" spans="2:42" s="59" customFormat="1" ht="36" customHeight="1">
      <c r="B31" s="23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230"/>
      <c r="AB31" s="228"/>
      <c r="AC31" s="228"/>
      <c r="AD31" s="228"/>
      <c r="AE31" s="228"/>
      <c r="AF31" s="228"/>
      <c r="AG31" s="228"/>
      <c r="AH31" s="228"/>
      <c r="AI31" s="228"/>
      <c r="AJ31" s="228"/>
      <c r="AK31" s="228"/>
      <c r="AL31" s="228"/>
      <c r="AM31" s="228"/>
      <c r="AN31" s="228"/>
      <c r="AO31" s="229"/>
      <c r="AP31" s="24"/>
    </row>
    <row r="32" spans="2:42" s="59" customFormat="1" ht="36" customHeight="1">
      <c r="B32" s="23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230"/>
      <c r="AB32" s="228"/>
      <c r="AC32" s="228"/>
      <c r="AD32" s="228"/>
      <c r="AE32" s="228"/>
      <c r="AF32" s="228"/>
      <c r="AG32" s="228"/>
      <c r="AH32" s="228"/>
      <c r="AI32" s="228"/>
      <c r="AJ32" s="228"/>
      <c r="AK32" s="228"/>
      <c r="AL32" s="228"/>
      <c r="AM32" s="228"/>
      <c r="AN32" s="228"/>
      <c r="AO32" s="229"/>
      <c r="AP32" s="24"/>
    </row>
    <row r="33" spans="2:42" s="59" customFormat="1" ht="36" customHeight="1">
      <c r="B33" s="23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230"/>
      <c r="AB33" s="228"/>
      <c r="AC33" s="228"/>
      <c r="AD33" s="228"/>
      <c r="AE33" s="228"/>
      <c r="AF33" s="228"/>
      <c r="AG33" s="228"/>
      <c r="AH33" s="228"/>
      <c r="AI33" s="228"/>
      <c r="AJ33" s="228"/>
      <c r="AK33" s="228"/>
      <c r="AL33" s="228"/>
      <c r="AM33" s="228"/>
      <c r="AN33" s="228"/>
      <c r="AO33" s="229"/>
      <c r="AP33" s="24"/>
    </row>
    <row r="34" spans="2:42" s="59" customFormat="1" ht="36" customHeight="1">
      <c r="B34" s="23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230"/>
      <c r="AB34" s="228"/>
      <c r="AC34" s="228"/>
      <c r="AD34" s="228"/>
      <c r="AE34" s="228"/>
      <c r="AF34" s="228"/>
      <c r="AG34" s="228"/>
      <c r="AH34" s="228"/>
      <c r="AI34" s="228"/>
      <c r="AJ34" s="228"/>
      <c r="AK34" s="228"/>
      <c r="AL34" s="228"/>
      <c r="AM34" s="228"/>
      <c r="AN34" s="228"/>
      <c r="AO34" s="229"/>
      <c r="AP34" s="24"/>
    </row>
    <row r="35" spans="2:42" s="59" customFormat="1" ht="36" customHeight="1">
      <c r="B35" s="23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230"/>
      <c r="AB35" s="228"/>
      <c r="AC35" s="228"/>
      <c r="AD35" s="228"/>
      <c r="AE35" s="228"/>
      <c r="AF35" s="228"/>
      <c r="AG35" s="228"/>
      <c r="AH35" s="228"/>
      <c r="AI35" s="228"/>
      <c r="AJ35" s="228"/>
      <c r="AK35" s="228"/>
      <c r="AL35" s="228"/>
      <c r="AM35" s="228"/>
      <c r="AN35" s="228"/>
      <c r="AO35" s="229"/>
      <c r="AP35" s="24"/>
    </row>
    <row r="36" spans="2:42" s="59" customFormat="1" ht="36" customHeight="1">
      <c r="B36" s="23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230"/>
      <c r="AB36" s="228"/>
      <c r="AC36" s="228"/>
      <c r="AD36" s="228"/>
      <c r="AE36" s="228"/>
      <c r="AF36" s="228"/>
      <c r="AG36" s="228"/>
      <c r="AH36" s="228"/>
      <c r="AI36" s="228"/>
      <c r="AJ36" s="228"/>
      <c r="AK36" s="228"/>
      <c r="AL36" s="228"/>
      <c r="AM36" s="228"/>
      <c r="AN36" s="228"/>
      <c r="AO36" s="229"/>
      <c r="AP36" s="24"/>
    </row>
    <row r="37" spans="2:42" s="59" customFormat="1" ht="30" customHeight="1">
      <c r="B37" s="23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230"/>
      <c r="AB37" s="228"/>
      <c r="AC37" s="228"/>
      <c r="AD37" s="228"/>
      <c r="AE37" s="228"/>
      <c r="AF37" s="228"/>
      <c r="AG37" s="228"/>
      <c r="AH37" s="228"/>
      <c r="AI37" s="228"/>
      <c r="AJ37" s="228"/>
      <c r="AK37" s="228"/>
      <c r="AL37" s="228"/>
      <c r="AM37" s="228"/>
      <c r="AN37" s="228"/>
      <c r="AO37" s="229"/>
      <c r="AP37" s="24"/>
    </row>
    <row r="38" spans="2:42" s="59" customFormat="1" ht="30" customHeight="1" thickBot="1">
      <c r="B38" s="23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231"/>
      <c r="AB38" s="232"/>
      <c r="AC38" s="232"/>
      <c r="AD38" s="232"/>
      <c r="AE38" s="232"/>
      <c r="AF38" s="232"/>
      <c r="AG38" s="232"/>
      <c r="AH38" s="232"/>
      <c r="AI38" s="232"/>
      <c r="AJ38" s="232"/>
      <c r="AK38" s="232"/>
      <c r="AL38" s="232"/>
      <c r="AM38" s="232"/>
      <c r="AN38" s="232"/>
      <c r="AO38" s="233"/>
      <c r="AP38" s="24"/>
    </row>
    <row r="39" spans="2:42" s="59" customFormat="1" ht="14.25" customHeight="1">
      <c r="B39" s="23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24"/>
    </row>
    <row r="40" spans="2:42" s="59" customFormat="1" ht="7.5" customHeight="1" thickBot="1">
      <c r="B40" s="23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24"/>
    </row>
    <row r="41" spans="2:42" s="59" customFormat="1" ht="28.15" customHeight="1">
      <c r="B41" s="23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204" t="s">
        <v>2</v>
      </c>
      <c r="AB41" s="205"/>
      <c r="AC41" s="205"/>
      <c r="AD41" s="205"/>
      <c r="AE41" s="205"/>
      <c r="AF41" s="205"/>
      <c r="AG41" s="205"/>
      <c r="AH41" s="205"/>
      <c r="AI41" s="205"/>
      <c r="AJ41" s="205"/>
      <c r="AK41" s="205"/>
      <c r="AL41" s="205"/>
      <c r="AM41" s="205"/>
      <c r="AN41" s="205"/>
      <c r="AO41" s="206"/>
      <c r="AP41" s="24"/>
    </row>
    <row r="42" spans="2:42" s="59" customFormat="1" ht="28.15" customHeight="1">
      <c r="B42" s="23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207"/>
      <c r="AB42" s="208"/>
      <c r="AC42" s="208"/>
      <c r="AD42" s="208"/>
      <c r="AE42" s="208"/>
      <c r="AF42" s="208"/>
      <c r="AG42" s="208"/>
      <c r="AH42" s="208"/>
      <c r="AI42" s="208"/>
      <c r="AJ42" s="208"/>
      <c r="AK42" s="208"/>
      <c r="AL42" s="208"/>
      <c r="AM42" s="208"/>
      <c r="AN42" s="208"/>
      <c r="AO42" s="209"/>
      <c r="AP42" s="24"/>
    </row>
    <row r="43" spans="2:42" s="59" customFormat="1" ht="28.15" customHeight="1">
      <c r="B43" s="23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98" t="str">
        <f>'JUSTIFICATIVA DE USINA'!$AL$3</f>
        <v xml:space="preserve">- Abaixo do programa:
Impactos:
-  Classificação e DF de britadores, estamos produzindo o FASN (alta sílica) de 00:00 ás 15:00
- TR 3011-18 parando por chave de desalinhamento, dificultando o processo de zerar os silos,  de 00:00 ás 03:00
- BSM05: falta de alimentação devido DF de retro e moega cheia de material de 12:00 às 15:00
- TR 3011-19/Bloco B parado devido vazamento no chute, de  18:00 às 21:15 
Pontos de atenção:
- TR 3030-02- Desgaste no trilho (vigente);
 </v>
      </c>
      <c r="AB43" s="199"/>
      <c r="AC43" s="199"/>
      <c r="AD43" s="199"/>
      <c r="AE43" s="199"/>
      <c r="AF43" s="199"/>
      <c r="AG43" s="199"/>
      <c r="AH43" s="199"/>
      <c r="AI43" s="199"/>
      <c r="AJ43" s="199"/>
      <c r="AK43" s="199"/>
      <c r="AL43" s="199"/>
      <c r="AM43" s="199"/>
      <c r="AN43" s="199"/>
      <c r="AO43" s="200"/>
      <c r="AP43" s="24"/>
    </row>
    <row r="44" spans="2:42" s="59" customFormat="1" ht="28.15" customHeight="1">
      <c r="B44" s="23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98"/>
      <c r="AB44" s="199"/>
      <c r="AC44" s="199"/>
      <c r="AD44" s="199"/>
      <c r="AE44" s="199"/>
      <c r="AF44" s="199"/>
      <c r="AG44" s="199"/>
      <c r="AH44" s="199"/>
      <c r="AI44" s="199"/>
      <c r="AJ44" s="199"/>
      <c r="AK44" s="199"/>
      <c r="AL44" s="199"/>
      <c r="AM44" s="199"/>
      <c r="AN44" s="199"/>
      <c r="AO44" s="200"/>
      <c r="AP44" s="24"/>
    </row>
    <row r="45" spans="2:42" s="59" customFormat="1" ht="28.15" customHeight="1">
      <c r="B45" s="23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98"/>
      <c r="AB45" s="199"/>
      <c r="AC45" s="199"/>
      <c r="AD45" s="199"/>
      <c r="AE45" s="199"/>
      <c r="AF45" s="199"/>
      <c r="AG45" s="199"/>
      <c r="AH45" s="199"/>
      <c r="AI45" s="199"/>
      <c r="AJ45" s="199"/>
      <c r="AK45" s="199"/>
      <c r="AL45" s="199"/>
      <c r="AM45" s="199"/>
      <c r="AN45" s="199"/>
      <c r="AO45" s="200"/>
      <c r="AP45" s="24"/>
    </row>
    <row r="46" spans="2:42" s="59" customFormat="1" ht="28.15" customHeight="1">
      <c r="B46" s="23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98"/>
      <c r="AB46" s="199"/>
      <c r="AC46" s="199"/>
      <c r="AD46" s="199"/>
      <c r="AE46" s="199"/>
      <c r="AF46" s="199"/>
      <c r="AG46" s="199"/>
      <c r="AH46" s="199"/>
      <c r="AI46" s="199"/>
      <c r="AJ46" s="199"/>
      <c r="AK46" s="199"/>
      <c r="AL46" s="199"/>
      <c r="AM46" s="199"/>
      <c r="AN46" s="199"/>
      <c r="AO46" s="200"/>
      <c r="AP46" s="24"/>
    </row>
    <row r="47" spans="2:42" s="59" customFormat="1" ht="28.15" customHeight="1">
      <c r="B47" s="23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98"/>
      <c r="AB47" s="199"/>
      <c r="AC47" s="199"/>
      <c r="AD47" s="199"/>
      <c r="AE47" s="199"/>
      <c r="AF47" s="199"/>
      <c r="AG47" s="199"/>
      <c r="AH47" s="199"/>
      <c r="AI47" s="199"/>
      <c r="AJ47" s="199"/>
      <c r="AK47" s="199"/>
      <c r="AL47" s="199"/>
      <c r="AM47" s="199"/>
      <c r="AN47" s="199"/>
      <c r="AO47" s="200"/>
      <c r="AP47" s="24"/>
    </row>
    <row r="48" spans="2:42" s="59" customFormat="1" ht="28.15" customHeight="1">
      <c r="B48" s="23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98"/>
      <c r="AB48" s="199"/>
      <c r="AC48" s="199"/>
      <c r="AD48" s="199"/>
      <c r="AE48" s="199"/>
      <c r="AF48" s="199"/>
      <c r="AG48" s="199"/>
      <c r="AH48" s="199"/>
      <c r="AI48" s="199"/>
      <c r="AJ48" s="199"/>
      <c r="AK48" s="199"/>
      <c r="AL48" s="199"/>
      <c r="AM48" s="199"/>
      <c r="AN48" s="199"/>
      <c r="AO48" s="200"/>
      <c r="AP48" s="24"/>
    </row>
    <row r="49" spans="2:42" s="59" customFormat="1" ht="28.15" customHeight="1">
      <c r="B49" s="23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98"/>
      <c r="AB49" s="199"/>
      <c r="AC49" s="199"/>
      <c r="AD49" s="199"/>
      <c r="AE49" s="199"/>
      <c r="AF49" s="199"/>
      <c r="AG49" s="199"/>
      <c r="AH49" s="199"/>
      <c r="AI49" s="199"/>
      <c r="AJ49" s="199"/>
      <c r="AK49" s="199"/>
      <c r="AL49" s="199"/>
      <c r="AM49" s="199"/>
      <c r="AN49" s="199"/>
      <c r="AO49" s="200"/>
      <c r="AP49" s="24"/>
    </row>
    <row r="50" spans="2:42" s="59" customFormat="1" ht="28.15" customHeight="1">
      <c r="B50" s="23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98"/>
      <c r="AB50" s="199"/>
      <c r="AC50" s="199"/>
      <c r="AD50" s="199"/>
      <c r="AE50" s="199"/>
      <c r="AF50" s="199"/>
      <c r="AG50" s="199"/>
      <c r="AH50" s="199"/>
      <c r="AI50" s="199"/>
      <c r="AJ50" s="199"/>
      <c r="AK50" s="199"/>
      <c r="AL50" s="199"/>
      <c r="AM50" s="199"/>
      <c r="AN50" s="199"/>
      <c r="AO50" s="200"/>
      <c r="AP50" s="24"/>
    </row>
    <row r="51" spans="2:42" s="59" customFormat="1" ht="28.15" customHeight="1">
      <c r="B51" s="23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98"/>
      <c r="AB51" s="199"/>
      <c r="AC51" s="199"/>
      <c r="AD51" s="199"/>
      <c r="AE51" s="199"/>
      <c r="AF51" s="199"/>
      <c r="AG51" s="199"/>
      <c r="AH51" s="199"/>
      <c r="AI51" s="199"/>
      <c r="AJ51" s="199"/>
      <c r="AK51" s="199"/>
      <c r="AL51" s="199"/>
      <c r="AM51" s="199"/>
      <c r="AN51" s="199"/>
      <c r="AO51" s="200"/>
      <c r="AP51" s="24"/>
    </row>
    <row r="52" spans="2:42" s="59" customFormat="1" ht="28.15" customHeight="1">
      <c r="B52" s="23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98"/>
      <c r="AB52" s="199"/>
      <c r="AC52" s="199"/>
      <c r="AD52" s="199"/>
      <c r="AE52" s="199"/>
      <c r="AF52" s="199"/>
      <c r="AG52" s="199"/>
      <c r="AH52" s="199"/>
      <c r="AI52" s="199"/>
      <c r="AJ52" s="199"/>
      <c r="AK52" s="199"/>
      <c r="AL52" s="199"/>
      <c r="AM52" s="199"/>
      <c r="AN52" s="199"/>
      <c r="AO52" s="200"/>
      <c r="AP52" s="24"/>
    </row>
    <row r="53" spans="2:42" s="59" customFormat="1" ht="28.15" customHeight="1">
      <c r="B53" s="23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98"/>
      <c r="AB53" s="199"/>
      <c r="AC53" s="199"/>
      <c r="AD53" s="199"/>
      <c r="AE53" s="199"/>
      <c r="AF53" s="199"/>
      <c r="AG53" s="199"/>
      <c r="AH53" s="199"/>
      <c r="AI53" s="199"/>
      <c r="AJ53" s="199"/>
      <c r="AK53" s="199"/>
      <c r="AL53" s="199"/>
      <c r="AM53" s="199"/>
      <c r="AN53" s="199"/>
      <c r="AO53" s="200"/>
      <c r="AP53" s="24"/>
    </row>
    <row r="54" spans="2:42" s="59" customFormat="1" ht="28.15" customHeight="1">
      <c r="B54" s="23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98"/>
      <c r="AB54" s="199"/>
      <c r="AC54" s="199"/>
      <c r="AD54" s="199"/>
      <c r="AE54" s="199"/>
      <c r="AF54" s="199"/>
      <c r="AG54" s="199"/>
      <c r="AH54" s="199"/>
      <c r="AI54" s="199"/>
      <c r="AJ54" s="199"/>
      <c r="AK54" s="199"/>
      <c r="AL54" s="199"/>
      <c r="AM54" s="199"/>
      <c r="AN54" s="199"/>
      <c r="AO54" s="200"/>
      <c r="AP54" s="24"/>
    </row>
    <row r="55" spans="2:42" s="59" customFormat="1" ht="28.15" customHeight="1">
      <c r="B55" s="23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98"/>
      <c r="AB55" s="199"/>
      <c r="AC55" s="199"/>
      <c r="AD55" s="199"/>
      <c r="AE55" s="199"/>
      <c r="AF55" s="199"/>
      <c r="AG55" s="199"/>
      <c r="AH55" s="199"/>
      <c r="AI55" s="199"/>
      <c r="AJ55" s="199"/>
      <c r="AK55" s="199"/>
      <c r="AL55" s="199"/>
      <c r="AM55" s="199"/>
      <c r="AN55" s="199"/>
      <c r="AO55" s="200"/>
      <c r="AP55" s="24"/>
    </row>
    <row r="56" spans="2:42" s="59" customFormat="1" ht="28.15" customHeight="1" thickBot="1">
      <c r="B56" s="23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201"/>
      <c r="AB56" s="202"/>
      <c r="AC56" s="202"/>
      <c r="AD56" s="202"/>
      <c r="AE56" s="202"/>
      <c r="AF56" s="202"/>
      <c r="AG56" s="202"/>
      <c r="AH56" s="202"/>
      <c r="AI56" s="202"/>
      <c r="AJ56" s="202"/>
      <c r="AK56" s="202"/>
      <c r="AL56" s="202"/>
      <c r="AM56" s="202"/>
      <c r="AN56" s="202"/>
      <c r="AO56" s="203"/>
      <c r="AP56" s="24"/>
    </row>
    <row r="57" spans="2:42" s="59" customFormat="1" ht="12.75" customHeight="1">
      <c r="B57" s="23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24"/>
    </row>
    <row r="58" spans="2:42" s="59" customFormat="1" ht="12.75" customHeight="1" thickBot="1">
      <c r="B58" s="23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24"/>
    </row>
    <row r="59" spans="2:42" s="59" customFormat="1" ht="28.15" customHeight="1">
      <c r="B59" s="23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204" t="s">
        <v>3</v>
      </c>
      <c r="AB59" s="205"/>
      <c r="AC59" s="205"/>
      <c r="AD59" s="205"/>
      <c r="AE59" s="205"/>
      <c r="AF59" s="205"/>
      <c r="AG59" s="205"/>
      <c r="AH59" s="205"/>
      <c r="AI59" s="205"/>
      <c r="AJ59" s="205"/>
      <c r="AK59" s="205"/>
      <c r="AL59" s="205"/>
      <c r="AM59" s="205"/>
      <c r="AN59" s="205"/>
      <c r="AO59" s="206"/>
      <c r="AP59" s="24"/>
    </row>
    <row r="60" spans="2:42" s="59" customFormat="1" ht="28.15" customHeight="1">
      <c r="B60" s="23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207"/>
      <c r="AB60" s="208"/>
      <c r="AC60" s="208"/>
      <c r="AD60" s="208"/>
      <c r="AE60" s="208"/>
      <c r="AF60" s="208"/>
      <c r="AG60" s="208"/>
      <c r="AH60" s="208"/>
      <c r="AI60" s="208"/>
      <c r="AJ60" s="208"/>
      <c r="AK60" s="208"/>
      <c r="AL60" s="208"/>
      <c r="AM60" s="208"/>
      <c r="AN60" s="208"/>
      <c r="AO60" s="209"/>
      <c r="AP60" s="24"/>
    </row>
    <row r="61" spans="2:42" s="59" customFormat="1" ht="28.15" customHeight="1">
      <c r="B61" s="23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98" t="str">
        <f>'JUSTIFICATIVA DE USINA'!$AX$3</f>
        <v xml:space="preserve">-Aderente ao programa:
Impactos:
</v>
      </c>
      <c r="AB61" s="199"/>
      <c r="AC61" s="199"/>
      <c r="AD61" s="199"/>
      <c r="AE61" s="199"/>
      <c r="AF61" s="199"/>
      <c r="AG61" s="199"/>
      <c r="AH61" s="199"/>
      <c r="AI61" s="199"/>
      <c r="AJ61" s="199"/>
      <c r="AK61" s="199"/>
      <c r="AL61" s="199"/>
      <c r="AM61" s="199"/>
      <c r="AN61" s="199"/>
      <c r="AO61" s="200"/>
      <c r="AP61" s="24"/>
    </row>
    <row r="62" spans="2:42" s="59" customFormat="1" ht="28.15" customHeight="1">
      <c r="B62" s="23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98"/>
      <c r="AB62" s="199"/>
      <c r="AC62" s="199"/>
      <c r="AD62" s="199"/>
      <c r="AE62" s="199"/>
      <c r="AF62" s="199"/>
      <c r="AG62" s="199"/>
      <c r="AH62" s="199"/>
      <c r="AI62" s="199"/>
      <c r="AJ62" s="199"/>
      <c r="AK62" s="199"/>
      <c r="AL62" s="199"/>
      <c r="AM62" s="199"/>
      <c r="AN62" s="199"/>
      <c r="AO62" s="200"/>
      <c r="AP62" s="24"/>
    </row>
    <row r="63" spans="2:42" s="59" customFormat="1" ht="28.15" customHeight="1">
      <c r="B63" s="23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98"/>
      <c r="AB63" s="199"/>
      <c r="AC63" s="199"/>
      <c r="AD63" s="199"/>
      <c r="AE63" s="199"/>
      <c r="AF63" s="199"/>
      <c r="AG63" s="199"/>
      <c r="AH63" s="199"/>
      <c r="AI63" s="199"/>
      <c r="AJ63" s="199"/>
      <c r="AK63" s="199"/>
      <c r="AL63" s="199"/>
      <c r="AM63" s="199"/>
      <c r="AN63" s="199"/>
      <c r="AO63" s="200"/>
      <c r="AP63" s="24"/>
    </row>
    <row r="64" spans="2:42" s="59" customFormat="1" ht="28.15" customHeight="1">
      <c r="B64" s="23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98"/>
      <c r="AB64" s="199"/>
      <c r="AC64" s="199"/>
      <c r="AD64" s="199"/>
      <c r="AE64" s="199"/>
      <c r="AF64" s="199"/>
      <c r="AG64" s="199"/>
      <c r="AH64" s="199"/>
      <c r="AI64" s="199"/>
      <c r="AJ64" s="199"/>
      <c r="AK64" s="199"/>
      <c r="AL64" s="199"/>
      <c r="AM64" s="199"/>
      <c r="AN64" s="199"/>
      <c r="AO64" s="200"/>
      <c r="AP64" s="24"/>
    </row>
    <row r="65" spans="2:42" s="59" customFormat="1" ht="28.15" customHeight="1">
      <c r="B65" s="23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98"/>
      <c r="AB65" s="199"/>
      <c r="AC65" s="199"/>
      <c r="AD65" s="199"/>
      <c r="AE65" s="199"/>
      <c r="AF65" s="199"/>
      <c r="AG65" s="199"/>
      <c r="AH65" s="199"/>
      <c r="AI65" s="199"/>
      <c r="AJ65" s="199"/>
      <c r="AK65" s="199"/>
      <c r="AL65" s="199"/>
      <c r="AM65" s="199"/>
      <c r="AN65" s="199"/>
      <c r="AO65" s="200"/>
      <c r="AP65" s="24"/>
    </row>
    <row r="66" spans="2:42" s="59" customFormat="1" ht="28.15" customHeight="1">
      <c r="B66" s="23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98"/>
      <c r="AB66" s="199"/>
      <c r="AC66" s="199"/>
      <c r="AD66" s="199"/>
      <c r="AE66" s="199"/>
      <c r="AF66" s="199"/>
      <c r="AG66" s="199"/>
      <c r="AH66" s="199"/>
      <c r="AI66" s="199"/>
      <c r="AJ66" s="199"/>
      <c r="AK66" s="199"/>
      <c r="AL66" s="199"/>
      <c r="AM66" s="199"/>
      <c r="AN66" s="199"/>
      <c r="AO66" s="200"/>
      <c r="AP66" s="24"/>
    </row>
    <row r="67" spans="2:42" s="59" customFormat="1" ht="28.15" customHeight="1">
      <c r="B67" s="23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98"/>
      <c r="AB67" s="199"/>
      <c r="AC67" s="199"/>
      <c r="AD67" s="199"/>
      <c r="AE67" s="199"/>
      <c r="AF67" s="199"/>
      <c r="AG67" s="199"/>
      <c r="AH67" s="199"/>
      <c r="AI67" s="199"/>
      <c r="AJ67" s="199"/>
      <c r="AK67" s="199"/>
      <c r="AL67" s="199"/>
      <c r="AM67" s="199"/>
      <c r="AN67" s="199"/>
      <c r="AO67" s="200"/>
      <c r="AP67" s="24"/>
    </row>
    <row r="68" spans="2:42" s="59" customFormat="1" ht="28.15" customHeight="1">
      <c r="B68" s="23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98"/>
      <c r="AB68" s="199"/>
      <c r="AC68" s="199"/>
      <c r="AD68" s="199"/>
      <c r="AE68" s="199"/>
      <c r="AF68" s="199"/>
      <c r="AG68" s="199"/>
      <c r="AH68" s="199"/>
      <c r="AI68" s="199"/>
      <c r="AJ68" s="199"/>
      <c r="AK68" s="199"/>
      <c r="AL68" s="199"/>
      <c r="AM68" s="199"/>
      <c r="AN68" s="199"/>
      <c r="AO68" s="200"/>
      <c r="AP68" s="24"/>
    </row>
    <row r="69" spans="2:42" s="59" customFormat="1" ht="28.15" customHeight="1">
      <c r="B69" s="23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98"/>
      <c r="AB69" s="199"/>
      <c r="AC69" s="199"/>
      <c r="AD69" s="199"/>
      <c r="AE69" s="199"/>
      <c r="AF69" s="199"/>
      <c r="AG69" s="199"/>
      <c r="AH69" s="199"/>
      <c r="AI69" s="199"/>
      <c r="AJ69" s="199"/>
      <c r="AK69" s="199"/>
      <c r="AL69" s="199"/>
      <c r="AM69" s="199"/>
      <c r="AN69" s="199"/>
      <c r="AO69" s="200"/>
      <c r="AP69" s="24"/>
    </row>
    <row r="70" spans="2:42" s="59" customFormat="1" ht="28.15" customHeight="1">
      <c r="B70" s="23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98"/>
      <c r="AB70" s="199"/>
      <c r="AC70" s="199"/>
      <c r="AD70" s="199"/>
      <c r="AE70" s="199"/>
      <c r="AF70" s="199"/>
      <c r="AG70" s="199"/>
      <c r="AH70" s="199"/>
      <c r="AI70" s="199"/>
      <c r="AJ70" s="199"/>
      <c r="AK70" s="199"/>
      <c r="AL70" s="199"/>
      <c r="AM70" s="199"/>
      <c r="AN70" s="199"/>
      <c r="AO70" s="200"/>
      <c r="AP70" s="24"/>
    </row>
    <row r="71" spans="2:42" s="59" customFormat="1" ht="28.15" customHeight="1">
      <c r="B71" s="23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98"/>
      <c r="AB71" s="199"/>
      <c r="AC71" s="199"/>
      <c r="AD71" s="199"/>
      <c r="AE71" s="199"/>
      <c r="AF71" s="199"/>
      <c r="AG71" s="199"/>
      <c r="AH71" s="199"/>
      <c r="AI71" s="199"/>
      <c r="AJ71" s="199"/>
      <c r="AK71" s="199"/>
      <c r="AL71" s="199"/>
      <c r="AM71" s="199"/>
      <c r="AN71" s="199"/>
      <c r="AO71" s="200"/>
      <c r="AP71" s="24"/>
    </row>
    <row r="72" spans="2:42" s="59" customFormat="1" ht="28.15" customHeight="1">
      <c r="B72" s="23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98"/>
      <c r="AB72" s="199"/>
      <c r="AC72" s="199"/>
      <c r="AD72" s="199"/>
      <c r="AE72" s="199"/>
      <c r="AF72" s="199"/>
      <c r="AG72" s="199"/>
      <c r="AH72" s="199"/>
      <c r="AI72" s="199"/>
      <c r="AJ72" s="199"/>
      <c r="AK72" s="199"/>
      <c r="AL72" s="199"/>
      <c r="AM72" s="199"/>
      <c r="AN72" s="199"/>
      <c r="AO72" s="200"/>
      <c r="AP72" s="24"/>
    </row>
    <row r="73" spans="2:42" s="59" customFormat="1" ht="28.15" customHeight="1">
      <c r="B73" s="23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98"/>
      <c r="AB73" s="199"/>
      <c r="AC73" s="199"/>
      <c r="AD73" s="199"/>
      <c r="AE73" s="199"/>
      <c r="AF73" s="199"/>
      <c r="AG73" s="199"/>
      <c r="AH73" s="199"/>
      <c r="AI73" s="199"/>
      <c r="AJ73" s="199"/>
      <c r="AK73" s="199"/>
      <c r="AL73" s="199"/>
      <c r="AM73" s="199"/>
      <c r="AN73" s="199"/>
      <c r="AO73" s="200"/>
      <c r="AP73" s="24"/>
    </row>
    <row r="74" spans="2:42" s="59" customFormat="1" ht="28.15" customHeight="1" thickBot="1">
      <c r="B74" s="23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201"/>
      <c r="AB74" s="202"/>
      <c r="AC74" s="202"/>
      <c r="AD74" s="202"/>
      <c r="AE74" s="202"/>
      <c r="AF74" s="202"/>
      <c r="AG74" s="202"/>
      <c r="AH74" s="202"/>
      <c r="AI74" s="202"/>
      <c r="AJ74" s="202"/>
      <c r="AK74" s="202"/>
      <c r="AL74" s="202"/>
      <c r="AM74" s="202"/>
      <c r="AN74" s="202"/>
      <c r="AO74" s="203"/>
      <c r="AP74" s="24"/>
    </row>
    <row r="75" spans="2:42" s="59" customFormat="1" ht="11.25" customHeight="1">
      <c r="B75" s="23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24"/>
    </row>
    <row r="76" spans="2:42" s="59" customFormat="1" ht="11.25" customHeight="1" thickBot="1">
      <c r="B76" s="23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24"/>
    </row>
    <row r="77" spans="2:42" s="59" customFormat="1" ht="28.15" customHeight="1">
      <c r="B77" s="23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204" t="s">
        <v>4</v>
      </c>
      <c r="AB77" s="205"/>
      <c r="AC77" s="205"/>
      <c r="AD77" s="205"/>
      <c r="AE77" s="205"/>
      <c r="AF77" s="205"/>
      <c r="AG77" s="205"/>
      <c r="AH77" s="205"/>
      <c r="AI77" s="205"/>
      <c r="AJ77" s="205"/>
      <c r="AK77" s="205"/>
      <c r="AL77" s="205"/>
      <c r="AM77" s="205"/>
      <c r="AN77" s="205"/>
      <c r="AO77" s="206"/>
      <c r="AP77" s="24"/>
    </row>
    <row r="78" spans="2:42" s="59" customFormat="1" ht="28.15" customHeight="1">
      <c r="B78" s="23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207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9"/>
      <c r="AP78" s="24"/>
    </row>
    <row r="79" spans="2:42" s="59" customFormat="1" ht="28.15" customHeight="1">
      <c r="B79" s="23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98" t="str">
        <f>'JUSTIFICATIVA DE USINA'!$BJ$3</f>
        <v>-Abaixo do programa
Impactos:
- REP03/05: parados devido falta de área de estocagem no pátio M;</v>
      </c>
      <c r="AB79" s="199"/>
      <c r="AC79" s="199"/>
      <c r="AD79" s="199"/>
      <c r="AE79" s="199"/>
      <c r="AF79" s="199"/>
      <c r="AG79" s="199"/>
      <c r="AH79" s="199"/>
      <c r="AI79" s="199"/>
      <c r="AJ79" s="199"/>
      <c r="AK79" s="199"/>
      <c r="AL79" s="199"/>
      <c r="AM79" s="199"/>
      <c r="AN79" s="199"/>
      <c r="AO79" s="200"/>
      <c r="AP79" s="24"/>
    </row>
    <row r="80" spans="2:42" s="59" customFormat="1" ht="28.15" customHeight="1">
      <c r="B80" s="23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98"/>
      <c r="AB80" s="199"/>
      <c r="AC80" s="199"/>
      <c r="AD80" s="199"/>
      <c r="AE80" s="199"/>
      <c r="AF80" s="199"/>
      <c r="AG80" s="199"/>
      <c r="AH80" s="199"/>
      <c r="AI80" s="199"/>
      <c r="AJ80" s="199"/>
      <c r="AK80" s="199"/>
      <c r="AL80" s="199"/>
      <c r="AM80" s="199"/>
      <c r="AN80" s="199"/>
      <c r="AO80" s="200"/>
      <c r="AP80" s="24"/>
    </row>
    <row r="81" spans="2:42" s="59" customFormat="1" ht="28.15" customHeight="1">
      <c r="B81" s="23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98"/>
      <c r="AB81" s="199"/>
      <c r="AC81" s="199"/>
      <c r="AD81" s="199"/>
      <c r="AE81" s="199"/>
      <c r="AF81" s="199"/>
      <c r="AG81" s="199"/>
      <c r="AH81" s="199"/>
      <c r="AI81" s="199"/>
      <c r="AJ81" s="199"/>
      <c r="AK81" s="199"/>
      <c r="AL81" s="199"/>
      <c r="AM81" s="199"/>
      <c r="AN81" s="199"/>
      <c r="AO81" s="200"/>
      <c r="AP81" s="24"/>
    </row>
    <row r="82" spans="2:42" s="59" customFormat="1" ht="28.15" customHeight="1">
      <c r="B82" s="23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98"/>
      <c r="AB82" s="199"/>
      <c r="AC82" s="199"/>
      <c r="AD82" s="199"/>
      <c r="AE82" s="199"/>
      <c r="AF82" s="199"/>
      <c r="AG82" s="199"/>
      <c r="AH82" s="199"/>
      <c r="AI82" s="199"/>
      <c r="AJ82" s="199"/>
      <c r="AK82" s="199"/>
      <c r="AL82" s="199"/>
      <c r="AM82" s="199"/>
      <c r="AN82" s="199"/>
      <c r="AO82" s="200"/>
      <c r="AP82" s="24"/>
    </row>
    <row r="83" spans="2:42" s="59" customFormat="1" ht="28.15" customHeight="1">
      <c r="B83" s="2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98"/>
      <c r="AB83" s="199"/>
      <c r="AC83" s="199"/>
      <c r="AD83" s="199"/>
      <c r="AE83" s="199"/>
      <c r="AF83" s="199"/>
      <c r="AG83" s="199"/>
      <c r="AH83" s="199"/>
      <c r="AI83" s="199"/>
      <c r="AJ83" s="199"/>
      <c r="AK83" s="199"/>
      <c r="AL83" s="199"/>
      <c r="AM83" s="199"/>
      <c r="AN83" s="199"/>
      <c r="AO83" s="200"/>
      <c r="AP83" s="24"/>
    </row>
    <row r="84" spans="2:42" s="59" customFormat="1" ht="28.15" customHeight="1">
      <c r="B84" s="23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98"/>
      <c r="AB84" s="199"/>
      <c r="AC84" s="199"/>
      <c r="AD84" s="199"/>
      <c r="AE84" s="199"/>
      <c r="AF84" s="199"/>
      <c r="AG84" s="199"/>
      <c r="AH84" s="199"/>
      <c r="AI84" s="199"/>
      <c r="AJ84" s="199"/>
      <c r="AK84" s="199"/>
      <c r="AL84" s="199"/>
      <c r="AM84" s="199"/>
      <c r="AN84" s="199"/>
      <c r="AO84" s="200"/>
      <c r="AP84" s="24"/>
    </row>
    <row r="85" spans="2:42" s="59" customFormat="1" ht="28.15" customHeight="1">
      <c r="B85" s="2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98"/>
      <c r="AB85" s="199"/>
      <c r="AC85" s="199"/>
      <c r="AD85" s="199"/>
      <c r="AE85" s="199"/>
      <c r="AF85" s="199"/>
      <c r="AG85" s="199"/>
      <c r="AH85" s="199"/>
      <c r="AI85" s="199"/>
      <c r="AJ85" s="199"/>
      <c r="AK85" s="199"/>
      <c r="AL85" s="199"/>
      <c r="AM85" s="199"/>
      <c r="AN85" s="199"/>
      <c r="AO85" s="200"/>
      <c r="AP85" s="24"/>
    </row>
    <row r="86" spans="2:42" s="59" customFormat="1" ht="28.15" customHeight="1">
      <c r="B86" s="23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98"/>
      <c r="AB86" s="199"/>
      <c r="AC86" s="199"/>
      <c r="AD86" s="199"/>
      <c r="AE86" s="199"/>
      <c r="AF86" s="199"/>
      <c r="AG86" s="199"/>
      <c r="AH86" s="199"/>
      <c r="AI86" s="199"/>
      <c r="AJ86" s="199"/>
      <c r="AK86" s="199"/>
      <c r="AL86" s="199"/>
      <c r="AM86" s="199"/>
      <c r="AN86" s="199"/>
      <c r="AO86" s="200"/>
      <c r="AP86" s="24"/>
    </row>
    <row r="87" spans="2:42" s="59" customFormat="1" ht="28.15" customHeight="1">
      <c r="B87" s="23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98"/>
      <c r="AB87" s="199"/>
      <c r="AC87" s="199"/>
      <c r="AD87" s="199"/>
      <c r="AE87" s="199"/>
      <c r="AF87" s="199"/>
      <c r="AG87" s="199"/>
      <c r="AH87" s="199"/>
      <c r="AI87" s="199"/>
      <c r="AJ87" s="199"/>
      <c r="AK87" s="199"/>
      <c r="AL87" s="199"/>
      <c r="AM87" s="199"/>
      <c r="AN87" s="199"/>
      <c r="AO87" s="200"/>
      <c r="AP87" s="24"/>
    </row>
    <row r="88" spans="2:42" s="59" customFormat="1" ht="28.15" customHeight="1">
      <c r="B88" s="23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98"/>
      <c r="AB88" s="199"/>
      <c r="AC88" s="199"/>
      <c r="AD88" s="199"/>
      <c r="AE88" s="199"/>
      <c r="AF88" s="199"/>
      <c r="AG88" s="199"/>
      <c r="AH88" s="199"/>
      <c r="AI88" s="199"/>
      <c r="AJ88" s="199"/>
      <c r="AK88" s="199"/>
      <c r="AL88" s="199"/>
      <c r="AM88" s="199"/>
      <c r="AN88" s="199"/>
      <c r="AO88" s="200"/>
      <c r="AP88" s="24"/>
    </row>
    <row r="89" spans="2:42" s="59" customFormat="1" ht="28.15" customHeight="1">
      <c r="B89" s="23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98"/>
      <c r="AB89" s="199"/>
      <c r="AC89" s="199"/>
      <c r="AD89" s="199"/>
      <c r="AE89" s="199"/>
      <c r="AF89" s="199"/>
      <c r="AG89" s="199"/>
      <c r="AH89" s="199"/>
      <c r="AI89" s="199"/>
      <c r="AJ89" s="199"/>
      <c r="AK89" s="199"/>
      <c r="AL89" s="199"/>
      <c r="AM89" s="199"/>
      <c r="AN89" s="199"/>
      <c r="AO89" s="200"/>
      <c r="AP89" s="24"/>
    </row>
    <row r="90" spans="2:42" s="59" customFormat="1" ht="28.15" customHeight="1">
      <c r="B90" s="23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98"/>
      <c r="AB90" s="199"/>
      <c r="AC90" s="199"/>
      <c r="AD90" s="199"/>
      <c r="AE90" s="199"/>
      <c r="AF90" s="199"/>
      <c r="AG90" s="199"/>
      <c r="AH90" s="199"/>
      <c r="AI90" s="199"/>
      <c r="AJ90" s="199"/>
      <c r="AK90" s="199"/>
      <c r="AL90" s="199"/>
      <c r="AM90" s="199"/>
      <c r="AN90" s="199"/>
      <c r="AO90" s="200"/>
      <c r="AP90" s="24"/>
    </row>
    <row r="91" spans="2:42" s="59" customFormat="1" ht="28.15" customHeight="1">
      <c r="B91" s="23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98"/>
      <c r="AB91" s="199"/>
      <c r="AC91" s="199"/>
      <c r="AD91" s="199"/>
      <c r="AE91" s="199"/>
      <c r="AF91" s="199"/>
      <c r="AG91" s="199"/>
      <c r="AH91" s="199"/>
      <c r="AI91" s="199"/>
      <c r="AJ91" s="199"/>
      <c r="AK91" s="199"/>
      <c r="AL91" s="199"/>
      <c r="AM91" s="199"/>
      <c r="AN91" s="199"/>
      <c r="AO91" s="200"/>
      <c r="AP91" s="24"/>
    </row>
    <row r="92" spans="2:42" s="59" customFormat="1" ht="28.15" customHeight="1" thickBot="1">
      <c r="B92" s="23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201"/>
      <c r="AB92" s="202"/>
      <c r="AC92" s="202"/>
      <c r="AD92" s="202"/>
      <c r="AE92" s="202"/>
      <c r="AF92" s="202"/>
      <c r="AG92" s="202"/>
      <c r="AH92" s="202"/>
      <c r="AI92" s="202"/>
      <c r="AJ92" s="202"/>
      <c r="AK92" s="202"/>
      <c r="AL92" s="202"/>
      <c r="AM92" s="202"/>
      <c r="AN92" s="202"/>
      <c r="AO92" s="203"/>
      <c r="AP92" s="24"/>
    </row>
    <row r="93" spans="2:42" s="59" customFormat="1" ht="28.15" customHeight="1" thickBot="1">
      <c r="B93" s="23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24"/>
    </row>
    <row r="94" spans="2:42" s="59" customFormat="1" ht="28.15" customHeight="1">
      <c r="B94" s="2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204" t="s">
        <v>14</v>
      </c>
      <c r="AB94" s="205"/>
      <c r="AC94" s="205"/>
      <c r="AD94" s="205"/>
      <c r="AE94" s="205"/>
      <c r="AF94" s="205"/>
      <c r="AG94" s="205"/>
      <c r="AH94" s="205"/>
      <c r="AI94" s="205"/>
      <c r="AJ94" s="205"/>
      <c r="AK94" s="205"/>
      <c r="AL94" s="205"/>
      <c r="AM94" s="205"/>
      <c r="AN94" s="205"/>
      <c r="AO94" s="206"/>
      <c r="AP94" s="24"/>
    </row>
    <row r="95" spans="2:42" s="59" customFormat="1" ht="28.15" customHeight="1">
      <c r="B95" s="23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207"/>
      <c r="AB95" s="208"/>
      <c r="AC95" s="208"/>
      <c r="AD95" s="208"/>
      <c r="AE95" s="208"/>
      <c r="AF95" s="208"/>
      <c r="AG95" s="208"/>
      <c r="AH95" s="208"/>
      <c r="AI95" s="208"/>
      <c r="AJ95" s="208"/>
      <c r="AK95" s="208"/>
      <c r="AL95" s="208"/>
      <c r="AM95" s="208"/>
      <c r="AN95" s="208"/>
      <c r="AO95" s="209"/>
      <c r="AP95" s="24"/>
    </row>
    <row r="96" spans="2:42" s="59" customFormat="1" ht="28.15" customHeight="1">
      <c r="B96" s="23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222">
        <f>'JUSTIFICATIVA DE USINA'!$BT$3</f>
        <v>0</v>
      </c>
      <c r="AB96" s="199"/>
      <c r="AC96" s="199"/>
      <c r="AD96" s="199"/>
      <c r="AE96" s="199"/>
      <c r="AF96" s="199"/>
      <c r="AG96" s="199"/>
      <c r="AH96" s="199"/>
      <c r="AI96" s="199"/>
      <c r="AJ96" s="199"/>
      <c r="AK96" s="199"/>
      <c r="AL96" s="199"/>
      <c r="AM96" s="199"/>
      <c r="AN96" s="199"/>
      <c r="AO96" s="200"/>
      <c r="AP96" s="24"/>
    </row>
    <row r="97" spans="2:42" s="59" customFormat="1" ht="28.15" customHeight="1">
      <c r="B97" s="23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98"/>
      <c r="AB97" s="199"/>
      <c r="AC97" s="199"/>
      <c r="AD97" s="199"/>
      <c r="AE97" s="199"/>
      <c r="AF97" s="199"/>
      <c r="AG97" s="199"/>
      <c r="AH97" s="199"/>
      <c r="AI97" s="199"/>
      <c r="AJ97" s="199"/>
      <c r="AK97" s="199"/>
      <c r="AL97" s="199"/>
      <c r="AM97" s="199"/>
      <c r="AN97" s="199"/>
      <c r="AO97" s="200"/>
      <c r="AP97" s="24"/>
    </row>
    <row r="98" spans="2:42" s="59" customFormat="1" ht="28.15" customHeight="1">
      <c r="B98" s="23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98"/>
      <c r="AB98" s="199"/>
      <c r="AC98" s="199"/>
      <c r="AD98" s="199"/>
      <c r="AE98" s="199"/>
      <c r="AF98" s="199"/>
      <c r="AG98" s="199"/>
      <c r="AH98" s="199"/>
      <c r="AI98" s="199"/>
      <c r="AJ98" s="199"/>
      <c r="AK98" s="199"/>
      <c r="AL98" s="199"/>
      <c r="AM98" s="199"/>
      <c r="AN98" s="199"/>
      <c r="AO98" s="200"/>
      <c r="AP98" s="24"/>
    </row>
    <row r="99" spans="2:42" s="59" customFormat="1" ht="28.15" customHeight="1">
      <c r="B99" s="23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98"/>
      <c r="AB99" s="199"/>
      <c r="AC99" s="199"/>
      <c r="AD99" s="199"/>
      <c r="AE99" s="199"/>
      <c r="AF99" s="199"/>
      <c r="AG99" s="199"/>
      <c r="AH99" s="199"/>
      <c r="AI99" s="199"/>
      <c r="AJ99" s="199"/>
      <c r="AK99" s="199"/>
      <c r="AL99" s="199"/>
      <c r="AM99" s="199"/>
      <c r="AN99" s="199"/>
      <c r="AO99" s="200"/>
      <c r="AP99" s="24"/>
    </row>
    <row r="100" spans="2:42" s="59" customFormat="1" ht="28.15" customHeight="1">
      <c r="B100" s="23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98"/>
      <c r="AB100" s="199"/>
      <c r="AC100" s="199"/>
      <c r="AD100" s="199"/>
      <c r="AE100" s="199"/>
      <c r="AF100" s="199"/>
      <c r="AG100" s="199"/>
      <c r="AH100" s="199"/>
      <c r="AI100" s="199"/>
      <c r="AJ100" s="199"/>
      <c r="AK100" s="199"/>
      <c r="AL100" s="199"/>
      <c r="AM100" s="199"/>
      <c r="AN100" s="199"/>
      <c r="AO100" s="200"/>
      <c r="AP100" s="24"/>
    </row>
    <row r="101" spans="2:42" s="59" customFormat="1" ht="28.15" customHeight="1">
      <c r="B101" s="23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98"/>
      <c r="AB101" s="199"/>
      <c r="AC101" s="199"/>
      <c r="AD101" s="199"/>
      <c r="AE101" s="199"/>
      <c r="AF101" s="199"/>
      <c r="AG101" s="199"/>
      <c r="AH101" s="199"/>
      <c r="AI101" s="199"/>
      <c r="AJ101" s="199"/>
      <c r="AK101" s="199"/>
      <c r="AL101" s="199"/>
      <c r="AM101" s="199"/>
      <c r="AN101" s="199"/>
      <c r="AO101" s="200"/>
      <c r="AP101" s="24"/>
    </row>
    <row r="102" spans="2:42" s="59" customFormat="1" ht="28.15" customHeight="1">
      <c r="B102" s="23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98"/>
      <c r="AB102" s="199"/>
      <c r="AC102" s="199"/>
      <c r="AD102" s="199"/>
      <c r="AE102" s="199"/>
      <c r="AF102" s="199"/>
      <c r="AG102" s="199"/>
      <c r="AH102" s="199"/>
      <c r="AI102" s="199"/>
      <c r="AJ102" s="199"/>
      <c r="AK102" s="199"/>
      <c r="AL102" s="199"/>
      <c r="AM102" s="199"/>
      <c r="AN102" s="199"/>
      <c r="AO102" s="200"/>
      <c r="AP102" s="24"/>
    </row>
    <row r="103" spans="2:42" s="59" customFormat="1" ht="28.15" customHeight="1">
      <c r="B103" s="23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98"/>
      <c r="AB103" s="199"/>
      <c r="AC103" s="199"/>
      <c r="AD103" s="199"/>
      <c r="AE103" s="199"/>
      <c r="AF103" s="199"/>
      <c r="AG103" s="199"/>
      <c r="AH103" s="199"/>
      <c r="AI103" s="199"/>
      <c r="AJ103" s="199"/>
      <c r="AK103" s="199"/>
      <c r="AL103" s="199"/>
      <c r="AM103" s="199"/>
      <c r="AN103" s="199"/>
      <c r="AO103" s="200"/>
      <c r="AP103" s="24"/>
    </row>
    <row r="104" spans="2:42" s="59" customFormat="1" ht="28.15" customHeight="1">
      <c r="B104" s="23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98"/>
      <c r="AB104" s="199"/>
      <c r="AC104" s="199"/>
      <c r="AD104" s="199"/>
      <c r="AE104" s="199"/>
      <c r="AF104" s="199"/>
      <c r="AG104" s="199"/>
      <c r="AH104" s="199"/>
      <c r="AI104" s="199"/>
      <c r="AJ104" s="199"/>
      <c r="AK104" s="199"/>
      <c r="AL104" s="199"/>
      <c r="AM104" s="199"/>
      <c r="AN104" s="199"/>
      <c r="AO104" s="200"/>
      <c r="AP104" s="24"/>
    </row>
    <row r="105" spans="2:42" s="59" customFormat="1" ht="28.15" customHeight="1">
      <c r="B105" s="23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98"/>
      <c r="AB105" s="199"/>
      <c r="AC105" s="199"/>
      <c r="AD105" s="199"/>
      <c r="AE105" s="199"/>
      <c r="AF105" s="199"/>
      <c r="AG105" s="199"/>
      <c r="AH105" s="199"/>
      <c r="AI105" s="199"/>
      <c r="AJ105" s="199"/>
      <c r="AK105" s="199"/>
      <c r="AL105" s="199"/>
      <c r="AM105" s="199"/>
      <c r="AN105" s="199"/>
      <c r="AO105" s="200"/>
      <c r="AP105" s="24"/>
    </row>
    <row r="106" spans="2:42" s="59" customFormat="1" ht="28.15" customHeight="1">
      <c r="B106" s="23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98"/>
      <c r="AB106" s="199"/>
      <c r="AC106" s="199"/>
      <c r="AD106" s="199"/>
      <c r="AE106" s="199"/>
      <c r="AF106" s="199"/>
      <c r="AG106" s="199"/>
      <c r="AH106" s="199"/>
      <c r="AI106" s="199"/>
      <c r="AJ106" s="199"/>
      <c r="AK106" s="199"/>
      <c r="AL106" s="199"/>
      <c r="AM106" s="199"/>
      <c r="AN106" s="199"/>
      <c r="AO106" s="200"/>
      <c r="AP106" s="24"/>
    </row>
    <row r="107" spans="2:42" s="59" customFormat="1" ht="28.15" customHeight="1">
      <c r="B107" s="23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98"/>
      <c r="AB107" s="199"/>
      <c r="AC107" s="199"/>
      <c r="AD107" s="199"/>
      <c r="AE107" s="199"/>
      <c r="AF107" s="199"/>
      <c r="AG107" s="199"/>
      <c r="AH107" s="199"/>
      <c r="AI107" s="199"/>
      <c r="AJ107" s="199"/>
      <c r="AK107" s="199"/>
      <c r="AL107" s="199"/>
      <c r="AM107" s="199"/>
      <c r="AN107" s="199"/>
      <c r="AO107" s="200"/>
      <c r="AP107" s="24"/>
    </row>
    <row r="108" spans="2:42" s="59" customFormat="1" ht="28.15" customHeight="1">
      <c r="B108" s="2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98"/>
      <c r="AB108" s="199"/>
      <c r="AC108" s="199"/>
      <c r="AD108" s="199"/>
      <c r="AE108" s="199"/>
      <c r="AF108" s="199"/>
      <c r="AG108" s="199"/>
      <c r="AH108" s="199"/>
      <c r="AI108" s="199"/>
      <c r="AJ108" s="199"/>
      <c r="AK108" s="199"/>
      <c r="AL108" s="199"/>
      <c r="AM108" s="199"/>
      <c r="AN108" s="199"/>
      <c r="AO108" s="200"/>
      <c r="AP108" s="24"/>
    </row>
    <row r="109" spans="2:42" s="59" customFormat="1" ht="28.15" customHeight="1" thickBot="1">
      <c r="B109" s="23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201"/>
      <c r="AB109" s="202"/>
      <c r="AC109" s="202"/>
      <c r="AD109" s="202"/>
      <c r="AE109" s="202"/>
      <c r="AF109" s="202"/>
      <c r="AG109" s="202"/>
      <c r="AH109" s="202"/>
      <c r="AI109" s="202"/>
      <c r="AJ109" s="202"/>
      <c r="AK109" s="202"/>
      <c r="AL109" s="202"/>
      <c r="AM109" s="202"/>
      <c r="AN109" s="202"/>
      <c r="AO109" s="203"/>
      <c r="AP109" s="24"/>
    </row>
    <row r="110" spans="2:42" s="59" customFormat="1" ht="28.15" customHeight="1">
      <c r="B110" s="23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24"/>
    </row>
    <row r="111" spans="2:42" s="59" customFormat="1" ht="28.15" customHeight="1" thickBot="1">
      <c r="B111" s="34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6"/>
    </row>
  </sheetData>
  <mergeCells count="16">
    <mergeCell ref="AA94:AO95"/>
    <mergeCell ref="AA96:AO109"/>
    <mergeCell ref="EJ3:EL3"/>
    <mergeCell ref="EM3:EO3"/>
    <mergeCell ref="AH3:AJ3"/>
    <mergeCell ref="AK3:AM3"/>
    <mergeCell ref="AN3:AP3"/>
    <mergeCell ref="EG3:EI3"/>
    <mergeCell ref="AA61:AO74"/>
    <mergeCell ref="AA77:AO78"/>
    <mergeCell ref="AA79:AO92"/>
    <mergeCell ref="AA23:AO24"/>
    <mergeCell ref="AA25:AO38"/>
    <mergeCell ref="AA41:AO42"/>
    <mergeCell ref="AA43:AO56"/>
    <mergeCell ref="AA59:AO60"/>
  </mergeCells>
  <pageMargins left="0.511811024" right="0.511811024" top="0.78740157499999996" bottom="0.78740157499999996" header="0.31496062000000002" footer="0.31496062000000002"/>
  <pageSetup paperSize="9" scale="24" orientation="portrait" r:id="rId1"/>
  <drawing r:id="rId2"/>
  <legacyDrawing r:id="rId3"/>
  <webPublishItems count="1">
    <webPublishItem id="27617" divId="MSG USINA" sourceType="range" sourceRef="A3:AP111" destinationFile="\\10.46.67.9\Publicar\Usina\mesagemGrfica_USINA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C2:K26"/>
  <sheetViews>
    <sheetView workbookViewId="0">
      <selection activeCell="K18" sqref="K18"/>
    </sheetView>
  </sheetViews>
  <sheetFormatPr defaultRowHeight="15"/>
  <cols>
    <col min="7" max="7" width="12.28515625" customWidth="1"/>
    <col min="8" max="8" width="17.5703125" customWidth="1"/>
    <col min="11" max="11" width="125.85546875" bestFit="1" customWidth="1"/>
  </cols>
  <sheetData>
    <row r="2" spans="3:11">
      <c r="C2" s="3" t="s">
        <v>9</v>
      </c>
      <c r="D2" s="4" t="s">
        <v>44</v>
      </c>
      <c r="E2" s="4" t="s">
        <v>58</v>
      </c>
      <c r="F2" s="4" t="s">
        <v>45</v>
      </c>
      <c r="G2" s="8" t="s">
        <v>58</v>
      </c>
      <c r="H2" s="8" t="s">
        <v>44</v>
      </c>
    </row>
    <row r="3" spans="3:11">
      <c r="C3" s="2">
        <v>1</v>
      </c>
      <c r="D3" s="1">
        <v>8421.8355576708873</v>
      </c>
      <c r="E3" s="1">
        <v>9599.8250000000007</v>
      </c>
      <c r="F3" s="1">
        <f ca="1">'PRODUÇÃO TOTAL USINA'!K3</f>
        <v>6511</v>
      </c>
      <c r="G3" s="1">
        <f ca="1">F3-E3</f>
        <v>-3088.8250000000007</v>
      </c>
      <c r="H3" s="1">
        <f ca="1">F3-D3</f>
        <v>-1910.8355576708873</v>
      </c>
    </row>
    <row r="4" spans="3:11">
      <c r="C4" s="2">
        <v>2</v>
      </c>
      <c r="D4" s="1">
        <v>5221.3115254675004</v>
      </c>
      <c r="E4" s="1">
        <v>6399.3010000000004</v>
      </c>
      <c r="F4" s="1">
        <f ca="1">'PRODUÇÃO TOTAL USINA'!K4</f>
        <v>9333</v>
      </c>
      <c r="G4" s="1">
        <f t="shared" ref="G4:G26" ca="1" si="0">F4-E4</f>
        <v>2933.6989999999996</v>
      </c>
      <c r="H4" s="1">
        <f t="shared" ref="H4:H25" ca="1" si="1">F4-D4</f>
        <v>4111.6884745324996</v>
      </c>
    </row>
    <row r="5" spans="3:11">
      <c r="C5" s="2">
        <v>3</v>
      </c>
      <c r="D5" s="1">
        <v>6442.6145373373829</v>
      </c>
      <c r="E5" s="1">
        <v>7620.6040000000003</v>
      </c>
      <c r="F5" s="1">
        <f ca="1">'PRODUÇÃO TOTAL USINA'!K5</f>
        <v>9605</v>
      </c>
      <c r="G5" s="1">
        <f t="shared" ca="1" si="0"/>
        <v>1984.3959999999997</v>
      </c>
      <c r="H5" s="1">
        <f t="shared" ca="1" si="1"/>
        <v>3162.3854626626171</v>
      </c>
    </row>
    <row r="6" spans="3:11">
      <c r="C6" s="2">
        <v>4</v>
      </c>
      <c r="D6" s="1">
        <v>8822.2101675065915</v>
      </c>
      <c r="E6" s="1">
        <v>10000.200000000001</v>
      </c>
      <c r="F6" s="1">
        <f ca="1">'PRODUÇÃO TOTAL USINA'!K6</f>
        <v>6225</v>
      </c>
      <c r="G6" s="1">
        <f t="shared" ca="1" si="0"/>
        <v>-3775.2000000000007</v>
      </c>
      <c r="H6" s="1">
        <f t="shared" ca="1" si="1"/>
        <v>-2597.2101675065915</v>
      </c>
    </row>
    <row r="7" spans="3:11">
      <c r="C7" s="2">
        <v>5</v>
      </c>
      <c r="D7" s="1">
        <v>5957.8799967446885</v>
      </c>
      <c r="E7" s="1">
        <v>7135.8689999999997</v>
      </c>
      <c r="F7" s="1">
        <f ca="1">'PRODUÇÃO TOTAL USINA'!K7</f>
        <v>4936</v>
      </c>
      <c r="G7" s="1">
        <f t="shared" ca="1" si="0"/>
        <v>-2199.8689999999997</v>
      </c>
      <c r="H7" s="1">
        <f t="shared" ca="1" si="1"/>
        <v>-1021.8799967446885</v>
      </c>
    </row>
    <row r="8" spans="3:11">
      <c r="C8" s="2">
        <v>6</v>
      </c>
      <c r="D8" s="1">
        <v>6117.7278136277037</v>
      </c>
      <c r="E8" s="1">
        <v>7295.7169999999996</v>
      </c>
      <c r="F8" s="1">
        <f ca="1">'PRODUÇÃO TOTAL USINA'!K8</f>
        <v>7745</v>
      </c>
      <c r="G8" s="1">
        <f t="shared" ca="1" si="0"/>
        <v>449.28300000000036</v>
      </c>
      <c r="H8" s="1">
        <f t="shared" ca="1" si="1"/>
        <v>1627.2721863722963</v>
      </c>
    </row>
    <row r="9" spans="3:11">
      <c r="C9" s="2">
        <v>7</v>
      </c>
      <c r="D9" s="1">
        <v>6249.5437448150078</v>
      </c>
      <c r="E9" s="1">
        <v>7427.5330000000004</v>
      </c>
      <c r="F9" s="1">
        <f ca="1">'PRODUÇÃO TOTAL USINA'!K9</f>
        <v>7443.3</v>
      </c>
      <c r="G9" s="1">
        <f t="shared" ca="1" si="0"/>
        <v>15.766999999999825</v>
      </c>
      <c r="H9" s="1">
        <f t="shared" ca="1" si="1"/>
        <v>1193.7562551849924</v>
      </c>
    </row>
    <row r="10" spans="3:11">
      <c r="C10" s="2">
        <v>8</v>
      </c>
      <c r="D10" s="1">
        <v>7020.1657661225408</v>
      </c>
      <c r="E10" s="1">
        <v>8198.1550000000007</v>
      </c>
      <c r="F10" s="1">
        <f ca="1">'PRODUÇÃO TOTAL USINA'!K10</f>
        <v>6505.2</v>
      </c>
      <c r="G10" s="1">
        <f t="shared" ca="1" si="0"/>
        <v>-1692.9550000000008</v>
      </c>
      <c r="H10" s="1">
        <f t="shared" ca="1" si="1"/>
        <v>-514.96576612254103</v>
      </c>
      <c r="K10" s="12"/>
    </row>
    <row r="11" spans="3:11">
      <c r="C11" s="2">
        <v>9</v>
      </c>
      <c r="D11" s="1">
        <v>9080.2922828141709</v>
      </c>
      <c r="E11" s="1">
        <v>10258.280000000001</v>
      </c>
      <c r="F11" s="1">
        <f ca="1">'PRODUÇÃO TOTAL USINA'!K11</f>
        <v>6400.9000000000005</v>
      </c>
      <c r="G11" s="1">
        <f t="shared" ca="1" si="0"/>
        <v>-3857.38</v>
      </c>
      <c r="H11" s="1">
        <f t="shared" ca="1" si="1"/>
        <v>-2679.3922828141704</v>
      </c>
    </row>
    <row r="12" spans="3:11">
      <c r="C12" s="2">
        <v>10</v>
      </c>
      <c r="D12" s="1">
        <v>8942.1149068595569</v>
      </c>
      <c r="E12" s="1">
        <v>10120.1</v>
      </c>
      <c r="F12" s="1">
        <f ca="1">'PRODUÇÃO TOTAL USINA'!K12</f>
        <v>8223.4000000000015</v>
      </c>
      <c r="G12" s="1">
        <f t="shared" ca="1" si="0"/>
        <v>-1896.6999999999989</v>
      </c>
      <c r="H12" s="1">
        <f t="shared" ca="1" si="1"/>
        <v>-718.71490685955541</v>
      </c>
    </row>
    <row r="13" spans="3:11">
      <c r="C13" s="2">
        <v>11</v>
      </c>
      <c r="D13" s="1">
        <v>8421.2315035683532</v>
      </c>
      <c r="E13" s="1">
        <v>9599.2209999999995</v>
      </c>
      <c r="F13" s="1">
        <f ca="1">'PRODUÇÃO TOTAL USINA'!K13</f>
        <v>7568.6</v>
      </c>
      <c r="G13" s="1">
        <f t="shared" ca="1" si="0"/>
        <v>-2030.6209999999992</v>
      </c>
      <c r="H13" s="1">
        <f t="shared" ca="1" si="1"/>
        <v>-852.63150356835285</v>
      </c>
    </row>
    <row r="14" spans="3:11">
      <c r="C14" s="2">
        <v>12</v>
      </c>
      <c r="D14" s="1">
        <v>7973.4952767558543</v>
      </c>
      <c r="E14" s="1">
        <v>9151.4840000000004</v>
      </c>
      <c r="F14" s="1">
        <f ca="1">'PRODUÇÃO TOTAL USINA'!K14</f>
        <v>7420.1</v>
      </c>
      <c r="G14" s="1">
        <f t="shared" ca="1" si="0"/>
        <v>-1731.384</v>
      </c>
      <c r="H14" s="1">
        <f t="shared" ca="1" si="1"/>
        <v>-553.39527675585396</v>
      </c>
    </row>
    <row r="15" spans="3:11">
      <c r="C15" s="2">
        <v>13</v>
      </c>
      <c r="D15" s="1">
        <v>8625.0242564107048</v>
      </c>
      <c r="E15" s="1">
        <v>9803.0130000000008</v>
      </c>
      <c r="F15" s="1">
        <f ca="1">'PRODUÇÃO TOTAL USINA'!K15</f>
        <v>7138.3</v>
      </c>
      <c r="G15" s="1">
        <f t="shared" ca="1" si="0"/>
        <v>-2664.7130000000006</v>
      </c>
      <c r="H15" s="1">
        <f t="shared" ca="1" si="1"/>
        <v>-1486.7242564107046</v>
      </c>
    </row>
    <row r="16" spans="3:11">
      <c r="C16" s="2">
        <v>14</v>
      </c>
      <c r="D16" s="1">
        <v>8744.1172980633892</v>
      </c>
      <c r="E16" s="1">
        <v>9922.1059999999998</v>
      </c>
      <c r="F16" s="1">
        <f ca="1">'PRODUÇÃO TOTAL USINA'!K16</f>
        <v>8458.2999999999993</v>
      </c>
      <c r="G16" s="1">
        <f t="shared" ca="1" si="0"/>
        <v>-1463.8060000000005</v>
      </c>
      <c r="H16" s="1">
        <f t="shared" ca="1" si="1"/>
        <v>-285.8172980633899</v>
      </c>
    </row>
    <row r="17" spans="3:8">
      <c r="C17" s="2">
        <v>15</v>
      </c>
      <c r="D17" s="1">
        <v>9989.1105567670202</v>
      </c>
      <c r="E17" s="1">
        <v>11167.1</v>
      </c>
      <c r="F17" s="1">
        <f ca="1">'PRODUÇÃO TOTAL USINA'!K17</f>
        <v>8598.6</v>
      </c>
      <c r="G17" s="1">
        <f t="shared" ca="1" si="0"/>
        <v>-2568.5</v>
      </c>
      <c r="H17" s="1">
        <f t="shared" ca="1" si="1"/>
        <v>-1390.5105567670198</v>
      </c>
    </row>
    <row r="18" spans="3:8">
      <c r="C18" s="2">
        <v>16</v>
      </c>
      <c r="D18" s="1">
        <v>6646.6526871588885</v>
      </c>
      <c r="E18" s="1">
        <v>7824.6419999999998</v>
      </c>
      <c r="F18" s="1">
        <f ca="1">'PRODUÇÃO TOTAL USINA'!K18</f>
        <v>6868.7999999999993</v>
      </c>
      <c r="G18" s="1">
        <f t="shared" ca="1" si="0"/>
        <v>-955.84200000000055</v>
      </c>
      <c r="H18" s="1">
        <f t="shared" ca="1" si="1"/>
        <v>222.14731284111076</v>
      </c>
    </row>
    <row r="19" spans="3:8">
      <c r="C19" s="2">
        <v>17</v>
      </c>
      <c r="D19" s="1">
        <v>8218.0428048285357</v>
      </c>
      <c r="E19" s="1">
        <v>9396.0319999999992</v>
      </c>
      <c r="F19" s="1">
        <f ca="1">'PRODUÇÃO TOTAL USINA'!K19</f>
        <v>7808.7999999999993</v>
      </c>
      <c r="G19" s="1">
        <f t="shared" ca="1" si="0"/>
        <v>-1587.232</v>
      </c>
      <c r="H19" s="1">
        <f t="shared" ca="1" si="1"/>
        <v>-409.24280482853646</v>
      </c>
    </row>
    <row r="20" spans="3:8">
      <c r="C20" s="2">
        <v>18</v>
      </c>
      <c r="D20" s="1">
        <v>6624.1516718395033</v>
      </c>
      <c r="E20" s="1">
        <v>7802.1409999999996</v>
      </c>
      <c r="F20" s="1">
        <f ca="1">'PRODUÇÃO TOTAL USINA'!K20</f>
        <v>8739.2000000000007</v>
      </c>
      <c r="G20" s="1">
        <f t="shared" ca="1" si="0"/>
        <v>937.05900000000111</v>
      </c>
      <c r="H20" s="1">
        <f t="shared" ca="1" si="1"/>
        <v>2115.0483281604975</v>
      </c>
    </row>
    <row r="21" spans="3:8">
      <c r="C21" s="2">
        <v>19</v>
      </c>
      <c r="D21" s="1">
        <v>7260.9568327450907</v>
      </c>
      <c r="E21" s="1">
        <v>8438.9459999999999</v>
      </c>
      <c r="F21" s="1">
        <f ca="1">'PRODUÇÃO TOTAL USINA'!K21</f>
        <v>8760</v>
      </c>
      <c r="G21" s="1">
        <f t="shared" ca="1" si="0"/>
        <v>321.05400000000009</v>
      </c>
      <c r="H21" s="1">
        <f t="shared" ca="1" si="1"/>
        <v>1499.0431672549093</v>
      </c>
    </row>
    <row r="22" spans="3:8">
      <c r="C22" s="2">
        <v>20</v>
      </c>
      <c r="D22" s="1">
        <v>9536.7684174227034</v>
      </c>
      <c r="E22" s="1">
        <v>10714.76</v>
      </c>
      <c r="F22" s="1">
        <f ca="1">'PRODUÇÃO TOTAL USINA'!K22</f>
        <v>6563</v>
      </c>
      <c r="G22" s="1">
        <f t="shared" ca="1" si="0"/>
        <v>-4151.76</v>
      </c>
      <c r="H22" s="1">
        <f t="shared" ca="1" si="1"/>
        <v>-2973.7684174227034</v>
      </c>
    </row>
    <row r="23" spans="3:8">
      <c r="C23" s="2">
        <v>21</v>
      </c>
      <c r="D23" s="1">
        <v>9548.9061295454921</v>
      </c>
      <c r="E23" s="1">
        <v>10726.9</v>
      </c>
      <c r="F23" s="1">
        <f ca="1">'PRODUÇÃO TOTAL USINA'!K23</f>
        <v>7585</v>
      </c>
      <c r="G23" s="1">
        <f t="shared" ca="1" si="0"/>
        <v>-3141.8999999999996</v>
      </c>
      <c r="H23" s="1">
        <f t="shared" ca="1" si="1"/>
        <v>-1963.9061295454921</v>
      </c>
    </row>
    <row r="24" spans="3:8">
      <c r="C24" s="2">
        <v>22</v>
      </c>
      <c r="D24" s="1">
        <v>7375.4439618659553</v>
      </c>
      <c r="E24" s="1">
        <v>8553.4330000000009</v>
      </c>
      <c r="F24" s="1">
        <f ca="1">'PRODUÇÃO TOTAL USINA'!K24</f>
        <v>8142</v>
      </c>
      <c r="G24" s="1">
        <f t="shared" ca="1" si="0"/>
        <v>-411.4330000000009</v>
      </c>
      <c r="H24" s="1">
        <f t="shared" ca="1" si="1"/>
        <v>766.55603813404468</v>
      </c>
    </row>
    <row r="25" spans="3:8">
      <c r="C25" s="2">
        <v>23</v>
      </c>
      <c r="D25" s="1">
        <v>5334.3829027855509</v>
      </c>
      <c r="E25" s="1">
        <v>6512.3720000000003</v>
      </c>
      <c r="F25" s="1">
        <f ca="1">'PRODUÇÃO TOTAL USINA'!K25</f>
        <v>7501</v>
      </c>
      <c r="G25" s="1">
        <f t="shared" ca="1" si="0"/>
        <v>988.6279999999997</v>
      </c>
      <c r="H25" s="1">
        <f t="shared" ca="1" si="1"/>
        <v>2166.6170972144491</v>
      </c>
    </row>
    <row r="26" spans="3:8">
      <c r="C26" s="2">
        <v>24</v>
      </c>
      <c r="D26" s="1">
        <v>5154.2803967769487</v>
      </c>
      <c r="E26" s="1">
        <v>6332.27</v>
      </c>
      <c r="F26" s="1">
        <f ca="1">'PRODUÇÃO TOTAL USINA'!K26</f>
        <v>5412</v>
      </c>
      <c r="G26" s="1">
        <f t="shared" ca="1" si="0"/>
        <v>-920.27000000000044</v>
      </c>
      <c r="H26" s="1">
        <f ca="1">D26-F26</f>
        <v>-257.71960322305131</v>
      </c>
    </row>
  </sheetData>
  <conditionalFormatting sqref="G3:H26">
    <cfRule type="cellIs" dxfId="1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C2:AA16"/>
  <sheetViews>
    <sheetView showGridLines="0" zoomScale="85" zoomScaleNormal="85" workbookViewId="0">
      <selection activeCell="L19" sqref="L19"/>
    </sheetView>
  </sheetViews>
  <sheetFormatPr defaultColWidth="9.140625" defaultRowHeight="29.25" customHeight="1"/>
  <cols>
    <col min="1" max="1" width="0.7109375" style="104" customWidth="1"/>
    <col min="2" max="2" width="4.28515625" style="104" customWidth="1"/>
    <col min="3" max="3" width="6.7109375" style="104" customWidth="1"/>
    <col min="4" max="4" width="6.28515625" style="104" customWidth="1"/>
    <col min="5" max="5" width="9.28515625" style="104" customWidth="1"/>
    <col min="6" max="6" width="6.5703125" style="104" customWidth="1"/>
    <col min="7" max="7" width="7.42578125" style="104" customWidth="1"/>
    <col min="8" max="8" width="5.42578125" style="104" customWidth="1"/>
    <col min="9" max="9" width="4" style="104" customWidth="1"/>
    <col min="10" max="10" width="9.28515625" style="104" customWidth="1"/>
    <col min="11" max="13" width="10.85546875" style="104" customWidth="1"/>
    <col min="14" max="14" width="36.7109375" style="104" bestFit="1" customWidth="1"/>
    <col min="15" max="15" width="8.85546875" style="105" customWidth="1"/>
    <col min="16" max="20" width="18.7109375" style="104" customWidth="1"/>
    <col min="21" max="21" width="11.42578125" style="104" customWidth="1"/>
    <col min="22" max="22" width="9.140625" style="104"/>
    <col min="23" max="23" width="11" style="104" customWidth="1"/>
    <col min="24" max="24" width="10.5703125" style="104" customWidth="1"/>
    <col min="25" max="25" width="19.42578125" style="104" bestFit="1" customWidth="1"/>
    <col min="26" max="16384" width="9.140625" style="104"/>
  </cols>
  <sheetData>
    <row r="2" spans="3:27" ht="29.25" customHeight="1">
      <c r="N2" s="113"/>
      <c r="O2" s="112"/>
      <c r="P2" s="111"/>
      <c r="Q2" s="111"/>
      <c r="R2" s="111"/>
      <c r="S2" s="111"/>
      <c r="T2" s="111"/>
      <c r="U2" s="110"/>
    </row>
    <row r="3" spans="3:27" ht="8.25" customHeight="1">
      <c r="N3" s="109"/>
      <c r="U3" s="108"/>
    </row>
    <row r="4" spans="3:27" ht="15" customHeight="1">
      <c r="N4" s="109"/>
      <c r="U4" s="108"/>
      <c r="W4" s="234" t="s">
        <v>81</v>
      </c>
      <c r="X4" s="235"/>
      <c r="Y4" s="236"/>
    </row>
    <row r="5" spans="3:27" ht="29.25" customHeight="1">
      <c r="N5" s="239" t="s">
        <v>76</v>
      </c>
      <c r="O5" s="240"/>
      <c r="P5" s="240"/>
      <c r="Q5" s="240"/>
      <c r="R5" s="240"/>
      <c r="S5" s="240"/>
      <c r="T5" s="240"/>
      <c r="U5" s="241"/>
      <c r="W5" s="122" t="s">
        <v>78</v>
      </c>
      <c r="X5" s="122" t="s">
        <v>79</v>
      </c>
      <c r="Y5" s="122" t="s">
        <v>80</v>
      </c>
    </row>
    <row r="6" spans="3:27" ht="54.75" customHeight="1">
      <c r="C6" s="104" t="s">
        <v>75</v>
      </c>
      <c r="D6" s="105" t="s">
        <v>67</v>
      </c>
      <c r="E6" s="114">
        <f>[2]INFORME!$AI$78/1000</f>
        <v>0</v>
      </c>
      <c r="F6" s="114" t="str">
        <f>LEFT(E6,4)</f>
        <v>0</v>
      </c>
      <c r="G6" s="107" t="s">
        <v>64</v>
      </c>
      <c r="H6" s="105" t="s">
        <v>70</v>
      </c>
      <c r="I6" s="114">
        <f>[2]INFORME!$AJ$78/1000</f>
        <v>0</v>
      </c>
      <c r="J6" s="114" t="str">
        <f>LEFT(I6,4)</f>
        <v>0</v>
      </c>
      <c r="K6" s="107" t="s">
        <v>64</v>
      </c>
      <c r="L6" s="107"/>
      <c r="M6" s="107"/>
      <c r="N6" s="118" t="str">
        <f>_xlfn.CONCAT(C6,D6,F6,G6,H6,J6,K6)</f>
        <v>BRIT -&gt; Prog: 0Kt / Real: 0Kt</v>
      </c>
      <c r="O6" s="115">
        <f>I6-E6</f>
        <v>0</v>
      </c>
      <c r="P6" s="237" t="s">
        <v>88</v>
      </c>
      <c r="Q6" s="238"/>
      <c r="R6" s="238"/>
      <c r="S6" s="238"/>
      <c r="T6" s="238"/>
      <c r="U6" s="238"/>
      <c r="V6" s="123"/>
      <c r="W6" s="119">
        <v>6200</v>
      </c>
      <c r="X6" s="119">
        <v>18020</v>
      </c>
      <c r="Y6" s="119">
        <v>972</v>
      </c>
    </row>
    <row r="7" spans="3:27" ht="39.75" customHeight="1">
      <c r="C7" s="104" t="s">
        <v>74</v>
      </c>
      <c r="D7" s="105" t="s">
        <v>67</v>
      </c>
      <c r="E7" s="114">
        <f>[2]INFORME!$AI$74/1000</f>
        <v>0</v>
      </c>
      <c r="F7" s="114" t="str">
        <f t="shared" ref="F7:F12" si="0">LEFT(E7,4)</f>
        <v>0</v>
      </c>
      <c r="G7" s="107" t="s">
        <v>64</v>
      </c>
      <c r="H7" s="105" t="s">
        <v>70</v>
      </c>
      <c r="I7" s="114">
        <f>[2]INFORME!$AJ$74/1000</f>
        <v>1.9470000000000001</v>
      </c>
      <c r="J7" s="114" t="str">
        <f t="shared" ref="J7:J12" si="1">LEFT(I7,4)</f>
        <v>1,94</v>
      </c>
      <c r="K7" s="107" t="s">
        <v>64</v>
      </c>
      <c r="L7" s="124">
        <f>SUM([2]Usina!$O$13:$AE$13)/1000</f>
        <v>0</v>
      </c>
      <c r="M7" s="114" t="str">
        <f t="shared" ref="M7:M9" si="2">LEFT(L7,4)</f>
        <v>0</v>
      </c>
      <c r="N7" s="118" t="str">
        <f>_xlfn.CONCAT(C7,D7,M7,G7,H7,J7,K7)</f>
        <v>BSM2 -&gt; Prog: 0Kt / Real: 1,94Kt</v>
      </c>
      <c r="O7" s="116">
        <f>I7-L7</f>
        <v>1.9470000000000001</v>
      </c>
      <c r="P7" s="237" t="s">
        <v>86</v>
      </c>
      <c r="Q7" s="238"/>
      <c r="R7" s="238"/>
      <c r="S7" s="238"/>
      <c r="T7" s="238"/>
      <c r="U7" s="238"/>
      <c r="V7" s="123"/>
    </row>
    <row r="8" spans="3:27" ht="29.25" customHeight="1">
      <c r="C8" s="104" t="s">
        <v>73</v>
      </c>
      <c r="D8" s="105" t="s">
        <v>67</v>
      </c>
      <c r="E8" s="114">
        <f>[2]INFORME!$AI$80/1000</f>
        <v>0</v>
      </c>
      <c r="F8" s="114" t="str">
        <f t="shared" si="0"/>
        <v>0</v>
      </c>
      <c r="G8" s="107" t="s">
        <v>64</v>
      </c>
      <c r="H8" s="105" t="s">
        <v>70</v>
      </c>
      <c r="I8" s="114">
        <f>[2]INFORME!$AJ$80/1000</f>
        <v>0</v>
      </c>
      <c r="J8" s="114" t="str">
        <f t="shared" si="1"/>
        <v>0</v>
      </c>
      <c r="K8" s="107" t="s">
        <v>64</v>
      </c>
      <c r="L8" s="114"/>
      <c r="M8" s="114"/>
      <c r="N8" s="118" t="str">
        <f>_xlfn.CONCAT(C8,D8,F8,G8,H8,J8,K8)</f>
        <v>BSM3 -&gt; Prog: 0Kt / Real: 0Kt</v>
      </c>
      <c r="O8" s="116">
        <f>I8-E8</f>
        <v>0</v>
      </c>
      <c r="P8" s="237" t="s">
        <v>84</v>
      </c>
      <c r="Q8" s="238"/>
      <c r="R8" s="238"/>
      <c r="S8" s="238"/>
      <c r="T8" s="238"/>
      <c r="U8" s="238"/>
      <c r="V8" s="123"/>
    </row>
    <row r="9" spans="3:27" ht="39.75" customHeight="1">
      <c r="C9" s="104" t="s">
        <v>72</v>
      </c>
      <c r="D9" s="105" t="s">
        <v>85</v>
      </c>
      <c r="E9" s="114">
        <f>[2]INFORME!$AI$75/1000</f>
        <v>0</v>
      </c>
      <c r="F9" s="114" t="str">
        <f t="shared" si="0"/>
        <v>0</v>
      </c>
      <c r="G9" s="107" t="s">
        <v>64</v>
      </c>
      <c r="H9" s="105" t="s">
        <v>70</v>
      </c>
      <c r="I9" s="114">
        <f>[2]INFORME!$AJ$75/1000</f>
        <v>0</v>
      </c>
      <c r="J9" s="114" t="str">
        <f t="shared" si="1"/>
        <v>0</v>
      </c>
      <c r="K9" s="107" t="s">
        <v>64</v>
      </c>
      <c r="L9" s="124">
        <f>SUM([2]Usina!$O$37:$AE$37)/1000</f>
        <v>0</v>
      </c>
      <c r="M9" s="114" t="str">
        <f t="shared" si="2"/>
        <v>0</v>
      </c>
      <c r="N9" s="118" t="str">
        <f>_xlfn.CONCAT(C9,D9,M9,G9,H9,J9,K9)</f>
        <v>BSM6 -&gt; Prog:0Kt / Real: 0Kt</v>
      </c>
      <c r="O9" s="116">
        <f>I9-L9</f>
        <v>0</v>
      </c>
      <c r="P9" s="237" t="s">
        <v>86</v>
      </c>
      <c r="Q9" s="238"/>
      <c r="R9" s="238"/>
      <c r="S9" s="238"/>
      <c r="T9" s="238"/>
      <c r="U9" s="238"/>
      <c r="V9" s="123"/>
    </row>
    <row r="10" spans="3:27" ht="42.75" customHeight="1">
      <c r="C10" s="104" t="s">
        <v>71</v>
      </c>
      <c r="D10" s="105" t="s">
        <v>67</v>
      </c>
      <c r="E10" s="114">
        <f>[2]INFORME!$AI$81/1000</f>
        <v>0</v>
      </c>
      <c r="F10" s="114" t="str">
        <f t="shared" si="0"/>
        <v>0</v>
      </c>
      <c r="G10" s="107" t="s">
        <v>64</v>
      </c>
      <c r="H10" s="105" t="s">
        <v>70</v>
      </c>
      <c r="I10" s="114">
        <f>[2]INFORME!$AJ$81/1000</f>
        <v>0</v>
      </c>
      <c r="J10" s="114" t="str">
        <f t="shared" si="1"/>
        <v>0</v>
      </c>
      <c r="K10" s="107" t="s">
        <v>64</v>
      </c>
      <c r="L10" s="107"/>
      <c r="M10" s="107"/>
      <c r="N10" s="118" t="str">
        <f>_xlfn.CONCAT(C10,D10,F10,G10,H10,J10,K10)</f>
        <v>BSM7 -&gt; Prog: 0Kt / Real: 0Kt</v>
      </c>
      <c r="O10" s="116">
        <f>I10-E10</f>
        <v>0</v>
      </c>
      <c r="P10" s="237" t="s">
        <v>87</v>
      </c>
      <c r="Q10" s="238"/>
      <c r="R10" s="238"/>
      <c r="S10" s="238"/>
      <c r="T10" s="238"/>
      <c r="U10" s="238"/>
      <c r="V10" s="123"/>
    </row>
    <row r="11" spans="3:27" ht="29.25" customHeight="1">
      <c r="D11" s="105"/>
      <c r="E11" s="117"/>
      <c r="F11" s="117" t="str">
        <f t="shared" si="0"/>
        <v/>
      </c>
      <c r="G11" s="105"/>
      <c r="H11" s="105"/>
      <c r="I11" s="117"/>
      <c r="J11" s="117" t="str">
        <f t="shared" si="1"/>
        <v/>
      </c>
      <c r="K11" s="105"/>
      <c r="L11" s="105"/>
      <c r="M11" s="105"/>
      <c r="N11" s="239" t="s">
        <v>69</v>
      </c>
      <c r="O11" s="240"/>
      <c r="P11" s="240"/>
      <c r="Q11" s="240"/>
      <c r="R11" s="240"/>
      <c r="S11" s="240"/>
      <c r="T11" s="240"/>
      <c r="U11" s="241"/>
      <c r="V11" s="123"/>
    </row>
    <row r="12" spans="3:27" ht="29.25" customHeight="1">
      <c r="C12" s="104" t="s">
        <v>68</v>
      </c>
      <c r="D12" s="105" t="s">
        <v>67</v>
      </c>
      <c r="E12" s="114">
        <f>[2]INFORME!$AI$85/1000</f>
        <v>76.724040000000002</v>
      </c>
      <c r="F12" s="114" t="str">
        <f t="shared" si="0"/>
        <v>76,7</v>
      </c>
      <c r="G12" s="107" t="s">
        <v>66</v>
      </c>
      <c r="H12" s="105" t="s">
        <v>65</v>
      </c>
      <c r="I12" s="114">
        <f>[2]INFORME!$AJ$85/1000</f>
        <v>53.984999999999999</v>
      </c>
      <c r="J12" s="114" t="str">
        <f t="shared" si="1"/>
        <v>53,9</v>
      </c>
      <c r="K12" s="107" t="s">
        <v>64</v>
      </c>
      <c r="L12" s="107"/>
      <c r="M12" s="107"/>
      <c r="N12" s="120" t="str">
        <f>_xlfn.CONCAT(C12,D12,F12,G12,H12,J12,K12)</f>
        <v>BSM5 -&gt; Prog: 76,7Kt   / Real: 53,9Kt</v>
      </c>
      <c r="O12" s="119">
        <f>I12-E12</f>
        <v>-22.739040000000003</v>
      </c>
      <c r="P12" s="237" t="s">
        <v>89</v>
      </c>
      <c r="Q12" s="238"/>
      <c r="R12" s="238"/>
      <c r="S12" s="238"/>
      <c r="T12" s="238"/>
      <c r="U12" s="238"/>
      <c r="V12" s="123"/>
    </row>
    <row r="13" spans="3:27" ht="29.25" customHeight="1">
      <c r="E13" s="106"/>
      <c r="F13" s="106"/>
      <c r="G13" s="106"/>
      <c r="I13" s="106"/>
      <c r="J13" s="106"/>
      <c r="K13" s="106"/>
      <c r="L13" s="106"/>
      <c r="M13" s="106"/>
    </row>
    <row r="14" spans="3:27" ht="14.25" customHeight="1">
      <c r="E14" s="106"/>
      <c r="F14" s="106"/>
      <c r="G14" s="106"/>
      <c r="I14" s="106"/>
      <c r="J14" s="106"/>
      <c r="K14" s="106"/>
      <c r="L14" s="106"/>
      <c r="M14" s="106"/>
    </row>
    <row r="15" spans="3:27" ht="15" hidden="1">
      <c r="E15" s="106"/>
      <c r="F15" s="106"/>
      <c r="G15" s="106"/>
      <c r="I15" s="106"/>
      <c r="J15" s="106"/>
      <c r="K15" s="106"/>
      <c r="L15" s="106"/>
      <c r="M15" s="106"/>
    </row>
    <row r="16" spans="3:27" ht="65.25" customHeight="1">
      <c r="E16" s="106"/>
      <c r="F16" s="106"/>
      <c r="G16" s="106"/>
      <c r="I16" s="106"/>
      <c r="J16" s="106"/>
      <c r="K16" s="106"/>
      <c r="L16" s="106"/>
      <c r="M16" s="106"/>
      <c r="AA16" s="104" t="s">
        <v>83</v>
      </c>
    </row>
  </sheetData>
  <mergeCells count="9">
    <mergeCell ref="W4:Y4"/>
    <mergeCell ref="P12:U12"/>
    <mergeCell ref="N5:U5"/>
    <mergeCell ref="P6:U6"/>
    <mergeCell ref="P7:U7"/>
    <mergeCell ref="P8:U8"/>
    <mergeCell ref="P9:U9"/>
    <mergeCell ref="P10:U10"/>
    <mergeCell ref="N11:U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55CB-CF2C-4CED-AB9B-BB342EBD60D9}">
  <sheetPr codeName="Planilha8"/>
  <dimension ref="A1:AC61"/>
  <sheetViews>
    <sheetView showGridLines="0" topLeftCell="A40" zoomScale="90" zoomScaleNormal="90" workbookViewId="0">
      <selection activeCell="C17" sqref="C17:H17"/>
    </sheetView>
  </sheetViews>
  <sheetFormatPr defaultRowHeight="43.5" customHeight="1"/>
  <cols>
    <col min="1" max="1" width="48.85546875" bestFit="1" customWidth="1"/>
    <col min="2" max="2" width="22.5703125" customWidth="1"/>
    <col min="8" max="8" width="76.28515625" customWidth="1"/>
    <col min="15" max="15" width="167.42578125" customWidth="1"/>
    <col min="16" max="16" width="17.28515625" customWidth="1"/>
    <col min="17" max="17" width="16.5703125" customWidth="1"/>
    <col min="18" max="18" width="12.28515625" bestFit="1" customWidth="1"/>
    <col min="19" max="19" width="12.85546875" customWidth="1"/>
    <col min="20" max="20" width="10.7109375" bestFit="1" customWidth="1"/>
    <col min="21" max="21" width="14.5703125" bestFit="1" customWidth="1"/>
    <col min="22" max="22" width="12.85546875" bestFit="1" customWidth="1"/>
    <col min="25" max="25" width="12.28515625" bestFit="1" customWidth="1"/>
  </cols>
  <sheetData>
    <row r="1" spans="1:29" ht="43.5" customHeight="1">
      <c r="A1" s="178"/>
      <c r="B1" s="178"/>
      <c r="C1" s="178"/>
      <c r="D1" s="178"/>
      <c r="E1" s="178"/>
      <c r="F1" s="178"/>
      <c r="G1" s="178"/>
      <c r="H1" s="178"/>
    </row>
    <row r="2" spans="1:29" ht="30" customHeight="1" thickBot="1">
      <c r="A2" s="179"/>
      <c r="B2" s="179"/>
      <c r="C2" s="179"/>
      <c r="D2" s="179"/>
      <c r="E2" s="179"/>
      <c r="F2" s="179"/>
      <c r="G2" s="179"/>
      <c r="H2" s="179"/>
    </row>
    <row r="3" spans="1:29" s="170" customFormat="1" ht="18.600000000000001" customHeight="1" thickTop="1">
      <c r="A3" s="181">
        <f ca="1">NOW()</f>
        <v>45836.484720949076</v>
      </c>
      <c r="B3" s="182">
        <f ca="1" xml:space="preserve"> NOW()</f>
        <v>45836.484720949076</v>
      </c>
      <c r="C3" s="169"/>
      <c r="D3" s="169"/>
      <c r="E3" s="169"/>
      <c r="F3" s="169"/>
      <c r="G3" s="169"/>
      <c r="H3" s="180"/>
    </row>
    <row r="4" spans="1:29" ht="23.45" customHeight="1">
      <c r="A4" s="104"/>
      <c r="B4" s="105"/>
      <c r="C4" s="104"/>
      <c r="D4" s="104"/>
      <c r="E4" s="104"/>
      <c r="F4" s="104"/>
      <c r="G4" s="104"/>
      <c r="H4" s="104"/>
    </row>
    <row r="5" spans="1:29" ht="17.45" customHeight="1">
      <c r="A5" s="104"/>
      <c r="B5" s="105"/>
      <c r="C5" s="104"/>
      <c r="D5" s="104"/>
      <c r="E5" s="104"/>
      <c r="F5" s="104"/>
      <c r="G5" s="104"/>
      <c r="H5" s="104"/>
    </row>
    <row r="6" spans="1:29" ht="43.5" customHeight="1">
      <c r="A6" s="104"/>
      <c r="B6" s="105"/>
      <c r="C6" s="104"/>
      <c r="D6" s="104"/>
      <c r="E6" s="104"/>
      <c r="F6" s="104"/>
      <c r="G6" s="104"/>
      <c r="H6" s="104"/>
      <c r="P6" s="127" t="s">
        <v>90</v>
      </c>
      <c r="Q6" s="127"/>
      <c r="R6" s="127"/>
      <c r="S6" s="128" t="s">
        <v>91</v>
      </c>
      <c r="T6" s="128" t="s">
        <v>92</v>
      </c>
      <c r="U6" s="125"/>
      <c r="V6" s="126"/>
      <c r="W6" s="126"/>
      <c r="X6" s="126"/>
      <c r="Y6" s="126"/>
      <c r="Z6" s="126"/>
      <c r="AA6" s="126"/>
      <c r="AB6" s="126"/>
    </row>
    <row r="7" spans="1:29" ht="43.5" customHeight="1">
      <c r="A7" s="104"/>
      <c r="B7" s="105"/>
      <c r="C7" s="104"/>
      <c r="D7" s="104"/>
      <c r="E7" s="104"/>
      <c r="F7" s="104"/>
      <c r="G7" s="104"/>
      <c r="H7" s="104"/>
      <c r="P7" s="129" t="s">
        <v>93</v>
      </c>
      <c r="Q7" s="130" t="s">
        <v>94</v>
      </c>
      <c r="R7" s="131" t="s">
        <v>95</v>
      </c>
      <c r="S7" s="132" t="s">
        <v>96</v>
      </c>
      <c r="T7" s="133" t="s">
        <v>97</v>
      </c>
      <c r="U7" s="125"/>
      <c r="V7" s="126"/>
      <c r="W7" s="126"/>
      <c r="X7" s="126"/>
      <c r="Y7" s="126"/>
      <c r="Z7" s="126"/>
      <c r="AA7" s="126"/>
      <c r="AB7" s="126"/>
    </row>
    <row r="8" spans="1:29" ht="43.5" customHeight="1">
      <c r="A8" s="104"/>
      <c r="B8" s="105"/>
      <c r="C8" s="104"/>
      <c r="D8" s="104"/>
      <c r="E8" s="104"/>
      <c r="F8" s="104"/>
      <c r="G8" s="104"/>
      <c r="H8" s="104"/>
      <c r="P8" s="134" t="s">
        <v>44</v>
      </c>
      <c r="Q8" s="163">
        <v>328935</v>
      </c>
      <c r="R8" s="125"/>
      <c r="S8" s="125"/>
      <c r="T8" s="125"/>
      <c r="U8" s="125"/>
      <c r="V8" s="126"/>
      <c r="W8" s="126"/>
      <c r="X8" s="126"/>
      <c r="Y8" s="126"/>
      <c r="Z8" s="126"/>
      <c r="AA8" s="126"/>
      <c r="AB8" s="126"/>
    </row>
    <row r="9" spans="1:29" ht="43.5" customHeight="1">
      <c r="A9" s="104"/>
      <c r="B9" s="105"/>
      <c r="C9" s="104"/>
      <c r="D9" s="104"/>
      <c r="E9" s="104"/>
      <c r="F9" s="104"/>
      <c r="G9" s="104"/>
      <c r="H9" s="104"/>
      <c r="P9" s="134" t="s">
        <v>129</v>
      </c>
      <c r="Q9" s="135"/>
      <c r="R9" s="136">
        <f>Q33</f>
        <v>328634.88</v>
      </c>
      <c r="S9" s="137"/>
      <c r="T9" s="138"/>
      <c r="U9" s="125"/>
      <c r="V9" s="126"/>
      <c r="W9" s="126"/>
      <c r="X9" s="126"/>
      <c r="Y9" s="126"/>
      <c r="Z9" s="126"/>
      <c r="AA9" s="126"/>
      <c r="AB9" s="126"/>
      <c r="AC9" s="126"/>
    </row>
    <row r="10" spans="1:29" ht="43.5" customHeight="1">
      <c r="A10" s="104"/>
      <c r="B10" s="105"/>
      <c r="C10" s="104"/>
      <c r="D10" s="104"/>
      <c r="E10" s="104"/>
      <c r="F10" s="104"/>
      <c r="G10" s="104"/>
      <c r="H10" s="104"/>
      <c r="O10" s="5" t="s">
        <v>121</v>
      </c>
      <c r="P10" s="139" t="str">
        <f>IF(OR(S10=ABS(U36),T10=ABS(U36)),V36,IF(S23=0,T23,V36))</f>
        <v>BSM 5</v>
      </c>
      <c r="Q10" s="140">
        <f>R9-T10+S10</f>
        <v>281379.76</v>
      </c>
      <c r="R10" s="135"/>
      <c r="S10" s="136">
        <f>ABS(S36)</f>
        <v>0</v>
      </c>
      <c r="T10" s="136">
        <f>ABS(T36)</f>
        <v>47255.119999999995</v>
      </c>
      <c r="W10" s="126"/>
      <c r="X10" s="126"/>
      <c r="Y10" s="126"/>
      <c r="Z10" s="126"/>
      <c r="AA10" s="126"/>
      <c r="AB10" s="126"/>
      <c r="AC10" s="126"/>
    </row>
    <row r="11" spans="1:29" ht="43.5" customHeight="1">
      <c r="A11" s="104"/>
      <c r="B11" s="105"/>
      <c r="C11" s="104"/>
      <c r="D11" s="104"/>
      <c r="E11" s="104"/>
      <c r="F11" s="104"/>
      <c r="G11" s="104"/>
      <c r="H11" s="104"/>
      <c r="O11" s="5" t="s">
        <v>98</v>
      </c>
      <c r="P11" s="139" t="str">
        <f t="shared" ref="P11:P17" si="0">IF(OR(S11=ABS(U37),T11=ABS(U37)),V37,IF(S24=0,T24,V37))</f>
        <v>REP 06</v>
      </c>
      <c r="Q11" s="140">
        <f>IF(AND(T11&lt;&gt;0,S11=0),Q10+S11-T11,Q10+S10)</f>
        <v>276359.67999999999</v>
      </c>
      <c r="R11" s="135"/>
      <c r="S11" s="136">
        <f t="shared" ref="S11:T17" si="1">ABS(S37)</f>
        <v>0</v>
      </c>
      <c r="T11" s="136">
        <f t="shared" si="1"/>
        <v>5020.0799999999981</v>
      </c>
      <c r="W11" s="126"/>
      <c r="X11" s="126"/>
      <c r="Y11" s="126"/>
      <c r="Z11" s="126"/>
      <c r="AA11" s="126"/>
      <c r="AB11" s="126"/>
      <c r="AC11" s="126"/>
    </row>
    <row r="12" spans="1:29" ht="25.15" customHeight="1">
      <c r="A12" s="104"/>
      <c r="B12" s="105"/>
      <c r="C12" s="104"/>
      <c r="D12" s="104"/>
      <c r="E12" s="104"/>
      <c r="F12" s="104"/>
      <c r="G12" s="104"/>
      <c r="H12" s="104"/>
      <c r="O12" s="5" t="s">
        <v>99</v>
      </c>
      <c r="P12" s="139" t="str">
        <f t="shared" si="0"/>
        <v/>
      </c>
      <c r="Q12" s="140">
        <f t="shared" ref="Q12:Q13" si="2">IF(AND(T12&lt;&gt;0,S12=0),Q11+S12-T12,Q11+S11)</f>
        <v>276359.67999999999</v>
      </c>
      <c r="R12" s="135"/>
      <c r="S12" s="136">
        <f t="shared" si="1"/>
        <v>0</v>
      </c>
      <c r="T12" s="136">
        <f t="shared" si="1"/>
        <v>0</v>
      </c>
      <c r="W12" s="126"/>
      <c r="X12" s="139" t="s">
        <v>100</v>
      </c>
      <c r="Y12" s="140">
        <f>IF(AND(AB12&lt;&gt;0,AA12=0),Q12+AA12-AB12,Q12+S12)</f>
        <v>276359.67999999999</v>
      </c>
      <c r="Z12" s="135"/>
      <c r="AA12" s="136">
        <v>0</v>
      </c>
      <c r="AB12" s="136">
        <v>0</v>
      </c>
      <c r="AC12" s="126"/>
    </row>
    <row r="13" spans="1:29" ht="18" customHeight="1">
      <c r="A13" s="104"/>
      <c r="B13" s="105"/>
      <c r="C13" s="104"/>
      <c r="D13" s="104"/>
      <c r="E13" s="104"/>
      <c r="F13" s="104"/>
      <c r="G13" s="104"/>
      <c r="H13" s="104"/>
      <c r="O13" s="5" t="s">
        <v>102</v>
      </c>
      <c r="P13" s="139" t="str">
        <f t="shared" si="0"/>
        <v/>
      </c>
      <c r="Q13" s="140">
        <f t="shared" si="2"/>
        <v>276359.67999999999</v>
      </c>
      <c r="R13" s="135"/>
      <c r="S13" s="136">
        <f t="shared" si="1"/>
        <v>0</v>
      </c>
      <c r="T13" s="136">
        <f t="shared" si="1"/>
        <v>0</v>
      </c>
      <c r="W13" s="126"/>
      <c r="X13" s="139" t="s">
        <v>101</v>
      </c>
      <c r="Y13" s="140">
        <f>IF(AND(AB13&lt;&gt;0,AA13=0),Y12+AA13-AB13,Y12+AA12)</f>
        <v>276359.67999999999</v>
      </c>
      <c r="Z13" s="135"/>
      <c r="AA13" s="136">
        <v>1.0999999999999999E-2</v>
      </c>
      <c r="AB13" s="136">
        <v>0</v>
      </c>
      <c r="AC13" s="126"/>
    </row>
    <row r="14" spans="1:29" ht="9.6" customHeight="1">
      <c r="A14" s="104"/>
      <c r="B14" s="105"/>
      <c r="C14" s="104"/>
      <c r="D14" s="104"/>
      <c r="E14" s="104"/>
      <c r="F14" s="104"/>
      <c r="G14" s="104"/>
      <c r="H14" s="104"/>
      <c r="O14" s="5" t="s">
        <v>103</v>
      </c>
      <c r="P14" s="139" t="str">
        <f t="shared" si="0"/>
        <v/>
      </c>
      <c r="Q14" s="140">
        <f>IF(AND(T14&lt;&gt;0,S14=0),Q13+S14-T14,Q13+S13)</f>
        <v>276359.67999999999</v>
      </c>
      <c r="R14" s="135"/>
      <c r="S14" s="136">
        <f t="shared" si="1"/>
        <v>0</v>
      </c>
      <c r="T14" s="136">
        <f t="shared" si="1"/>
        <v>0</v>
      </c>
      <c r="W14" s="126"/>
      <c r="X14" s="126"/>
      <c r="Y14" s="126"/>
      <c r="Z14" s="126"/>
      <c r="AA14" s="126"/>
      <c r="AB14" s="126"/>
      <c r="AC14" s="126"/>
    </row>
    <row r="15" spans="1:29" ht="12.6" customHeight="1">
      <c r="A15" s="104"/>
      <c r="B15" s="105"/>
      <c r="C15" s="104"/>
      <c r="D15" s="104"/>
      <c r="E15" s="104"/>
      <c r="F15" s="104"/>
      <c r="G15" s="104"/>
      <c r="H15" s="104"/>
      <c r="O15" s="5" t="s">
        <v>104</v>
      </c>
      <c r="P15" s="139" t="str">
        <f t="shared" si="0"/>
        <v>BSM 7</v>
      </c>
      <c r="Q15" s="140">
        <f>IF(AND(T15&lt;&gt;0,S15=0),Q14+S15-T15,Q14+S14)</f>
        <v>276359.67999999999</v>
      </c>
      <c r="R15" s="135"/>
      <c r="S15" s="136">
        <f t="shared" si="1"/>
        <v>2711.640000000014</v>
      </c>
      <c r="T15" s="136">
        <f t="shared" si="1"/>
        <v>0</v>
      </c>
      <c r="W15" s="126"/>
      <c r="X15" s="126"/>
      <c r="Y15" s="126"/>
      <c r="Z15" s="126"/>
      <c r="AA15" s="126"/>
      <c r="AB15" s="126"/>
      <c r="AC15" s="126"/>
    </row>
    <row r="16" spans="1:29" ht="32.450000000000003" customHeight="1">
      <c r="A16" s="242" t="s">
        <v>76</v>
      </c>
      <c r="B16" s="243"/>
      <c r="C16" s="243"/>
      <c r="D16" s="243"/>
      <c r="E16" s="243"/>
      <c r="F16" s="243"/>
      <c r="G16" s="243"/>
      <c r="H16" s="244"/>
      <c r="O16" s="5" t="s">
        <v>105</v>
      </c>
      <c r="P16" s="139" t="str">
        <f t="shared" si="0"/>
        <v>REP 02</v>
      </c>
      <c r="Q16" s="140">
        <f>IF(AND(T16&lt;&gt;0,S16=0),Q15+S16-T16,Q15+S15)</f>
        <v>279071.32</v>
      </c>
      <c r="R16" s="135"/>
      <c r="S16" s="136">
        <f t="shared" si="1"/>
        <v>3029.3199999999997</v>
      </c>
      <c r="T16" s="136">
        <f t="shared" si="1"/>
        <v>0</v>
      </c>
      <c r="W16" s="126"/>
      <c r="X16" s="126"/>
      <c r="Y16" s="126"/>
      <c r="Z16" s="126"/>
      <c r="AA16" s="126"/>
      <c r="AB16" s="126"/>
      <c r="AC16" s="126"/>
    </row>
    <row r="17" spans="1:29" ht="50.1" customHeight="1">
      <c r="A17" s="164" t="s">
        <v>121</v>
      </c>
      <c r="B17" s="176">
        <f>SUMIFS($S$23:$S$30,$P$23:$P$30,A17)</f>
        <v>15988.36</v>
      </c>
      <c r="C17" s="245" t="s">
        <v>150</v>
      </c>
      <c r="D17" s="246"/>
      <c r="E17" s="246"/>
      <c r="F17" s="246"/>
      <c r="G17" s="246"/>
      <c r="H17" s="246"/>
      <c r="O17" s="5" t="s">
        <v>106</v>
      </c>
      <c r="P17" s="139" t="str">
        <f t="shared" si="0"/>
        <v>BRIT 1</v>
      </c>
      <c r="Q17" s="140">
        <f>IF(AND(T17&lt;&gt;0,S17=0),Q16+S17-T17,Q16+S16)</f>
        <v>282100.64</v>
      </c>
      <c r="R17" s="135"/>
      <c r="S17" s="136">
        <f t="shared" si="1"/>
        <v>15988.36</v>
      </c>
      <c r="T17" s="136">
        <f t="shared" si="1"/>
        <v>0</v>
      </c>
      <c r="W17" s="126"/>
      <c r="X17" s="126"/>
      <c r="Y17" s="126"/>
      <c r="Z17" s="126"/>
      <c r="AA17" s="126"/>
      <c r="AB17" s="126"/>
      <c r="AC17" s="126"/>
    </row>
    <row r="18" spans="1:29" ht="50.1" customHeight="1">
      <c r="A18" s="164" t="s">
        <v>122</v>
      </c>
      <c r="B18" s="176">
        <f>SUMIFS($S$23:$S$30,$P$23:$P$30,A18)</f>
        <v>0</v>
      </c>
      <c r="C18" s="245" t="s">
        <v>146</v>
      </c>
      <c r="D18" s="246"/>
      <c r="E18" s="246"/>
      <c r="F18" s="246"/>
      <c r="G18" s="246"/>
      <c r="H18" s="246"/>
      <c r="O18" s="5"/>
      <c r="P18" s="134" t="s">
        <v>107</v>
      </c>
      <c r="Q18" s="135">
        <f>IF(S33&lt;0,R9-ABS(S33),R9)</f>
        <v>298089</v>
      </c>
      <c r="R18" s="136"/>
      <c r="S18" s="136" t="str">
        <f>IF(S33&lt;0,"",S33)</f>
        <v/>
      </c>
      <c r="T18" s="137">
        <f>IF(S33&gt;0,"",ABS(S33))</f>
        <v>30545.879999999979</v>
      </c>
      <c r="U18" s="125"/>
      <c r="V18" s="126"/>
      <c r="W18" s="126"/>
      <c r="X18" s="126"/>
      <c r="Y18" s="126"/>
      <c r="Z18" s="126"/>
      <c r="AA18" s="126"/>
      <c r="AB18" s="126"/>
      <c r="AC18" s="126"/>
    </row>
    <row r="19" spans="1:29" ht="50.1" customHeight="1">
      <c r="A19" s="164" t="s">
        <v>123</v>
      </c>
      <c r="B19" s="176">
        <f>SUMIFS($S$23:$S$30,$P$23:$P$30,A19)</f>
        <v>0</v>
      </c>
      <c r="C19" s="245" t="s">
        <v>146</v>
      </c>
      <c r="D19" s="246"/>
      <c r="E19" s="246"/>
      <c r="F19" s="246"/>
      <c r="G19" s="246"/>
      <c r="H19" s="246"/>
      <c r="U19" s="125"/>
      <c r="V19" s="126"/>
      <c r="W19" s="126"/>
      <c r="X19" s="126"/>
      <c r="Y19" s="126"/>
      <c r="Z19" s="126"/>
      <c r="AA19" s="126"/>
      <c r="AB19" s="126"/>
      <c r="AC19" s="126"/>
    </row>
    <row r="20" spans="1:29" ht="50.1" customHeight="1">
      <c r="A20" s="164" t="s">
        <v>125</v>
      </c>
      <c r="B20" s="176">
        <f>SUMIFS($S$23:$S$30,$P$23:$P$30,A20)</f>
        <v>0</v>
      </c>
      <c r="C20" s="245" t="s">
        <v>146</v>
      </c>
      <c r="D20" s="246"/>
      <c r="E20" s="246"/>
      <c r="F20" s="246"/>
      <c r="G20" s="246"/>
      <c r="H20" s="246"/>
      <c r="U20" s="125"/>
      <c r="V20" s="126"/>
      <c r="W20" s="126"/>
      <c r="X20" s="126"/>
      <c r="Y20" s="126"/>
      <c r="Z20" s="126"/>
      <c r="AA20" s="126"/>
      <c r="AB20" s="126"/>
      <c r="AC20" s="126"/>
    </row>
    <row r="21" spans="1:29" ht="50.1" customHeight="1">
      <c r="A21" s="164" t="s">
        <v>126</v>
      </c>
      <c r="B21" s="176">
        <f>SUMIFS($S$23:$S$30,$P$23:$P$30,A21)</f>
        <v>2711.640000000014</v>
      </c>
      <c r="C21" s="245" t="s">
        <v>147</v>
      </c>
      <c r="D21" s="246"/>
      <c r="E21" s="246"/>
      <c r="F21" s="246"/>
      <c r="G21" s="246"/>
      <c r="H21" s="246"/>
      <c r="P21" s="125"/>
      <c r="Q21" s="125"/>
      <c r="R21" s="125"/>
      <c r="S21" s="141"/>
      <c r="T21" s="125"/>
      <c r="U21" s="125"/>
      <c r="V21" s="142"/>
      <c r="W21" s="126"/>
      <c r="X21" s="126">
        <v>1000</v>
      </c>
      <c r="Y21" s="126"/>
      <c r="Z21" s="126"/>
      <c r="AA21" s="126"/>
      <c r="AB21" s="126"/>
      <c r="AC21" s="126"/>
    </row>
    <row r="22" spans="1:29" ht="31.15" customHeight="1">
      <c r="A22" s="242"/>
      <c r="B22" s="243"/>
      <c r="C22" s="243"/>
      <c r="D22" s="243"/>
      <c r="E22" s="243"/>
      <c r="F22" s="243"/>
      <c r="G22" s="243"/>
      <c r="H22" s="244"/>
      <c r="P22" s="143" t="s">
        <v>108</v>
      </c>
      <c r="Q22" s="128" t="s">
        <v>109</v>
      </c>
      <c r="R22" s="128" t="s">
        <v>110</v>
      </c>
      <c r="S22" s="128" t="s">
        <v>55</v>
      </c>
      <c r="T22" s="128" t="s">
        <v>111</v>
      </c>
      <c r="U22" s="125"/>
      <c r="V22" s="144" t="s">
        <v>112</v>
      </c>
      <c r="W22" s="128" t="s">
        <v>113</v>
      </c>
      <c r="X22" s="128" t="s">
        <v>44</v>
      </c>
      <c r="Y22" s="128" t="s">
        <v>114</v>
      </c>
      <c r="Z22" s="126"/>
      <c r="AA22" s="126"/>
      <c r="AB22" s="126"/>
      <c r="AC22" s="126"/>
    </row>
    <row r="23" spans="1:29" ht="61.5" customHeight="1">
      <c r="A23" s="164" t="s">
        <v>124</v>
      </c>
      <c r="B23" s="176">
        <f>SUMIFS($S$23:$S$30,$P$23:$P$30,A23)</f>
        <v>-47255.119999999995</v>
      </c>
      <c r="C23" s="245" t="s">
        <v>148</v>
      </c>
      <c r="D23" s="246"/>
      <c r="E23" s="246"/>
      <c r="F23" s="246"/>
      <c r="G23" s="246"/>
      <c r="H23" s="246"/>
      <c r="P23" s="126" t="s">
        <v>125</v>
      </c>
      <c r="Q23" s="157" cm="1">
        <f t="array" ref="Q23">_xlfn.XLOOKUP(P23,TB_Entradas[[#All],[CIRCUITO ENTRADAS]],TB_Entradas[[#All],[D+1]])</f>
        <v>0</v>
      </c>
      <c r="R23" s="157" cm="1">
        <f t="array" ref="R23">_xlfn.XLOOKUP(P23,TB_Entradas[[#All],[CIRCUITO ENTRADAS]],TB_Entradas[[#All],[EXEC]])</f>
        <v>0</v>
      </c>
      <c r="S23" s="146">
        <f t="shared" ref="S23:S30" si="3">R23-Q23</f>
        <v>0</v>
      </c>
      <c r="T23" s="147" t="str">
        <f t="shared" ref="T23:T27" si="4">IF(AND(Q23=0,R23=0),"",P23)</f>
        <v/>
      </c>
      <c r="U23" s="158" t="s">
        <v>115</v>
      </c>
      <c r="V23" s="148" t="str">
        <f>TEXT(S33,"0.0")&amp;" kt"</f>
        <v>-30.546 kt</v>
      </c>
      <c r="W23" s="159"/>
      <c r="X23" s="159"/>
      <c r="Y23" s="159">
        <f t="shared" ref="Y23:Y30" si="5">X23-Q23</f>
        <v>0</v>
      </c>
      <c r="Z23" s="126"/>
      <c r="AA23" s="126"/>
      <c r="AB23" s="126"/>
      <c r="AC23" s="126"/>
    </row>
    <row r="24" spans="1:29" ht="30" customHeight="1">
      <c r="A24" s="242" t="s">
        <v>130</v>
      </c>
      <c r="B24" s="243"/>
      <c r="C24" s="243"/>
      <c r="D24" s="243"/>
      <c r="E24" s="243"/>
      <c r="F24" s="243"/>
      <c r="G24" s="243"/>
      <c r="H24" s="244"/>
      <c r="P24" s="126" t="s">
        <v>121</v>
      </c>
      <c r="Q24" s="157" cm="1">
        <f t="array" ref="Q24">_xlfn.XLOOKUP(P24,TB_Entradas[[#All],[CIRCUITO ENTRADAS]],TB_Entradas[[#All],[D+1]])</f>
        <v>96341.64</v>
      </c>
      <c r="R24" s="157" cm="1">
        <f t="array" ref="R24">_xlfn.XLOOKUP(P24,TB_Entradas[[#All],[CIRCUITO ENTRADAS]],TB_Entradas[[#All],[EXEC]])</f>
        <v>112330</v>
      </c>
      <c r="S24" s="146">
        <f t="shared" si="3"/>
        <v>15988.36</v>
      </c>
      <c r="T24" s="147" t="str">
        <f t="shared" si="4"/>
        <v>BRIT 1</v>
      </c>
      <c r="U24" s="158" t="s">
        <v>115</v>
      </c>
      <c r="V24" s="125"/>
      <c r="W24" s="159"/>
      <c r="X24" s="159"/>
      <c r="Y24" s="159">
        <f t="shared" si="5"/>
        <v>-96341.64</v>
      </c>
      <c r="Z24" s="126"/>
      <c r="AA24" s="126"/>
      <c r="AB24" s="126"/>
      <c r="AC24" s="126"/>
    </row>
    <row r="25" spans="1:29" ht="50.1" customHeight="1">
      <c r="A25" s="164" t="s">
        <v>127</v>
      </c>
      <c r="B25" s="176">
        <f>SUMIFS($S$23:$S$30,$P$23:$P$30,A25)</f>
        <v>3029.3199999999997</v>
      </c>
      <c r="C25" s="245" t="s">
        <v>149</v>
      </c>
      <c r="D25" s="246"/>
      <c r="E25" s="246"/>
      <c r="F25" s="246"/>
      <c r="G25" s="246"/>
      <c r="H25" s="246"/>
      <c r="P25" s="126" t="s">
        <v>123</v>
      </c>
      <c r="Q25" s="157" cm="1">
        <f t="array" ref="Q25">_xlfn.XLOOKUP(P25,TB_Entradas[[#All],[CIRCUITO ENTRADAS]],TB_Entradas[[#All],[D+1]])</f>
        <v>0</v>
      </c>
      <c r="R25" s="157" cm="1">
        <f t="array" ref="R25">_xlfn.XLOOKUP(P25,TB_Entradas[[#All],[CIRCUITO ENTRADAS]],TB_Entradas[[#All],[EXEC]])</f>
        <v>0</v>
      </c>
      <c r="S25" s="146">
        <f t="shared" si="3"/>
        <v>0</v>
      </c>
      <c r="T25" s="147" t="str">
        <f t="shared" si="4"/>
        <v/>
      </c>
      <c r="U25" s="158"/>
      <c r="V25" s="125"/>
      <c r="W25" s="159"/>
      <c r="X25" s="159"/>
      <c r="Y25" s="159">
        <f t="shared" si="5"/>
        <v>0</v>
      </c>
      <c r="Z25" s="126"/>
      <c r="AA25" s="126"/>
      <c r="AB25" s="126"/>
      <c r="AC25" s="126"/>
    </row>
    <row r="26" spans="1:29" ht="50.1" customHeight="1">
      <c r="A26" s="164" t="s">
        <v>128</v>
      </c>
      <c r="B26" s="176">
        <f>SUMIFS($S$23:$S$30,$P$23:$P$30,A26)</f>
        <v>-5020.0799999999981</v>
      </c>
      <c r="C26" s="245" t="s">
        <v>149</v>
      </c>
      <c r="D26" s="246"/>
      <c r="E26" s="246"/>
      <c r="F26" s="246"/>
      <c r="G26" s="246"/>
      <c r="H26" s="246"/>
      <c r="P26" s="126" t="s">
        <v>124</v>
      </c>
      <c r="Q26" s="157" cm="1">
        <f t="array" ref="Q26">_xlfn.XLOOKUP(P26,TB_Entradas[[#All],[CIRCUITO ENTRADAS]],TB_Entradas[[#All],[D+1]])</f>
        <v>108618.12</v>
      </c>
      <c r="R26" s="157" cm="1">
        <f t="array" ref="R26">_xlfn.XLOOKUP(P26,TB_Entradas[[#All],[CIRCUITO ENTRADAS]],TB_Entradas[[#All],[EXEC]])</f>
        <v>61363</v>
      </c>
      <c r="S26" s="146">
        <f t="shared" si="3"/>
        <v>-47255.119999999995</v>
      </c>
      <c r="T26" s="147" t="str">
        <f t="shared" si="4"/>
        <v>BSM 5</v>
      </c>
      <c r="U26" s="158" t="s">
        <v>115</v>
      </c>
      <c r="V26" s="125"/>
      <c r="W26" s="159"/>
      <c r="X26" s="159"/>
      <c r="Y26" s="159">
        <f t="shared" si="5"/>
        <v>-108618.12</v>
      </c>
      <c r="Z26" s="126"/>
      <c r="AA26" s="126"/>
      <c r="AB26" s="126"/>
      <c r="AC26" s="126"/>
    </row>
    <row r="27" spans="1:29" ht="43.5" customHeight="1">
      <c r="P27" s="126" t="s">
        <v>126</v>
      </c>
      <c r="Q27" s="157" cm="1">
        <f t="array" ref="Q27">_xlfn.XLOOKUP(P27,TB_Entradas[[#All],[CIRCUITO ENTRADAS]],TB_Entradas[[#All],[D+1]])</f>
        <v>82866.359999999986</v>
      </c>
      <c r="R27" s="157" cm="1">
        <f t="array" ref="R27">_xlfn.XLOOKUP(P27,TB_Entradas[[#All],[CIRCUITO ENTRADAS]],TB_Entradas[[#All],[EXEC]])</f>
        <v>85578</v>
      </c>
      <c r="S27" s="146">
        <f t="shared" si="3"/>
        <v>2711.640000000014</v>
      </c>
      <c r="T27" s="147" t="str">
        <f t="shared" si="4"/>
        <v>BSM 7</v>
      </c>
      <c r="U27" s="158" t="s">
        <v>115</v>
      </c>
      <c r="V27" s="125"/>
      <c r="W27" s="159"/>
      <c r="X27" s="159"/>
      <c r="Y27" s="159">
        <f t="shared" si="5"/>
        <v>-82866.359999999986</v>
      </c>
      <c r="Z27" s="126"/>
      <c r="AA27" s="126"/>
      <c r="AB27" s="126"/>
      <c r="AC27" s="126"/>
    </row>
    <row r="28" spans="1:29" ht="43.5" customHeight="1">
      <c r="A28" s="177"/>
      <c r="B28" s="177"/>
      <c r="C28" s="177"/>
      <c r="D28" s="177"/>
      <c r="E28" s="177"/>
      <c r="F28" s="177"/>
      <c r="G28" s="177"/>
      <c r="H28" s="177"/>
      <c r="P28" s="126" t="s">
        <v>127</v>
      </c>
      <c r="Q28" s="157" cm="1">
        <f t="array" ref="Q28">_xlfn.XLOOKUP(P28,TB_Entradas[[#All],[CIRCUITO ENTRADAS]],TB_Entradas[[#All],[D+1]])</f>
        <v>17770.68</v>
      </c>
      <c r="R28" s="157" cm="1">
        <f t="array" ref="R28">_xlfn.XLOOKUP(P28,TB_Entradas[[#All],[CIRCUITO ENTRADAS]],TB_Entradas[[#All],[EXEC]])</f>
        <v>20800</v>
      </c>
      <c r="S28" s="146">
        <f t="shared" si="3"/>
        <v>3029.3199999999997</v>
      </c>
      <c r="T28" s="147" t="str">
        <f>IF(AND(Q28=0,R28=0),"",P28)</f>
        <v>REP 02</v>
      </c>
      <c r="U28" s="158" t="s">
        <v>116</v>
      </c>
      <c r="V28" s="125"/>
      <c r="W28" s="159"/>
      <c r="X28" s="159"/>
      <c r="Y28" s="159">
        <f t="shared" si="5"/>
        <v>-17770.68</v>
      </c>
      <c r="Z28" s="126"/>
      <c r="AA28" s="126"/>
      <c r="AB28" s="126"/>
      <c r="AC28" s="126"/>
    </row>
    <row r="29" spans="1:29" ht="43.5" customHeight="1">
      <c r="P29" s="126" t="s">
        <v>128</v>
      </c>
      <c r="Q29" s="157" cm="1">
        <f t="array" ref="Q29">_xlfn.XLOOKUP(P29,TB_Entradas[[#All],[CIRCUITO ENTRADAS]],TB_Entradas[[#All],[D+1]])</f>
        <v>23038.079999999998</v>
      </c>
      <c r="R29" s="157" cm="1">
        <f t="array" ref="R29">_xlfn.XLOOKUP(P29,TB_Entradas[[#All],[CIRCUITO ENTRADAS]],TB_Entradas[[#All],[EXEC]])</f>
        <v>18018</v>
      </c>
      <c r="S29" s="146">
        <f t="shared" si="3"/>
        <v>-5020.0799999999981</v>
      </c>
      <c r="T29" s="147" t="str">
        <f t="shared" ref="T29:T30" si="6">IF(AND(Q29=0,R29=0),"",P29)</f>
        <v>REP 06</v>
      </c>
      <c r="U29" s="158" t="s">
        <v>116</v>
      </c>
      <c r="V29" s="125"/>
      <c r="W29" s="159"/>
      <c r="X29" s="159"/>
      <c r="Y29" s="159">
        <f t="shared" si="5"/>
        <v>-23038.079999999998</v>
      </c>
      <c r="Z29" s="126"/>
      <c r="AA29" s="126"/>
      <c r="AB29" s="126"/>
      <c r="AC29" s="126"/>
    </row>
    <row r="30" spans="1:29" ht="43.5" customHeight="1">
      <c r="P30" s="126" t="s">
        <v>122</v>
      </c>
      <c r="Q30" s="157" cm="1">
        <f t="array" ref="Q30">_xlfn.XLOOKUP(P30,TB_Entradas[[#All],[CIRCUITO ENTRADAS]],TB_Entradas[[#All],[D+1]])</f>
        <v>0</v>
      </c>
      <c r="R30" s="157" cm="1">
        <f t="array" ref="R30">_xlfn.XLOOKUP(P30,TB_Entradas[[#All],[CIRCUITO ENTRADAS]],TB_Entradas[[#All],[EXEC]])</f>
        <v>0</v>
      </c>
      <c r="S30" s="146">
        <f t="shared" si="3"/>
        <v>0</v>
      </c>
      <c r="T30" s="147" t="str">
        <f t="shared" si="6"/>
        <v/>
      </c>
      <c r="U30" s="158"/>
      <c r="V30" s="125"/>
      <c r="W30" s="159"/>
      <c r="X30" s="159"/>
      <c r="Y30" s="159">
        <f t="shared" si="5"/>
        <v>0</v>
      </c>
      <c r="Z30" s="126"/>
      <c r="AA30" s="126"/>
      <c r="AB30" s="126"/>
      <c r="AC30" s="126"/>
    </row>
    <row r="31" spans="1:29" ht="43.5" customHeight="1">
      <c r="F31" s="183" t="s">
        <v>132</v>
      </c>
      <c r="P31" s="145"/>
      <c r="Q31" s="157"/>
      <c r="R31" s="157"/>
      <c r="S31" s="146"/>
      <c r="T31" s="147"/>
      <c r="U31" s="158"/>
      <c r="V31" s="125"/>
      <c r="W31" s="159"/>
      <c r="X31" s="159"/>
      <c r="Y31" s="159"/>
      <c r="Z31" s="126"/>
      <c r="AA31" s="126"/>
      <c r="AB31" s="126"/>
      <c r="AC31" s="126"/>
    </row>
    <row r="32" spans="1:29" ht="43.5" customHeight="1">
      <c r="P32" s="145"/>
      <c r="Q32" s="157"/>
      <c r="R32" s="157"/>
      <c r="S32" s="146"/>
      <c r="T32" s="147"/>
      <c r="U32" s="158"/>
      <c r="V32" s="125"/>
      <c r="W32" s="159"/>
      <c r="X32" s="159"/>
      <c r="Y32" s="159"/>
      <c r="Z32" s="126"/>
      <c r="AA32" s="126"/>
      <c r="AB32" s="126"/>
      <c r="AC32" s="126"/>
    </row>
    <row r="33" spans="16:29" ht="43.5" customHeight="1">
      <c r="P33" s="149" t="s">
        <v>117</v>
      </c>
      <c r="Q33" s="131">
        <f>SUM(Q22:Q32)</f>
        <v>328634.88</v>
      </c>
      <c r="R33" s="131">
        <f>SUM(R22:R32)</f>
        <v>298089</v>
      </c>
      <c r="S33" s="131">
        <f>SUM(S23:S32)</f>
        <v>-30545.879999999979</v>
      </c>
      <c r="T33" s="150" t="s">
        <v>118</v>
      </c>
      <c r="U33" s="125">
        <f>SUMIF(U23:U32,"n5",Q23:Q32)</f>
        <v>40808.759999999995</v>
      </c>
      <c r="V33" s="151">
        <f>Q33-U33</f>
        <v>287826.12</v>
      </c>
      <c r="W33" s="131">
        <f>SUM(W22:W32)</f>
        <v>0</v>
      </c>
      <c r="X33" s="131">
        <f>SUM(X22:X32)</f>
        <v>0</v>
      </c>
      <c r="Y33" s="131">
        <f>SUM(Y22:Y32)</f>
        <v>-328634.88</v>
      </c>
      <c r="Z33" s="126"/>
      <c r="AA33" s="126"/>
      <c r="AB33" s="126"/>
      <c r="AC33" s="126"/>
    </row>
    <row r="34" spans="16:29" ht="43.5" customHeight="1">
      <c r="P34" s="152"/>
      <c r="Q34" s="153"/>
      <c r="R34" s="153"/>
      <c r="S34" s="153"/>
      <c r="T34" s="153"/>
      <c r="U34" s="125"/>
      <c r="V34" s="142"/>
      <c r="W34" s="126"/>
      <c r="X34" s="126"/>
      <c r="Y34" s="126"/>
      <c r="Z34" s="126"/>
      <c r="AA34" s="126"/>
      <c r="AB34" s="126"/>
      <c r="AC34" s="126"/>
    </row>
    <row r="35" spans="16:29" ht="43.5" customHeight="1">
      <c r="P35" s="154" t="s">
        <v>96</v>
      </c>
      <c r="Q35" s="155" t="s">
        <v>97</v>
      </c>
      <c r="R35" s="125"/>
      <c r="S35" s="154" t="s">
        <v>96</v>
      </c>
      <c r="T35" s="155" t="s">
        <v>97</v>
      </c>
      <c r="U35" s="128" t="s">
        <v>119</v>
      </c>
      <c r="V35" s="128" t="s">
        <v>119</v>
      </c>
      <c r="W35" s="126"/>
      <c r="X35" s="126"/>
      <c r="Y35" s="126"/>
      <c r="Z35" s="126"/>
      <c r="AA35" s="126"/>
      <c r="AB35" s="126"/>
      <c r="AC35" s="126"/>
    </row>
    <row r="36" spans="16:29" ht="43.5" customHeight="1">
      <c r="P36" s="160">
        <f>LARGE($S$23:$S$30,8)</f>
        <v>-47255.119999999995</v>
      </c>
      <c r="Q36" s="160">
        <f>SMALL($S$23:$S$32,1)</f>
        <v>-47255.119999999995</v>
      </c>
      <c r="R36" s="125"/>
      <c r="S36" s="156">
        <f>IF(P36&gt;0,P36,0)</f>
        <v>0</v>
      </c>
      <c r="T36" s="156">
        <f>IF(Q36&lt;0,Q36,0)</f>
        <v>-47255.119999999995</v>
      </c>
      <c r="U36" s="156">
        <f>+S36+T36</f>
        <v>-47255.119999999995</v>
      </c>
      <c r="V36" s="156" t="str">
        <f t="shared" ref="V36:V43" si="7">VLOOKUP(U36,$S$23:$T$30,2,FALSE)</f>
        <v>BSM 5</v>
      </c>
      <c r="W36" s="126"/>
      <c r="X36" s="126"/>
      <c r="Y36" s="126"/>
      <c r="Z36" s="126"/>
      <c r="AA36" s="126"/>
      <c r="AB36" s="126"/>
      <c r="AC36" s="126"/>
    </row>
    <row r="37" spans="16:29" ht="43.5" customHeight="1">
      <c r="P37" s="160">
        <f>LARGE($S$23:$S$30,7)</f>
        <v>-5020.0799999999981</v>
      </c>
      <c r="Q37" s="160">
        <f>SMALL($S$23:$S$32,2)</f>
        <v>-5020.0799999999981</v>
      </c>
      <c r="R37" s="125"/>
      <c r="S37" s="156">
        <f t="shared" ref="S37:S43" si="8">IF(P37&gt;0,P37,0)</f>
        <v>0</v>
      </c>
      <c r="T37" s="156">
        <f t="shared" ref="T37:T43" si="9">IF(Q37&lt;0,Q37,0)</f>
        <v>-5020.0799999999981</v>
      </c>
      <c r="U37" s="156">
        <f t="shared" ref="U37:U43" si="10">+S37+T37</f>
        <v>-5020.0799999999981</v>
      </c>
      <c r="V37" s="156" t="str">
        <f t="shared" si="7"/>
        <v>REP 06</v>
      </c>
      <c r="W37" s="126"/>
      <c r="X37" s="126"/>
      <c r="Y37" s="126"/>
      <c r="Z37" s="126"/>
      <c r="AA37" s="126"/>
      <c r="AB37" s="126"/>
      <c r="AC37" s="126"/>
    </row>
    <row r="38" spans="16:29" ht="43.5" customHeight="1">
      <c r="P38" s="160">
        <f>LARGE($S$23:$S$30,6)</f>
        <v>0</v>
      </c>
      <c r="Q38" s="160">
        <f>SMALL($S$23:$S$32,3)</f>
        <v>0</v>
      </c>
      <c r="R38" s="125"/>
      <c r="S38" s="156">
        <f t="shared" si="8"/>
        <v>0</v>
      </c>
      <c r="T38" s="156">
        <f t="shared" si="9"/>
        <v>0</v>
      </c>
      <c r="U38" s="156">
        <f t="shared" si="10"/>
        <v>0</v>
      </c>
      <c r="V38" s="156" t="str">
        <f t="shared" si="7"/>
        <v/>
      </c>
      <c r="W38" s="126"/>
      <c r="X38" s="126"/>
      <c r="Y38" s="126"/>
      <c r="Z38" s="126"/>
      <c r="AA38" s="126"/>
      <c r="AB38" s="126"/>
      <c r="AC38" s="126"/>
    </row>
    <row r="39" spans="16:29" ht="43.5" customHeight="1">
      <c r="P39" s="160">
        <f>LARGE($S$23:$S$30,5)</f>
        <v>0</v>
      </c>
      <c r="Q39" s="160">
        <f>SMALL($S$23:$S$32,4)</f>
        <v>0</v>
      </c>
      <c r="R39" s="125"/>
      <c r="S39" s="156">
        <f t="shared" si="8"/>
        <v>0</v>
      </c>
      <c r="T39" s="156">
        <f t="shared" si="9"/>
        <v>0</v>
      </c>
      <c r="U39" s="156">
        <f t="shared" si="10"/>
        <v>0</v>
      </c>
      <c r="V39" s="156" t="str">
        <f t="shared" si="7"/>
        <v/>
      </c>
      <c r="W39" s="126"/>
      <c r="X39" s="126"/>
      <c r="Y39" s="126"/>
      <c r="Z39" s="126"/>
      <c r="AA39" s="126"/>
      <c r="AB39" s="126"/>
      <c r="AC39" s="126"/>
    </row>
    <row r="40" spans="16:29" ht="43.5" customHeight="1">
      <c r="P40" s="160">
        <f>LARGE($S$23:$S$30,4)</f>
        <v>0</v>
      </c>
      <c r="Q40" s="160">
        <f>SMALL($S$23:$S$32,5)</f>
        <v>0</v>
      </c>
      <c r="R40" s="125"/>
      <c r="S40" s="156">
        <f t="shared" si="8"/>
        <v>0</v>
      </c>
      <c r="T40" s="156">
        <f t="shared" si="9"/>
        <v>0</v>
      </c>
      <c r="U40" s="156">
        <f t="shared" si="10"/>
        <v>0</v>
      </c>
      <c r="V40" s="156" t="str">
        <f t="shared" si="7"/>
        <v/>
      </c>
      <c r="W40" s="126"/>
      <c r="X40" s="126"/>
      <c r="Y40" s="126"/>
      <c r="Z40" s="126"/>
      <c r="AA40" s="126"/>
      <c r="AB40" s="126"/>
      <c r="AC40" s="126"/>
    </row>
    <row r="41" spans="16:29" ht="43.5" customHeight="1">
      <c r="P41" s="160">
        <f>LARGE($S$23:$S$30,3)</f>
        <v>2711.640000000014</v>
      </c>
      <c r="Q41" s="160">
        <f>SMALL($S$23:$S$32,6)</f>
        <v>2711.640000000014</v>
      </c>
      <c r="R41" s="125"/>
      <c r="S41" s="156">
        <f t="shared" si="8"/>
        <v>2711.640000000014</v>
      </c>
      <c r="T41" s="156">
        <f t="shared" si="9"/>
        <v>0</v>
      </c>
      <c r="U41" s="156">
        <f t="shared" si="10"/>
        <v>2711.640000000014</v>
      </c>
      <c r="V41" s="156" t="str">
        <f t="shared" si="7"/>
        <v>BSM 7</v>
      </c>
      <c r="W41" s="126"/>
      <c r="X41" s="126"/>
      <c r="Y41" s="126"/>
      <c r="Z41" s="126"/>
      <c r="AA41" s="126"/>
      <c r="AB41" s="126"/>
      <c r="AC41" s="126"/>
    </row>
    <row r="42" spans="16:29" ht="43.5" customHeight="1">
      <c r="P42" s="160">
        <f>LARGE($S$23:$S$30,2)</f>
        <v>3029.3199999999997</v>
      </c>
      <c r="Q42" s="160">
        <f>SMALL($S$23:$S$32,7)</f>
        <v>3029.3199999999997</v>
      </c>
      <c r="R42" s="125"/>
      <c r="S42" s="156">
        <f t="shared" si="8"/>
        <v>3029.3199999999997</v>
      </c>
      <c r="T42" s="156">
        <f t="shared" si="9"/>
        <v>0</v>
      </c>
      <c r="U42" s="156">
        <f t="shared" si="10"/>
        <v>3029.3199999999997</v>
      </c>
      <c r="V42" s="156" t="str">
        <f t="shared" si="7"/>
        <v>REP 02</v>
      </c>
      <c r="W42" s="126"/>
      <c r="X42" s="126"/>
      <c r="Y42" s="126"/>
      <c r="Z42" s="126"/>
      <c r="AA42" s="126"/>
      <c r="AB42" s="126"/>
      <c r="AC42" s="126"/>
    </row>
    <row r="43" spans="16:29" ht="43.5" customHeight="1">
      <c r="P43" s="160">
        <f>LARGE($S$23:$S$30,1)</f>
        <v>15988.36</v>
      </c>
      <c r="Q43" s="160">
        <f>SMALL($S$23:$S$32,8)</f>
        <v>15988.36</v>
      </c>
      <c r="R43" s="125"/>
      <c r="S43" s="156">
        <f t="shared" si="8"/>
        <v>15988.36</v>
      </c>
      <c r="T43" s="156">
        <f t="shared" si="9"/>
        <v>0</v>
      </c>
      <c r="U43" s="156">
        <f t="shared" si="10"/>
        <v>15988.36</v>
      </c>
      <c r="V43" s="156" t="str">
        <f t="shared" si="7"/>
        <v>BRIT 1</v>
      </c>
      <c r="W43" s="126"/>
      <c r="X43" s="126"/>
      <c r="Y43" s="126"/>
      <c r="Z43" s="126"/>
      <c r="AA43" s="126"/>
      <c r="AB43" s="126"/>
      <c r="AC43" s="126"/>
    </row>
    <row r="44" spans="16:29" ht="43.5" customHeight="1">
      <c r="P44" s="125"/>
      <c r="Q44" s="125"/>
      <c r="R44" s="125"/>
      <c r="S44" s="125"/>
      <c r="T44" s="125"/>
      <c r="U44" s="125"/>
      <c r="V44" s="125"/>
      <c r="W44" s="125"/>
      <c r="X44" s="126"/>
      <c r="Y44" s="126"/>
      <c r="Z44" s="126"/>
      <c r="AA44" s="126"/>
      <c r="AB44" s="126"/>
      <c r="AC44" s="126"/>
    </row>
    <row r="45" spans="16:29" ht="43.5" customHeight="1">
      <c r="P45" s="125"/>
      <c r="Q45" s="125"/>
      <c r="R45" s="125"/>
      <c r="S45" s="125"/>
      <c r="T45" s="125"/>
      <c r="U45" s="125"/>
      <c r="V45" s="125"/>
      <c r="W45" s="125"/>
      <c r="X45" s="126"/>
      <c r="Y45" s="126"/>
      <c r="Z45" s="126"/>
      <c r="AA45" s="126"/>
      <c r="AB45" s="126"/>
      <c r="AC45" s="126"/>
    </row>
    <row r="46" spans="16:29" ht="43.5" customHeight="1">
      <c r="P46" s="125"/>
      <c r="Q46" s="125"/>
      <c r="R46" s="125"/>
      <c r="S46" s="125"/>
      <c r="T46" s="125"/>
      <c r="U46" s="125"/>
      <c r="V46" s="125"/>
      <c r="W46" s="126"/>
      <c r="X46" s="126"/>
      <c r="Y46" s="126"/>
      <c r="Z46" s="126"/>
      <c r="AA46" s="126"/>
      <c r="AB46" s="126"/>
      <c r="AC46" s="126"/>
    </row>
    <row r="47" spans="16:29" ht="43.5" customHeight="1">
      <c r="P47" s="125"/>
      <c r="Q47" s="125"/>
      <c r="R47" s="125"/>
      <c r="S47" s="125"/>
      <c r="T47" s="125"/>
      <c r="U47" s="125"/>
      <c r="V47" s="125"/>
      <c r="W47" s="126"/>
      <c r="X47" s="126"/>
      <c r="Y47" s="126"/>
      <c r="Z47" s="126"/>
      <c r="AA47" s="126"/>
      <c r="AB47" s="126"/>
      <c r="AC47" s="126"/>
    </row>
    <row r="48" spans="16:29" ht="43.5" customHeight="1">
      <c r="P48" s="125"/>
      <c r="Q48" s="125"/>
      <c r="R48" s="125"/>
      <c r="S48" s="125"/>
      <c r="T48" s="125"/>
      <c r="U48" s="125"/>
      <c r="V48" s="125"/>
      <c r="W48" s="126"/>
      <c r="X48" s="126"/>
      <c r="Y48" s="126"/>
      <c r="Z48" s="126"/>
      <c r="AA48" s="126"/>
      <c r="AB48" s="126"/>
      <c r="AC48" s="126"/>
    </row>
    <row r="49" spans="16:29" ht="43.5" customHeight="1">
      <c r="P49" s="125"/>
      <c r="Q49" s="125"/>
      <c r="R49" s="125"/>
      <c r="S49" s="125"/>
      <c r="T49" s="125"/>
      <c r="U49" s="125"/>
      <c r="V49" s="125"/>
      <c r="W49" s="126"/>
      <c r="X49" s="126"/>
      <c r="Y49" s="126"/>
      <c r="Z49" s="126"/>
      <c r="AA49" s="126"/>
      <c r="AB49" s="126"/>
      <c r="AC49" s="126"/>
    </row>
    <row r="50" spans="16:29" ht="43.5" customHeight="1">
      <c r="P50" s="125"/>
      <c r="Q50" s="125"/>
      <c r="R50" s="125"/>
      <c r="S50" s="125"/>
      <c r="T50" s="125"/>
      <c r="U50" s="125"/>
      <c r="V50" s="125"/>
      <c r="W50" s="126"/>
      <c r="X50" s="126"/>
      <c r="Y50" s="126"/>
      <c r="Z50" s="126"/>
      <c r="AA50" s="126"/>
      <c r="AB50" s="126"/>
      <c r="AC50" s="126"/>
    </row>
    <row r="51" spans="16:29" ht="43.5" customHeight="1">
      <c r="P51" s="125"/>
      <c r="Q51" s="125"/>
      <c r="R51" s="125"/>
      <c r="S51" s="125"/>
      <c r="T51" s="125"/>
      <c r="U51" s="125"/>
      <c r="V51" s="125"/>
      <c r="W51" s="126"/>
      <c r="X51" s="126"/>
      <c r="Y51" s="126"/>
      <c r="Z51" s="126"/>
      <c r="AA51" s="126"/>
      <c r="AB51" s="126"/>
      <c r="AC51" s="126"/>
    </row>
    <row r="52" spans="16:29" ht="43.5" customHeight="1">
      <c r="P52" s="125"/>
      <c r="Q52" s="125"/>
      <c r="R52" s="125"/>
      <c r="S52" s="125"/>
      <c r="T52" s="125"/>
      <c r="U52" s="125"/>
      <c r="V52" s="125"/>
      <c r="W52" s="126"/>
      <c r="X52" s="126"/>
      <c r="Y52" s="126"/>
      <c r="Z52" s="126"/>
      <c r="AA52" s="126"/>
      <c r="AB52" s="126"/>
      <c r="AC52" s="126"/>
    </row>
    <row r="53" spans="16:29" ht="43.5" customHeight="1">
      <c r="R53" s="125"/>
      <c r="S53" s="125"/>
      <c r="T53" s="125"/>
      <c r="U53" s="125"/>
      <c r="V53" s="125"/>
      <c r="W53" s="126"/>
      <c r="X53" s="126"/>
      <c r="Y53" s="126"/>
      <c r="Z53" s="126"/>
      <c r="AA53" s="126"/>
      <c r="AB53" s="126"/>
      <c r="AC53" s="126"/>
    </row>
    <row r="54" spans="16:29" ht="43.5" customHeight="1">
      <c r="R54" s="125"/>
      <c r="S54" s="125"/>
      <c r="T54" s="125"/>
      <c r="U54" s="125"/>
      <c r="V54" s="125"/>
      <c r="W54" s="126"/>
      <c r="X54" s="126"/>
      <c r="Y54" s="126"/>
      <c r="Z54" s="126"/>
      <c r="AA54" s="126"/>
      <c r="AB54" s="126"/>
      <c r="AC54" s="126"/>
    </row>
    <row r="55" spans="16:29" ht="43.5" customHeight="1">
      <c r="AC55" s="126"/>
    </row>
    <row r="56" spans="16:29" ht="43.5" customHeight="1">
      <c r="AC56" s="126"/>
    </row>
    <row r="57" spans="16:29" ht="43.5" customHeight="1">
      <c r="AC57" s="126"/>
    </row>
    <row r="58" spans="16:29" ht="43.5" customHeight="1">
      <c r="AC58" s="126"/>
    </row>
    <row r="59" spans="16:29" ht="43.5" customHeight="1">
      <c r="AC59" s="126"/>
    </row>
    <row r="60" spans="16:29" ht="43.5" customHeight="1">
      <c r="AC60" s="126"/>
    </row>
    <row r="61" spans="16:29" ht="43.5" customHeight="1">
      <c r="AC61" s="126"/>
    </row>
  </sheetData>
  <mergeCells count="11">
    <mergeCell ref="A16:H16"/>
    <mergeCell ref="C17:H17"/>
    <mergeCell ref="C18:H18"/>
    <mergeCell ref="C19:H19"/>
    <mergeCell ref="C20:H20"/>
    <mergeCell ref="A24:H24"/>
    <mergeCell ref="C25:H25"/>
    <mergeCell ref="C26:H26"/>
    <mergeCell ref="C21:H21"/>
    <mergeCell ref="A22:H22"/>
    <mergeCell ref="C23:H23"/>
  </mergeCells>
  <conditionalFormatting sqref="B17:B21">
    <cfRule type="cellIs" dxfId="116" priority="4" operator="greaterThanOrEqual">
      <formula>0</formula>
    </cfRule>
  </conditionalFormatting>
  <conditionalFormatting sqref="B25:B26">
    <cfRule type="cellIs" dxfId="115" priority="2" operator="greaterThanOrEqual">
      <formula>0</formula>
    </cfRule>
  </conditionalFormatting>
  <conditionalFormatting sqref="B23">
    <cfRule type="cellIs" dxfId="114" priority="1" operator="greaterThanOr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webPublishItems count="1">
    <webPublishItem id="23753" divId="GESTÃO DAS ENTRADAS" sourceType="range" sourceRef="A1:H28" destinationFile="\\10.46.67.9\Publicar\Usina\GestaoDasEntradas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57"/>
  <sheetViews>
    <sheetView showGridLines="0" topLeftCell="BJ1" zoomScale="90" zoomScaleNormal="90" workbookViewId="0">
      <selection activeCell="CA10" sqref="CA10"/>
    </sheetView>
  </sheetViews>
  <sheetFormatPr defaultRowHeight="15"/>
  <cols>
    <col min="1" max="1" width="22.7109375" bestFit="1" customWidth="1"/>
    <col min="4" max="4" width="15.7109375" customWidth="1"/>
    <col min="5" max="5" width="10.28515625" bestFit="1" customWidth="1"/>
    <col min="6" max="6" width="10.7109375" bestFit="1" customWidth="1"/>
    <col min="7" max="7" width="10.7109375" customWidth="1"/>
    <col min="9" max="9" width="11.28515625" bestFit="1" customWidth="1"/>
    <col min="10" max="10" width="11.42578125" customWidth="1"/>
    <col min="11" max="11" width="9" bestFit="1" customWidth="1"/>
    <col min="12" max="12" width="15.7109375" customWidth="1"/>
    <col min="13" max="13" width="8" customWidth="1"/>
    <col min="14" max="14" width="11.7109375" bestFit="1" customWidth="1"/>
    <col min="17" max="17" width="11.28515625" bestFit="1" customWidth="1"/>
    <col min="18" max="18" width="10.7109375" customWidth="1"/>
    <col min="19" max="19" width="9.5703125" customWidth="1"/>
    <col min="20" max="20" width="15.7109375" customWidth="1"/>
    <col min="21" max="21" width="9.7109375" bestFit="1" customWidth="1"/>
    <col min="22" max="22" width="12.140625" customWidth="1"/>
    <col min="25" max="25" width="11.28515625" bestFit="1" customWidth="1"/>
    <col min="26" max="26" width="8.140625" customWidth="1"/>
    <col min="27" max="27" width="8" customWidth="1"/>
    <col min="28" max="28" width="15.7109375" customWidth="1"/>
    <col min="29" max="29" width="8" customWidth="1"/>
    <col min="30" max="30" width="9.5703125" bestFit="1" customWidth="1"/>
    <col min="33" max="33" width="11.28515625" bestFit="1" customWidth="1"/>
    <col min="34" max="34" width="8.140625" customWidth="1"/>
    <col min="35" max="35" width="8" customWidth="1"/>
    <col min="36" max="36" width="15.7109375" customWidth="1"/>
    <col min="37" max="37" width="8" customWidth="1"/>
    <col min="38" max="38" width="9.5703125" bestFit="1" customWidth="1"/>
    <col min="53" max="53" width="7.7109375" bestFit="1" customWidth="1"/>
    <col min="54" max="54" width="13.42578125" style="12" bestFit="1" customWidth="1"/>
    <col min="55" max="55" width="12.140625" style="12" bestFit="1" customWidth="1"/>
    <col min="56" max="56" width="11.28515625" style="12" bestFit="1" customWidth="1"/>
    <col min="57" max="57" width="12.140625" style="12" bestFit="1" customWidth="1"/>
    <col min="58" max="58" width="11.28515625" style="12" bestFit="1" customWidth="1"/>
    <col min="59" max="59" width="12.140625" style="12" bestFit="1" customWidth="1"/>
    <col min="60" max="60" width="11.28515625" style="12" bestFit="1" customWidth="1"/>
    <col min="61" max="61" width="12.140625" style="12" bestFit="1" customWidth="1"/>
    <col min="62" max="62" width="14.42578125" bestFit="1" customWidth="1"/>
    <col min="63" max="63" width="15.42578125" bestFit="1" customWidth="1"/>
    <col min="64" max="64" width="11.5703125" customWidth="1"/>
    <col min="65" max="69" width="15.5703125" customWidth="1"/>
    <col min="70" max="70" width="19.140625" customWidth="1"/>
    <col min="82" max="82" width="19.5703125" bestFit="1" customWidth="1"/>
    <col min="83" max="84" width="12.28515625" bestFit="1" customWidth="1"/>
    <col min="85" max="85" width="11.7109375" bestFit="1" customWidth="1"/>
    <col min="88" max="88" width="8.85546875" customWidth="1"/>
  </cols>
  <sheetData>
    <row r="1" spans="1:85" ht="18.75">
      <c r="A1" s="7">
        <f ca="1">HOUR('ACOMPANHAMENTO USINA'!AN3)</f>
        <v>23</v>
      </c>
      <c r="B1" s="16" t="s">
        <v>26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BA1" t="s">
        <v>27</v>
      </c>
      <c r="BB1" t="s">
        <v>28</v>
      </c>
      <c r="BC1" t="s">
        <v>29</v>
      </c>
      <c r="BD1" t="s">
        <v>30</v>
      </c>
      <c r="BE1" t="s">
        <v>31</v>
      </c>
      <c r="BF1" t="s">
        <v>32</v>
      </c>
      <c r="BG1" t="s">
        <v>33</v>
      </c>
      <c r="BH1" t="s">
        <v>34</v>
      </c>
      <c r="BI1" t="s">
        <v>35</v>
      </c>
      <c r="BJ1" t="s">
        <v>36</v>
      </c>
      <c r="BK1" t="s">
        <v>37</v>
      </c>
      <c r="BM1" s="93" t="s">
        <v>5</v>
      </c>
      <c r="BN1" s="93" t="s">
        <v>38</v>
      </c>
      <c r="BO1" s="93" t="s">
        <v>39</v>
      </c>
      <c r="BP1" s="93" t="s">
        <v>40</v>
      </c>
      <c r="BQ1" s="93" t="s">
        <v>41</v>
      </c>
      <c r="BR1" s="93" t="s">
        <v>42</v>
      </c>
      <c r="CD1" s="93" t="s">
        <v>131</v>
      </c>
      <c r="CE1" s="93" t="s">
        <v>44</v>
      </c>
      <c r="CF1" s="93" t="s">
        <v>120</v>
      </c>
      <c r="CG1" s="93" t="s">
        <v>57</v>
      </c>
    </row>
    <row r="2" spans="1:85" ht="18.75">
      <c r="A2" s="3" t="s">
        <v>43</v>
      </c>
      <c r="B2" s="4" t="s">
        <v>44</v>
      </c>
      <c r="C2" s="4" t="s">
        <v>45</v>
      </c>
      <c r="D2" s="8" t="s">
        <v>46</v>
      </c>
      <c r="E2" s="8" t="s">
        <v>47</v>
      </c>
      <c r="F2" s="8" t="s">
        <v>48</v>
      </c>
      <c r="G2" s="8" t="s">
        <v>49</v>
      </c>
      <c r="I2" s="3" t="s">
        <v>9</v>
      </c>
      <c r="J2" s="4" t="s">
        <v>44</v>
      </c>
      <c r="K2" s="4" t="s">
        <v>45</v>
      </c>
      <c r="L2" s="8" t="s">
        <v>46</v>
      </c>
      <c r="M2" s="8" t="s">
        <v>47</v>
      </c>
      <c r="N2" s="8" t="s">
        <v>48</v>
      </c>
      <c r="O2" s="8" t="s">
        <v>49</v>
      </c>
      <c r="Q2" s="3" t="s">
        <v>11</v>
      </c>
      <c r="R2" s="4" t="s">
        <v>44</v>
      </c>
      <c r="S2" s="4" t="s">
        <v>45</v>
      </c>
      <c r="T2" s="8" t="s">
        <v>46</v>
      </c>
      <c r="U2" s="8" t="s">
        <v>47</v>
      </c>
      <c r="V2" s="8" t="s">
        <v>48</v>
      </c>
      <c r="W2" s="8" t="s">
        <v>49</v>
      </c>
      <c r="Y2" s="3" t="s">
        <v>12</v>
      </c>
      <c r="Z2" s="4" t="s">
        <v>44</v>
      </c>
      <c r="AA2" s="4" t="s">
        <v>45</v>
      </c>
      <c r="AB2" s="8" t="s">
        <v>46</v>
      </c>
      <c r="AC2" s="8" t="s">
        <v>47</v>
      </c>
      <c r="AD2" s="8" t="s">
        <v>48</v>
      </c>
      <c r="AE2" s="8" t="s">
        <v>49</v>
      </c>
      <c r="AG2" s="3" t="s">
        <v>13</v>
      </c>
      <c r="AH2" s="4" t="s">
        <v>44</v>
      </c>
      <c r="AI2" s="4" t="s">
        <v>45</v>
      </c>
      <c r="AJ2" s="8" t="s">
        <v>46</v>
      </c>
      <c r="AK2" s="8" t="s">
        <v>47</v>
      </c>
      <c r="AL2" s="8" t="s">
        <v>48</v>
      </c>
      <c r="AM2" s="8" t="s">
        <v>49</v>
      </c>
      <c r="AP2" s="3" t="s">
        <v>14</v>
      </c>
      <c r="AQ2" s="4" t="s">
        <v>44</v>
      </c>
      <c r="AR2" s="4" t="s">
        <v>45</v>
      </c>
      <c r="AS2" s="8" t="s">
        <v>46</v>
      </c>
      <c r="AT2" s="8" t="s">
        <v>47</v>
      </c>
      <c r="AU2" s="8" t="s">
        <v>48</v>
      </c>
      <c r="AV2" s="8" t="s">
        <v>49</v>
      </c>
      <c r="BA2">
        <v>1</v>
      </c>
      <c r="BB2">
        <v>8460.091271546873</v>
      </c>
      <c r="BC2">
        <v>6511</v>
      </c>
      <c r="BD2">
        <v>3615.7200000000003</v>
      </c>
      <c r="BE2">
        <v>726</v>
      </c>
      <c r="BF2">
        <v>2191.5791999999997</v>
      </c>
      <c r="BG2">
        <v>2160</v>
      </c>
      <c r="BH2">
        <v>158.75000000000003</v>
      </c>
      <c r="BI2">
        <v>0</v>
      </c>
      <c r="BJ2">
        <v>0</v>
      </c>
      <c r="BK2">
        <v>0</v>
      </c>
      <c r="BM2" s="94" t="str">
        <f ca="1">'ACOMPANHAMENTO USINA'!$AN$3</f>
        <v>23:59:59</v>
      </c>
      <c r="BN2" s="95">
        <f>'JUSTIFICATIVA DE USINA'!$AG$2</f>
        <v>195000</v>
      </c>
      <c r="BO2" s="95">
        <f>'JUSTIFICATIVA DE USINA'!$AS$2</f>
        <v>60000</v>
      </c>
      <c r="BP2" s="95">
        <f>'JUSTIFICATIVA DE USINA'!$BE$2</f>
        <v>38000</v>
      </c>
      <c r="BQ2" s="95">
        <f>'JUSTIFICATIVA DE USINA'!$BQ$2</f>
        <v>0</v>
      </c>
      <c r="BR2">
        <f>'JUSTIFICATIVA DE USINA'!$CA$2</f>
        <v>0</v>
      </c>
      <c r="CD2" s="162" t="s">
        <v>124</v>
      </c>
      <c r="CE2" s="165">
        <v>108618.12</v>
      </c>
      <c r="CF2" s="165">
        <v>61363</v>
      </c>
      <c r="CG2" s="165">
        <f>TB_Entradas[[#This Row],[EXEC]]-TB_Entradas[[#This Row],[D+1]]</f>
        <v>-47255.119999999995</v>
      </c>
    </row>
    <row r="3" spans="1:85" ht="18.75">
      <c r="A3" s="2">
        <v>1</v>
      </c>
      <c r="B3" s="1">
        <f>SUM(J3,R3,Z3,AH3)</f>
        <v>14426.140471546874</v>
      </c>
      <c r="C3" s="1">
        <f t="shared" ref="C3:C26" ca="1" si="0">IF(K3="","",SUM(K3,S3,AA3,AI3))</f>
        <v>9397</v>
      </c>
      <c r="D3" s="1">
        <f t="shared" ref="D3:D26" ca="1" si="1">IF(C3="","",B3)</f>
        <v>14426.140471546874</v>
      </c>
      <c r="E3" s="1" t="str">
        <f ca="1">IF(C3="",B3,"")</f>
        <v/>
      </c>
      <c r="F3" s="1"/>
      <c r="G3" s="1"/>
      <c r="H3" s="12">
        <f ca="1">IF(C3="","",C3-B3)</f>
        <v>-5029.1404715468743</v>
      </c>
      <c r="I3" s="2">
        <v>1</v>
      </c>
      <c r="J3" s="1">
        <f>BB2</f>
        <v>8460.091271546873</v>
      </c>
      <c r="K3" s="1">
        <f ca="1">IF(I3-1&lt;=$A$1,IF($BC2="","",$BC2),"")</f>
        <v>6511</v>
      </c>
      <c r="L3" s="1">
        <f t="shared" ref="L3:L26" ca="1" si="2">IF(K3="","",J3)</f>
        <v>8460.091271546873</v>
      </c>
      <c r="M3" s="1" t="str">
        <f ca="1">IF(K3="",J3,"")</f>
        <v/>
      </c>
      <c r="N3" s="1"/>
      <c r="O3" s="1"/>
      <c r="P3" s="12">
        <f ca="1">IF(K3="","",K3-J3)</f>
        <v>-1949.091271546873</v>
      </c>
      <c r="Q3" s="2">
        <v>1</v>
      </c>
      <c r="R3" s="1">
        <f>$BD2</f>
        <v>3615.7200000000003</v>
      </c>
      <c r="S3" s="1">
        <f ca="1">IF(Q3-1&lt;=$A$1,IF($BE2="","",$BE2),"")</f>
        <v>726</v>
      </c>
      <c r="T3" s="1">
        <f t="shared" ref="T3:T26" ca="1" si="3">IF(S3="","",R3)</f>
        <v>3615.7200000000003</v>
      </c>
      <c r="U3" s="1" t="str">
        <f ca="1">IF(S3="",R3,"")</f>
        <v/>
      </c>
      <c r="V3" s="1"/>
      <c r="W3" s="1"/>
      <c r="X3" s="12">
        <f ca="1">IF(S3="","",S3-R3)</f>
        <v>-2889.7200000000003</v>
      </c>
      <c r="Y3" s="2">
        <v>1</v>
      </c>
      <c r="Z3" s="1">
        <f>BF2</f>
        <v>2191.5791999999997</v>
      </c>
      <c r="AA3" s="1">
        <f ca="1">IF(Y3-1&lt;=$A$1,IF($BG2="","",$BG2),"")</f>
        <v>2160</v>
      </c>
      <c r="AB3" s="1">
        <f t="shared" ref="AB3:AB26" ca="1" si="4">IF(AA3="","",Z3)</f>
        <v>2191.5791999999997</v>
      </c>
      <c r="AC3" s="1" t="str">
        <f ca="1">IF(AA3="",Z3,"")</f>
        <v/>
      </c>
      <c r="AD3" s="1"/>
      <c r="AE3" s="1"/>
      <c r="AF3" s="12">
        <f ca="1">IF(AA3="","",AA3-Z3)</f>
        <v>-31.579199999999673</v>
      </c>
      <c r="AG3" s="2">
        <v>1</v>
      </c>
      <c r="AH3" s="1">
        <f>BH2</f>
        <v>158.75000000000003</v>
      </c>
      <c r="AI3" s="1">
        <f ca="1">IF(AG3-1&lt;=$A$1,IF($BI2="","",$BI2),"")</f>
        <v>0</v>
      </c>
      <c r="AJ3" s="1">
        <f t="shared" ref="AJ3:AJ26" ca="1" si="5">IF(AI3="","",AH3)</f>
        <v>158.75000000000003</v>
      </c>
      <c r="AK3" s="1" t="str">
        <f ca="1">IF(AI3="",AH3,"")</f>
        <v/>
      </c>
      <c r="AL3" s="1"/>
      <c r="AM3" s="1"/>
      <c r="AN3" s="12">
        <f ca="1">IF(AI3="","",AI3-AH3)</f>
        <v>-158.75000000000003</v>
      </c>
      <c r="AP3" s="2">
        <v>1</v>
      </c>
      <c r="AQ3" s="1">
        <f>BJ2</f>
        <v>0</v>
      </c>
      <c r="AR3" s="1">
        <f ca="1">IF(AP3-1&lt;=$A$1,IF($BK2="","",$BK2),"")</f>
        <v>0</v>
      </c>
      <c r="AS3" s="1">
        <f ca="1">IF(AR3="","",AQ3)</f>
        <v>0</v>
      </c>
      <c r="AT3" s="1" t="str">
        <f ca="1">IF(AR3="",AQ3,"")</f>
        <v/>
      </c>
      <c r="AU3" s="1"/>
      <c r="AV3" s="1"/>
      <c r="BA3">
        <v>2</v>
      </c>
      <c r="BB3">
        <v>8711.4767153558241</v>
      </c>
      <c r="BC3">
        <v>9333</v>
      </c>
      <c r="BD3">
        <v>2889.7200000000003</v>
      </c>
      <c r="BE3">
        <v>487</v>
      </c>
      <c r="BF3">
        <v>2141.1779999999999</v>
      </c>
      <c r="BG3">
        <v>1590</v>
      </c>
      <c r="BH3">
        <v>158.75000000000003</v>
      </c>
      <c r="BI3">
        <v>0</v>
      </c>
      <c r="BJ3">
        <v>0</v>
      </c>
      <c r="BK3">
        <v>0</v>
      </c>
      <c r="BM3" t="s">
        <v>50</v>
      </c>
      <c r="BN3" s="96" t="str">
        <f>'JUSTIFICATIVA DE USINA'!$Z$3</f>
        <v xml:space="preserve">-Aderente ao programa:
Impactos:
Ponto de atenção:*
Nota:
Programação de massa da BSM3 realizado as 04:00h
</v>
      </c>
      <c r="BO3" s="96" t="str">
        <f>'JUSTIFICATIVA DE USINA'!$AL$3</f>
        <v xml:space="preserve">- Abaixo do programa:
Impactos:
-  Classificação e DF de britadores, estamos produzindo o FASN (alta sílica) de 00:00 ás 15:00
- TR 3011-18 parando por chave de desalinhamento, dificultando o processo de zerar os silos,  de 00:00 ás 03:00
- BSM05: falta de alimentação devido DF de retro e moega cheia de material de 12:00 às 15:00
- TR 3011-19/Bloco B parado devido vazamento no chute, de  18:00 às 21:15 
Pontos de atenção:
- TR 3030-02- Desgaste no trilho (vigente);
 </v>
      </c>
      <c r="BP3" s="96" t="str">
        <f>'JUSTIFICATIVA DE USINA'!$AX$3</f>
        <v xml:space="preserve">-Aderente ao programa:
Impactos:
</v>
      </c>
      <c r="BQ3" s="96" t="str">
        <f>'JUSTIFICATIVA DE USINA'!$BJ$3</f>
        <v>-Abaixo do programa
Impactos:
- REP03/05: parados devido falta de área de estocagem no pátio M;</v>
      </c>
      <c r="BR3" s="96">
        <f>'JUSTIFICATIVA DE USINA'!$BT$3</f>
        <v>0</v>
      </c>
      <c r="CD3" s="162" t="s">
        <v>128</v>
      </c>
      <c r="CE3" s="165">
        <v>23038.079999999998</v>
      </c>
      <c r="CF3" s="165">
        <v>18018</v>
      </c>
      <c r="CG3" s="165">
        <f>TB_Entradas[[#This Row],[EXEC]]-TB_Entradas[[#This Row],[D+1]]</f>
        <v>-5020.0799999999981</v>
      </c>
    </row>
    <row r="4" spans="1:85" ht="18.75">
      <c r="A4" s="2">
        <v>2</v>
      </c>
      <c r="B4" s="1">
        <f>SUM(J4,R4,Z4,AH4)</f>
        <v>13901.124715355825</v>
      </c>
      <c r="C4" s="1">
        <f t="shared" ca="1" si="0"/>
        <v>11410</v>
      </c>
      <c r="D4" s="1">
        <f t="shared" ca="1" si="1"/>
        <v>13901.124715355825</v>
      </c>
      <c r="E4" s="1" t="str">
        <f t="shared" ref="E4:E26" ca="1" si="6">IF(C4="",B4,"")</f>
        <v/>
      </c>
      <c r="F4" s="1"/>
      <c r="G4" s="1"/>
      <c r="H4" s="12">
        <f t="shared" ref="H4:H26" ca="1" si="7">IF(C4="","",C4-B4)</f>
        <v>-2491.1247153558252</v>
      </c>
      <c r="I4" s="2">
        <v>2</v>
      </c>
      <c r="J4" s="1">
        <f t="shared" ref="J4:J26" si="8">BB3</f>
        <v>8711.4767153558241</v>
      </c>
      <c r="K4" s="1">
        <f t="shared" ref="K4:K26" ca="1" si="9">IF(I4-1&lt;=$A$1,IF($BC3="","",$BC3),"")</f>
        <v>9333</v>
      </c>
      <c r="L4" s="1">
        <f t="shared" ca="1" si="2"/>
        <v>8711.4767153558241</v>
      </c>
      <c r="M4" s="1" t="str">
        <f t="shared" ref="M4:M26" ca="1" si="10">IF(K4="",J4,"")</f>
        <v/>
      </c>
      <c r="N4" s="1"/>
      <c r="O4" s="1"/>
      <c r="P4" s="12">
        <f t="shared" ref="P4:P26" ca="1" si="11">IF(K4="","",K4-J4)</f>
        <v>621.52328464417587</v>
      </c>
      <c r="Q4" s="2">
        <v>2</v>
      </c>
      <c r="R4" s="1">
        <f t="shared" ref="R4:R26" si="12">$BD3</f>
        <v>2889.7200000000003</v>
      </c>
      <c r="S4" s="1">
        <f t="shared" ref="S4:S26" ca="1" si="13">IF(Q4-1&lt;=$A$1,IF($BE3="","",$BE3),"")</f>
        <v>487</v>
      </c>
      <c r="T4" s="1">
        <f t="shared" ca="1" si="3"/>
        <v>2889.7200000000003</v>
      </c>
      <c r="U4" s="1" t="str">
        <f t="shared" ref="U4:U26" ca="1" si="14">IF(S4="",R4,"")</f>
        <v/>
      </c>
      <c r="V4" s="1"/>
      <c r="W4" s="1"/>
      <c r="X4" s="12">
        <f t="shared" ref="X4:X26" ca="1" si="15">IF(S4="","",S4-R4)</f>
        <v>-2402.7200000000003</v>
      </c>
      <c r="Y4" s="2">
        <v>2</v>
      </c>
      <c r="Z4" s="1">
        <f t="shared" ref="Z4:Z26" si="16">BF3</f>
        <v>2141.1779999999999</v>
      </c>
      <c r="AA4" s="1">
        <f t="shared" ref="AA4:AA26" ca="1" si="17">IF(Y4-1&lt;=$A$1,IF($BG3="","",$BG3),"")</f>
        <v>1590</v>
      </c>
      <c r="AB4" s="1">
        <f t="shared" ca="1" si="4"/>
        <v>2141.1779999999999</v>
      </c>
      <c r="AC4" s="1" t="str">
        <f t="shared" ref="AC4:AC26" ca="1" si="18">IF(AA4="",Z4,"")</f>
        <v/>
      </c>
      <c r="AD4" s="1"/>
      <c r="AE4" s="1"/>
      <c r="AF4" s="12">
        <f t="shared" ref="AF4:AF26" ca="1" si="19">IF(AA4="","",AA4-Z4)</f>
        <v>-551.17799999999988</v>
      </c>
      <c r="AG4" s="2">
        <v>2</v>
      </c>
      <c r="AH4" s="1">
        <f t="shared" ref="AH4:AH26" si="20">BH3</f>
        <v>158.75000000000003</v>
      </c>
      <c r="AI4" s="1">
        <f t="shared" ref="AI4:AI26" ca="1" si="21">IF(AG4-1&lt;=$A$1,IF($BI3="","",$BI3),"")</f>
        <v>0</v>
      </c>
      <c r="AJ4" s="1">
        <f t="shared" ca="1" si="5"/>
        <v>158.75000000000003</v>
      </c>
      <c r="AK4" s="1" t="str">
        <f t="shared" ref="AK4:AK26" ca="1" si="22">IF(AI4="",AH4,"")</f>
        <v/>
      </c>
      <c r="AL4" s="1"/>
      <c r="AM4" s="1"/>
      <c r="AN4" s="12">
        <f t="shared" ref="AN4:AN26" ca="1" si="23">IF(AI4="","",AI4-AH4)</f>
        <v>-158.75000000000003</v>
      </c>
      <c r="AP4" s="2">
        <v>2</v>
      </c>
      <c r="AQ4" s="1">
        <f t="shared" ref="AQ4:AQ26" si="24">BJ3</f>
        <v>0</v>
      </c>
      <c r="AR4" s="1">
        <f t="shared" ref="AR4:AR26" ca="1" si="25">IF(AP4-1&lt;=$A$1,IF($BK3="","",$BK3),"")</f>
        <v>0</v>
      </c>
      <c r="AS4" s="1">
        <f t="shared" ref="AS4:AS26" ca="1" si="26">IF(AR4="","",AQ4)</f>
        <v>0</v>
      </c>
      <c r="AT4" s="1" t="str">
        <f t="shared" ref="AT4:AT26" ca="1" si="27">IF(AR4="",AQ4,"")</f>
        <v/>
      </c>
      <c r="AU4" s="1"/>
      <c r="AV4" s="1"/>
      <c r="BA4">
        <v>3</v>
      </c>
      <c r="BB4">
        <v>7790.7542103357882</v>
      </c>
      <c r="BC4">
        <v>9605</v>
      </c>
      <c r="BD4">
        <v>4363.5599999999995</v>
      </c>
      <c r="BE4">
        <v>369</v>
      </c>
      <c r="BF4">
        <v>2320.8996000000002</v>
      </c>
      <c r="BG4">
        <v>1800</v>
      </c>
      <c r="BH4">
        <v>158.75000000000003</v>
      </c>
      <c r="BI4">
        <v>0</v>
      </c>
      <c r="BJ4">
        <v>0</v>
      </c>
      <c r="BK4">
        <v>0</v>
      </c>
      <c r="CD4" s="162" t="s">
        <v>122</v>
      </c>
      <c r="CE4" s="165">
        <v>0</v>
      </c>
      <c r="CF4" s="165">
        <v>0</v>
      </c>
      <c r="CG4" s="165">
        <f>TB_Entradas[[#This Row],[EXEC]]-TB_Entradas[[#This Row],[D+1]]</f>
        <v>0</v>
      </c>
    </row>
    <row r="5" spans="1:85" ht="18.75">
      <c r="A5" s="2">
        <v>3</v>
      </c>
      <c r="B5" s="1">
        <f t="shared" ref="B5:B26" si="28">SUM(J5,R5,Z5,AH5)</f>
        <v>14633.963810335788</v>
      </c>
      <c r="C5" s="1">
        <f t="shared" ca="1" si="0"/>
        <v>11774</v>
      </c>
      <c r="D5" s="1">
        <f t="shared" ca="1" si="1"/>
        <v>14633.963810335788</v>
      </c>
      <c r="E5" s="1" t="str">
        <f t="shared" ca="1" si="6"/>
        <v/>
      </c>
      <c r="F5" s="1"/>
      <c r="G5" s="1"/>
      <c r="H5" s="12">
        <f t="shared" ca="1" si="7"/>
        <v>-2859.9638103357884</v>
      </c>
      <c r="I5" s="2">
        <v>3</v>
      </c>
      <c r="J5" s="1">
        <f t="shared" si="8"/>
        <v>7790.7542103357882</v>
      </c>
      <c r="K5" s="1">
        <f t="shared" ca="1" si="9"/>
        <v>9605</v>
      </c>
      <c r="L5" s="1">
        <f t="shared" ca="1" si="2"/>
        <v>7790.7542103357882</v>
      </c>
      <c r="M5" s="1" t="str">
        <f t="shared" ca="1" si="10"/>
        <v/>
      </c>
      <c r="N5" s="1"/>
      <c r="O5" s="1"/>
      <c r="P5" s="12">
        <f t="shared" ca="1" si="11"/>
        <v>1814.2457896642118</v>
      </c>
      <c r="Q5" s="2">
        <v>3</v>
      </c>
      <c r="R5" s="1">
        <f t="shared" si="12"/>
        <v>4363.5599999999995</v>
      </c>
      <c r="S5" s="1">
        <f t="shared" ca="1" si="13"/>
        <v>369</v>
      </c>
      <c r="T5" s="1">
        <f t="shared" ca="1" si="3"/>
        <v>4363.5599999999995</v>
      </c>
      <c r="U5" s="1" t="str">
        <f t="shared" ca="1" si="14"/>
        <v/>
      </c>
      <c r="V5" s="1"/>
      <c r="W5" s="1"/>
      <c r="X5" s="12">
        <f t="shared" ca="1" si="15"/>
        <v>-3994.5599999999995</v>
      </c>
      <c r="Y5" s="2">
        <v>3</v>
      </c>
      <c r="Z5" s="1">
        <f t="shared" si="16"/>
        <v>2320.8996000000002</v>
      </c>
      <c r="AA5" s="1">
        <f t="shared" ca="1" si="17"/>
        <v>1800</v>
      </c>
      <c r="AB5" s="1">
        <f t="shared" ca="1" si="4"/>
        <v>2320.8996000000002</v>
      </c>
      <c r="AC5" s="1" t="str">
        <f t="shared" ca="1" si="18"/>
        <v/>
      </c>
      <c r="AD5" s="1"/>
      <c r="AE5" s="1"/>
      <c r="AF5" s="12">
        <f t="shared" ca="1" si="19"/>
        <v>-520.89960000000019</v>
      </c>
      <c r="AG5" s="2">
        <v>3</v>
      </c>
      <c r="AH5" s="1">
        <f t="shared" si="20"/>
        <v>158.75000000000003</v>
      </c>
      <c r="AI5" s="1">
        <f t="shared" ca="1" si="21"/>
        <v>0</v>
      </c>
      <c r="AJ5" s="1">
        <f t="shared" ca="1" si="5"/>
        <v>158.75000000000003</v>
      </c>
      <c r="AK5" s="1" t="str">
        <f t="shared" ca="1" si="22"/>
        <v/>
      </c>
      <c r="AL5" s="1"/>
      <c r="AM5" s="1"/>
      <c r="AN5" s="12">
        <f t="shared" ca="1" si="23"/>
        <v>-158.75000000000003</v>
      </c>
      <c r="AP5" s="2">
        <v>3</v>
      </c>
      <c r="AQ5" s="1">
        <f t="shared" si="24"/>
        <v>0</v>
      </c>
      <c r="AR5" s="1">
        <f t="shared" ca="1" si="25"/>
        <v>0</v>
      </c>
      <c r="AS5" s="1">
        <f t="shared" ca="1" si="26"/>
        <v>0</v>
      </c>
      <c r="AT5" s="1" t="str">
        <f t="shared" ca="1" si="27"/>
        <v/>
      </c>
      <c r="AU5" s="1"/>
      <c r="AV5" s="1"/>
      <c r="BA5">
        <v>4</v>
      </c>
      <c r="BB5">
        <v>9043.4020612842723</v>
      </c>
      <c r="BC5">
        <v>6225</v>
      </c>
      <c r="BD5">
        <v>4185.84</v>
      </c>
      <c r="BE5">
        <v>415</v>
      </c>
      <c r="BF5">
        <v>2090.7768000000001</v>
      </c>
      <c r="BG5">
        <v>2250</v>
      </c>
      <c r="BH5">
        <v>158.75000000000003</v>
      </c>
      <c r="BI5">
        <v>0</v>
      </c>
      <c r="BJ5">
        <v>0</v>
      </c>
      <c r="BK5">
        <v>0</v>
      </c>
      <c r="CD5" s="162" t="s">
        <v>123</v>
      </c>
      <c r="CE5" s="165">
        <v>0</v>
      </c>
      <c r="CF5" s="165">
        <v>0</v>
      </c>
      <c r="CG5" s="165">
        <f>TB_Entradas[[#This Row],[EXEC]]-TB_Entradas[[#This Row],[D+1]]</f>
        <v>0</v>
      </c>
    </row>
    <row r="6" spans="1:85" ht="15.75">
      <c r="A6" s="2">
        <v>4</v>
      </c>
      <c r="B6" s="1">
        <f t="shared" si="28"/>
        <v>15478.768861284272</v>
      </c>
      <c r="C6" s="1">
        <f t="shared" ca="1" si="0"/>
        <v>8890</v>
      </c>
      <c r="D6" s="1">
        <f t="shared" ca="1" si="1"/>
        <v>15478.768861284272</v>
      </c>
      <c r="E6" s="1" t="str">
        <f t="shared" ca="1" si="6"/>
        <v/>
      </c>
      <c r="F6" s="1"/>
      <c r="G6" s="1"/>
      <c r="H6" s="12">
        <f t="shared" ca="1" si="7"/>
        <v>-6588.7688612842721</v>
      </c>
      <c r="I6" s="2">
        <v>4</v>
      </c>
      <c r="J6" s="1">
        <f t="shared" si="8"/>
        <v>9043.4020612842723</v>
      </c>
      <c r="K6" s="1">
        <f t="shared" ca="1" si="9"/>
        <v>6225</v>
      </c>
      <c r="L6" s="1">
        <f t="shared" ca="1" si="2"/>
        <v>9043.4020612842723</v>
      </c>
      <c r="M6" s="1" t="str">
        <f t="shared" ca="1" si="10"/>
        <v/>
      </c>
      <c r="N6" s="1"/>
      <c r="O6" s="1"/>
      <c r="P6" s="12">
        <f t="shared" ca="1" si="11"/>
        <v>-2818.4020612842723</v>
      </c>
      <c r="Q6" s="2">
        <v>4</v>
      </c>
      <c r="R6" s="1">
        <f t="shared" si="12"/>
        <v>4185.84</v>
      </c>
      <c r="S6" s="1">
        <f t="shared" ca="1" si="13"/>
        <v>415</v>
      </c>
      <c r="T6" s="1">
        <f t="shared" ca="1" si="3"/>
        <v>4185.84</v>
      </c>
      <c r="U6" s="1" t="str">
        <f t="shared" ca="1" si="14"/>
        <v/>
      </c>
      <c r="V6" s="1"/>
      <c r="W6" s="1"/>
      <c r="X6" s="12">
        <f t="shared" ca="1" si="15"/>
        <v>-3770.84</v>
      </c>
      <c r="Y6" s="2">
        <v>4</v>
      </c>
      <c r="Z6" s="1">
        <f t="shared" si="16"/>
        <v>2090.7768000000001</v>
      </c>
      <c r="AA6" s="1">
        <f t="shared" ca="1" si="17"/>
        <v>2250</v>
      </c>
      <c r="AB6" s="1">
        <f t="shared" ca="1" si="4"/>
        <v>2090.7768000000001</v>
      </c>
      <c r="AC6" s="1" t="str">
        <f t="shared" ca="1" si="18"/>
        <v/>
      </c>
      <c r="AD6" s="1"/>
      <c r="AE6" s="1"/>
      <c r="AF6" s="12">
        <f t="shared" ca="1" si="19"/>
        <v>159.22319999999991</v>
      </c>
      <c r="AG6" s="2">
        <v>4</v>
      </c>
      <c r="AH6" s="1">
        <f t="shared" si="20"/>
        <v>158.75000000000003</v>
      </c>
      <c r="AI6" s="1">
        <f t="shared" ca="1" si="21"/>
        <v>0</v>
      </c>
      <c r="AJ6" s="1">
        <f t="shared" ca="1" si="5"/>
        <v>158.75000000000003</v>
      </c>
      <c r="AK6" s="1" t="str">
        <f t="shared" ca="1" si="22"/>
        <v/>
      </c>
      <c r="AL6" s="1"/>
      <c r="AM6" s="1"/>
      <c r="AN6" s="12">
        <f t="shared" ca="1" si="23"/>
        <v>-158.75000000000003</v>
      </c>
      <c r="AP6" s="2">
        <v>4</v>
      </c>
      <c r="AQ6" s="1">
        <f t="shared" si="24"/>
        <v>0</v>
      </c>
      <c r="AR6" s="1">
        <f t="shared" ca="1" si="25"/>
        <v>0</v>
      </c>
      <c r="AS6" s="1">
        <f t="shared" ca="1" si="26"/>
        <v>0</v>
      </c>
      <c r="AT6" s="1" t="str">
        <f t="shared" ca="1" si="27"/>
        <v/>
      </c>
      <c r="AU6" s="1"/>
      <c r="AV6" s="1"/>
      <c r="BA6">
        <v>5</v>
      </c>
      <c r="BB6">
        <v>8359.580984978129</v>
      </c>
      <c r="BC6">
        <v>4936</v>
      </c>
      <c r="BD6">
        <v>3015.48</v>
      </c>
      <c r="BE6">
        <v>2559</v>
      </c>
      <c r="BF6">
        <v>2111.9616000000001</v>
      </c>
      <c r="BG6">
        <v>1880</v>
      </c>
      <c r="BH6">
        <v>158.75000000000003</v>
      </c>
      <c r="BI6">
        <v>0</v>
      </c>
      <c r="BJ6">
        <v>0</v>
      </c>
      <c r="BK6">
        <v>0</v>
      </c>
      <c r="CD6" s="162" t="s">
        <v>125</v>
      </c>
      <c r="CE6" s="166">
        <v>0</v>
      </c>
      <c r="CF6" s="166">
        <v>0</v>
      </c>
      <c r="CG6" s="166">
        <f>TB_Entradas[[#This Row],[EXEC]]-TB_Entradas[[#This Row],[D+1]]</f>
        <v>0</v>
      </c>
    </row>
    <row r="7" spans="1:85" ht="15.75">
      <c r="A7" s="2">
        <v>5</v>
      </c>
      <c r="B7" s="1">
        <f t="shared" si="28"/>
        <v>13645.772584978129</v>
      </c>
      <c r="C7" s="1">
        <f t="shared" ca="1" si="0"/>
        <v>9375</v>
      </c>
      <c r="D7" s="1">
        <f t="shared" ca="1" si="1"/>
        <v>13645.772584978129</v>
      </c>
      <c r="E7" s="1" t="str">
        <f t="shared" ca="1" si="6"/>
        <v/>
      </c>
      <c r="F7" s="1"/>
      <c r="G7" s="1"/>
      <c r="H7" s="12">
        <f t="shared" ca="1" si="7"/>
        <v>-4270.7725849781291</v>
      </c>
      <c r="I7" s="2">
        <v>5</v>
      </c>
      <c r="J7" s="1">
        <f t="shared" si="8"/>
        <v>8359.580984978129</v>
      </c>
      <c r="K7" s="1">
        <f t="shared" ca="1" si="9"/>
        <v>4936</v>
      </c>
      <c r="L7" s="1">
        <f t="shared" ca="1" si="2"/>
        <v>8359.580984978129</v>
      </c>
      <c r="M7" s="1" t="str">
        <f t="shared" ca="1" si="10"/>
        <v/>
      </c>
      <c r="N7" s="1"/>
      <c r="O7" s="1"/>
      <c r="P7" s="12">
        <f t="shared" ca="1" si="11"/>
        <v>-3423.580984978129</v>
      </c>
      <c r="Q7" s="2">
        <v>5</v>
      </c>
      <c r="R7" s="1">
        <f t="shared" si="12"/>
        <v>3015.48</v>
      </c>
      <c r="S7" s="1">
        <f t="shared" ca="1" si="13"/>
        <v>2559</v>
      </c>
      <c r="T7" s="1">
        <f t="shared" ca="1" si="3"/>
        <v>3015.48</v>
      </c>
      <c r="U7" s="1" t="str">
        <f t="shared" ca="1" si="14"/>
        <v/>
      </c>
      <c r="V7" s="1"/>
      <c r="W7" s="1"/>
      <c r="X7" s="12">
        <f t="shared" ca="1" si="15"/>
        <v>-456.48</v>
      </c>
      <c r="Y7" s="2">
        <v>5</v>
      </c>
      <c r="Z7" s="1">
        <f t="shared" si="16"/>
        <v>2111.9616000000001</v>
      </c>
      <c r="AA7" s="1">
        <f t="shared" ca="1" si="17"/>
        <v>1880</v>
      </c>
      <c r="AB7" s="1">
        <f t="shared" ca="1" si="4"/>
        <v>2111.9616000000001</v>
      </c>
      <c r="AC7" s="1" t="str">
        <f t="shared" ca="1" si="18"/>
        <v/>
      </c>
      <c r="AD7" s="1"/>
      <c r="AE7" s="1"/>
      <c r="AF7" s="12">
        <f t="shared" ca="1" si="19"/>
        <v>-231.96160000000009</v>
      </c>
      <c r="AG7" s="2">
        <v>5</v>
      </c>
      <c r="AH7" s="1">
        <f t="shared" si="20"/>
        <v>158.75000000000003</v>
      </c>
      <c r="AI7" s="1">
        <f t="shared" ca="1" si="21"/>
        <v>0</v>
      </c>
      <c r="AJ7" s="1">
        <f t="shared" ca="1" si="5"/>
        <v>158.75000000000003</v>
      </c>
      <c r="AK7" s="1" t="str">
        <f t="shared" ca="1" si="22"/>
        <v/>
      </c>
      <c r="AL7" s="1"/>
      <c r="AM7" s="1"/>
      <c r="AN7" s="12">
        <f t="shared" ca="1" si="23"/>
        <v>-158.75000000000003</v>
      </c>
      <c r="AP7" s="2">
        <v>5</v>
      </c>
      <c r="AQ7" s="1">
        <f t="shared" si="24"/>
        <v>0</v>
      </c>
      <c r="AR7" s="1">
        <f t="shared" ca="1" si="25"/>
        <v>0</v>
      </c>
      <c r="AS7" s="1">
        <f t="shared" ca="1" si="26"/>
        <v>0</v>
      </c>
      <c r="AT7" s="1" t="str">
        <f t="shared" ca="1" si="27"/>
        <v/>
      </c>
      <c r="AU7" s="1"/>
      <c r="AV7" s="1"/>
      <c r="BA7">
        <v>6</v>
      </c>
      <c r="BB7">
        <v>9247.2755464859456</v>
      </c>
      <c r="BC7">
        <v>7745</v>
      </c>
      <c r="BD7">
        <v>4660.32</v>
      </c>
      <c r="BE7">
        <v>2509</v>
      </c>
      <c r="BF7">
        <v>2198.9124000000002</v>
      </c>
      <c r="BG7">
        <v>1290</v>
      </c>
      <c r="BH7">
        <v>158.75000000000003</v>
      </c>
      <c r="BI7">
        <v>0</v>
      </c>
      <c r="BJ7">
        <v>0</v>
      </c>
      <c r="BK7">
        <v>0</v>
      </c>
      <c r="CD7" s="162" t="s">
        <v>126</v>
      </c>
      <c r="CE7" s="166">
        <v>82866.359999999986</v>
      </c>
      <c r="CF7" s="166">
        <v>85578</v>
      </c>
      <c r="CG7" s="166">
        <f>TB_Entradas[[#This Row],[EXEC]]-TB_Entradas[[#This Row],[D+1]]</f>
        <v>2711.640000000014</v>
      </c>
    </row>
    <row r="8" spans="1:85" ht="15.75">
      <c r="A8" s="2">
        <v>6</v>
      </c>
      <c r="B8" s="1">
        <f t="shared" si="28"/>
        <v>16265.257946485945</v>
      </c>
      <c r="C8" s="1">
        <f t="shared" ca="1" si="0"/>
        <v>11544</v>
      </c>
      <c r="D8" s="1">
        <f t="shared" ca="1" si="1"/>
        <v>16265.257946485945</v>
      </c>
      <c r="E8" s="1" t="str">
        <f t="shared" ca="1" si="6"/>
        <v/>
      </c>
      <c r="F8" s="1"/>
      <c r="G8" s="1"/>
      <c r="H8" s="12">
        <f t="shared" ca="1" si="7"/>
        <v>-4721.2579464859446</v>
      </c>
      <c r="I8" s="2">
        <v>6</v>
      </c>
      <c r="J8" s="1">
        <f t="shared" si="8"/>
        <v>9247.2755464859456</v>
      </c>
      <c r="K8" s="1">
        <f t="shared" ca="1" si="9"/>
        <v>7745</v>
      </c>
      <c r="L8" s="1">
        <f t="shared" ca="1" si="2"/>
        <v>9247.2755464859456</v>
      </c>
      <c r="M8" s="1" t="str">
        <f t="shared" ca="1" si="10"/>
        <v/>
      </c>
      <c r="N8" s="1"/>
      <c r="O8" s="1"/>
      <c r="P8" s="12">
        <f t="shared" ca="1" si="11"/>
        <v>-1502.2755464859456</v>
      </c>
      <c r="Q8" s="2">
        <v>6</v>
      </c>
      <c r="R8" s="1">
        <f t="shared" si="12"/>
        <v>4660.32</v>
      </c>
      <c r="S8" s="1">
        <f t="shared" ca="1" si="13"/>
        <v>2509</v>
      </c>
      <c r="T8" s="1">
        <f t="shared" ca="1" si="3"/>
        <v>4660.32</v>
      </c>
      <c r="U8" s="1" t="str">
        <f t="shared" ca="1" si="14"/>
        <v/>
      </c>
      <c r="V8" s="1"/>
      <c r="W8" s="1"/>
      <c r="X8" s="12">
        <f t="shared" ca="1" si="15"/>
        <v>-2151.3199999999997</v>
      </c>
      <c r="Y8" s="2">
        <v>6</v>
      </c>
      <c r="Z8" s="1">
        <f t="shared" si="16"/>
        <v>2198.9124000000002</v>
      </c>
      <c r="AA8" s="1">
        <f t="shared" ca="1" si="17"/>
        <v>1290</v>
      </c>
      <c r="AB8" s="1">
        <f t="shared" ca="1" si="4"/>
        <v>2198.9124000000002</v>
      </c>
      <c r="AC8" s="1" t="str">
        <f t="shared" ca="1" si="18"/>
        <v/>
      </c>
      <c r="AD8" s="1"/>
      <c r="AE8" s="1"/>
      <c r="AF8" s="12">
        <f t="shared" ca="1" si="19"/>
        <v>-908.91240000000016</v>
      </c>
      <c r="AG8" s="2">
        <v>6</v>
      </c>
      <c r="AH8" s="1">
        <f t="shared" si="20"/>
        <v>158.75000000000003</v>
      </c>
      <c r="AI8" s="1">
        <f t="shared" ca="1" si="21"/>
        <v>0</v>
      </c>
      <c r="AJ8" s="1">
        <f t="shared" ca="1" si="5"/>
        <v>158.75000000000003</v>
      </c>
      <c r="AK8" s="1" t="str">
        <f t="shared" ca="1" si="22"/>
        <v/>
      </c>
      <c r="AL8" s="1"/>
      <c r="AM8" s="1"/>
      <c r="AN8" s="12">
        <f t="shared" ca="1" si="23"/>
        <v>-158.75000000000003</v>
      </c>
      <c r="AP8" s="2">
        <v>6</v>
      </c>
      <c r="AQ8" s="1">
        <f t="shared" si="24"/>
        <v>0</v>
      </c>
      <c r="AR8" s="1">
        <f t="shared" ca="1" si="25"/>
        <v>0</v>
      </c>
      <c r="AS8" s="1">
        <f t="shared" ca="1" si="26"/>
        <v>0</v>
      </c>
      <c r="AT8" s="1" t="str">
        <f t="shared" ca="1" si="27"/>
        <v/>
      </c>
      <c r="AU8" s="1"/>
      <c r="AV8" s="1"/>
      <c r="BA8">
        <v>7</v>
      </c>
      <c r="BB8">
        <v>8860.9254165639395</v>
      </c>
      <c r="BC8">
        <v>7443.3</v>
      </c>
      <c r="BD8">
        <v>4963.8</v>
      </c>
      <c r="BE8">
        <v>2267</v>
      </c>
      <c r="BF8">
        <v>2270.4984000000004</v>
      </c>
      <c r="BG8">
        <v>670</v>
      </c>
      <c r="BH8">
        <v>158.75000000000003</v>
      </c>
      <c r="BI8">
        <v>0</v>
      </c>
      <c r="BJ8">
        <v>0</v>
      </c>
      <c r="BK8">
        <v>0</v>
      </c>
      <c r="CD8" s="162" t="s">
        <v>127</v>
      </c>
      <c r="CE8" s="166">
        <v>17770.68</v>
      </c>
      <c r="CF8" s="166">
        <v>20800</v>
      </c>
      <c r="CG8" s="166">
        <f>TB_Entradas[[#This Row],[EXEC]]-TB_Entradas[[#This Row],[D+1]]</f>
        <v>3029.3199999999997</v>
      </c>
    </row>
    <row r="9" spans="1:85" ht="15.75">
      <c r="A9" s="2">
        <v>7</v>
      </c>
      <c r="B9" s="1">
        <f t="shared" si="28"/>
        <v>16253.973816563939</v>
      </c>
      <c r="C9" s="1">
        <f t="shared" ca="1" si="0"/>
        <v>10380.299999999999</v>
      </c>
      <c r="D9" s="1">
        <f t="shared" ca="1" si="1"/>
        <v>16253.973816563939</v>
      </c>
      <c r="E9" s="1" t="str">
        <f t="shared" ca="1" si="6"/>
        <v/>
      </c>
      <c r="F9" s="1"/>
      <c r="G9" s="1"/>
      <c r="H9" s="12">
        <f t="shared" ca="1" si="7"/>
        <v>-5873.6738165639399</v>
      </c>
      <c r="I9" s="2">
        <v>7</v>
      </c>
      <c r="J9" s="1">
        <f t="shared" si="8"/>
        <v>8860.9254165639395</v>
      </c>
      <c r="K9" s="1">
        <f t="shared" ca="1" si="9"/>
        <v>7443.3</v>
      </c>
      <c r="L9" s="1">
        <f t="shared" ca="1" si="2"/>
        <v>8860.9254165639395</v>
      </c>
      <c r="M9" s="1" t="str">
        <f t="shared" ca="1" si="10"/>
        <v/>
      </c>
      <c r="N9" s="1"/>
      <c r="O9" s="1"/>
      <c r="P9" s="12">
        <f t="shared" ca="1" si="11"/>
        <v>-1417.6254165639393</v>
      </c>
      <c r="Q9" s="2">
        <v>7</v>
      </c>
      <c r="R9" s="1">
        <f t="shared" si="12"/>
        <v>4963.8</v>
      </c>
      <c r="S9" s="1">
        <f t="shared" ca="1" si="13"/>
        <v>2267</v>
      </c>
      <c r="T9" s="1">
        <f t="shared" ca="1" si="3"/>
        <v>4963.8</v>
      </c>
      <c r="U9" s="1" t="str">
        <f t="shared" ca="1" si="14"/>
        <v/>
      </c>
      <c r="V9" s="1"/>
      <c r="W9" s="1"/>
      <c r="X9" s="12">
        <f t="shared" ca="1" si="15"/>
        <v>-2696.8</v>
      </c>
      <c r="Y9" s="2">
        <v>7</v>
      </c>
      <c r="Z9" s="1">
        <f t="shared" si="16"/>
        <v>2270.4984000000004</v>
      </c>
      <c r="AA9" s="1">
        <f t="shared" ca="1" si="17"/>
        <v>670</v>
      </c>
      <c r="AB9" s="1">
        <f t="shared" ca="1" si="4"/>
        <v>2270.4984000000004</v>
      </c>
      <c r="AC9" s="1" t="str">
        <f t="shared" ca="1" si="18"/>
        <v/>
      </c>
      <c r="AD9" s="1"/>
      <c r="AE9" s="1"/>
      <c r="AF9" s="12">
        <f t="shared" ca="1" si="19"/>
        <v>-1600.4984000000004</v>
      </c>
      <c r="AG9" s="2">
        <v>7</v>
      </c>
      <c r="AH9" s="1">
        <f t="shared" si="20"/>
        <v>158.75000000000003</v>
      </c>
      <c r="AI9" s="1">
        <f t="shared" ca="1" si="21"/>
        <v>0</v>
      </c>
      <c r="AJ9" s="1">
        <f t="shared" ca="1" si="5"/>
        <v>158.75000000000003</v>
      </c>
      <c r="AK9" s="1" t="str">
        <f t="shared" ca="1" si="22"/>
        <v/>
      </c>
      <c r="AL9" s="1"/>
      <c r="AM9" s="1"/>
      <c r="AN9" s="12">
        <f t="shared" ca="1" si="23"/>
        <v>-158.75000000000003</v>
      </c>
      <c r="AP9" s="2">
        <v>7</v>
      </c>
      <c r="AQ9" s="1">
        <f t="shared" si="24"/>
        <v>0</v>
      </c>
      <c r="AR9" s="1">
        <f t="shared" ca="1" si="25"/>
        <v>0</v>
      </c>
      <c r="AS9" s="1">
        <f t="shared" ca="1" si="26"/>
        <v>0</v>
      </c>
      <c r="AT9" s="1" t="str">
        <f t="shared" ca="1" si="27"/>
        <v/>
      </c>
      <c r="AU9" s="1"/>
      <c r="AV9" s="1"/>
      <c r="BA9">
        <v>8</v>
      </c>
      <c r="BB9">
        <v>8142.6499407134852</v>
      </c>
      <c r="BC9">
        <v>6505.2</v>
      </c>
      <c r="BD9">
        <v>5015.76</v>
      </c>
      <c r="BE9">
        <v>2031</v>
      </c>
      <c r="BF9">
        <v>2342.0843999999997</v>
      </c>
      <c r="BG9">
        <v>1380</v>
      </c>
      <c r="BH9">
        <v>158.75000000000003</v>
      </c>
      <c r="BI9">
        <v>0</v>
      </c>
      <c r="BJ9">
        <v>0</v>
      </c>
      <c r="BK9">
        <v>0</v>
      </c>
      <c r="CD9" s="162" t="s">
        <v>121</v>
      </c>
      <c r="CE9" s="166">
        <v>96341.64</v>
      </c>
      <c r="CF9" s="166">
        <v>112330</v>
      </c>
      <c r="CG9" s="166">
        <f>TB_Entradas[[#This Row],[EXEC]]-TB_Entradas[[#This Row],[D+1]]</f>
        <v>15988.36</v>
      </c>
    </row>
    <row r="10" spans="1:85" ht="15.75">
      <c r="A10" s="2">
        <v>8</v>
      </c>
      <c r="B10" s="1">
        <f t="shared" si="28"/>
        <v>15659.244340713485</v>
      </c>
      <c r="C10" s="1">
        <f t="shared" ca="1" si="0"/>
        <v>9916.2000000000007</v>
      </c>
      <c r="D10" s="1">
        <f t="shared" ca="1" si="1"/>
        <v>15659.244340713485</v>
      </c>
      <c r="E10" s="1" t="str">
        <f t="shared" ca="1" si="6"/>
        <v/>
      </c>
      <c r="F10" s="1"/>
      <c r="G10" s="1"/>
      <c r="H10" s="12">
        <f t="shared" ca="1" si="7"/>
        <v>-5743.0443407134844</v>
      </c>
      <c r="I10" s="2">
        <v>8</v>
      </c>
      <c r="J10" s="1">
        <f t="shared" si="8"/>
        <v>8142.6499407134852</v>
      </c>
      <c r="K10" s="1">
        <f t="shared" ca="1" si="9"/>
        <v>6505.2</v>
      </c>
      <c r="L10" s="1">
        <f t="shared" ca="1" si="2"/>
        <v>8142.6499407134852</v>
      </c>
      <c r="M10" s="1" t="str">
        <f t="shared" ca="1" si="10"/>
        <v/>
      </c>
      <c r="N10" s="1"/>
      <c r="O10" s="1"/>
      <c r="P10" s="12">
        <f t="shared" ca="1" si="11"/>
        <v>-1637.4499407134854</v>
      </c>
      <c r="Q10" s="2">
        <v>8</v>
      </c>
      <c r="R10" s="1">
        <f t="shared" si="12"/>
        <v>5015.76</v>
      </c>
      <c r="S10" s="1">
        <f t="shared" ca="1" si="13"/>
        <v>2031</v>
      </c>
      <c r="T10" s="1">
        <f t="shared" ca="1" si="3"/>
        <v>5015.76</v>
      </c>
      <c r="U10" s="1" t="str">
        <f t="shared" ca="1" si="14"/>
        <v/>
      </c>
      <c r="V10" s="1"/>
      <c r="W10" s="1"/>
      <c r="X10" s="12">
        <f t="shared" ca="1" si="15"/>
        <v>-2984.76</v>
      </c>
      <c r="Y10" s="2">
        <v>8</v>
      </c>
      <c r="Z10" s="1">
        <f t="shared" si="16"/>
        <v>2342.0843999999997</v>
      </c>
      <c r="AA10" s="1">
        <f t="shared" ca="1" si="17"/>
        <v>1380</v>
      </c>
      <c r="AB10" s="1">
        <f t="shared" ca="1" si="4"/>
        <v>2342.0843999999997</v>
      </c>
      <c r="AC10" s="1" t="str">
        <f t="shared" ca="1" si="18"/>
        <v/>
      </c>
      <c r="AD10" s="1"/>
      <c r="AE10" s="1"/>
      <c r="AF10" s="12">
        <f t="shared" ca="1" si="19"/>
        <v>-962.08439999999973</v>
      </c>
      <c r="AG10" s="2">
        <v>8</v>
      </c>
      <c r="AH10" s="1">
        <f t="shared" si="20"/>
        <v>158.75000000000003</v>
      </c>
      <c r="AI10" s="1">
        <f t="shared" ca="1" si="21"/>
        <v>0</v>
      </c>
      <c r="AJ10" s="1">
        <f t="shared" ca="1" si="5"/>
        <v>158.75000000000003</v>
      </c>
      <c r="AK10" s="1" t="str">
        <f t="shared" ca="1" si="22"/>
        <v/>
      </c>
      <c r="AL10" s="1"/>
      <c r="AM10" s="1"/>
      <c r="AN10" s="12">
        <f t="shared" ca="1" si="23"/>
        <v>-158.75000000000003</v>
      </c>
      <c r="AP10" s="2">
        <v>8</v>
      </c>
      <c r="AQ10" s="1">
        <f t="shared" si="24"/>
        <v>0</v>
      </c>
      <c r="AR10" s="1">
        <f t="shared" ca="1" si="25"/>
        <v>0</v>
      </c>
      <c r="AS10" s="1">
        <f t="shared" ca="1" si="26"/>
        <v>0</v>
      </c>
      <c r="AT10" s="1" t="str">
        <f t="shared" ca="1" si="27"/>
        <v/>
      </c>
      <c r="AU10" s="1"/>
      <c r="AV10" s="1"/>
      <c r="BA10">
        <v>9</v>
      </c>
      <c r="BB10">
        <v>7613.7639349696437</v>
      </c>
      <c r="BC10">
        <v>6400.9000000000005</v>
      </c>
      <c r="BD10">
        <v>4349.28</v>
      </c>
      <c r="BE10">
        <v>2594</v>
      </c>
      <c r="BF10">
        <v>2212.7639999999997</v>
      </c>
      <c r="BG10">
        <v>1200</v>
      </c>
      <c r="BH10">
        <v>158.75000000000003</v>
      </c>
      <c r="BI10">
        <v>0</v>
      </c>
      <c r="BJ10">
        <v>0</v>
      </c>
      <c r="BK10">
        <v>0</v>
      </c>
      <c r="CD10" s="167"/>
      <c r="CE10" s="168">
        <f>SUBTOTAL(109,CE2:CE9)</f>
        <v>328634.87999999995</v>
      </c>
      <c r="CF10" s="168">
        <f>SUBTOTAL(109,CF2:CF9)</f>
        <v>298089</v>
      </c>
      <c r="CG10" s="168">
        <f>TB_Entradas[[#Totals],[EXEC]]-TB_Entradas[[#Totals],[D+1]]</f>
        <v>-30545.879999999946</v>
      </c>
    </row>
    <row r="11" spans="1:85">
      <c r="A11" s="2">
        <v>9</v>
      </c>
      <c r="B11" s="1">
        <f t="shared" si="28"/>
        <v>14334.557934969642</v>
      </c>
      <c r="C11" s="1">
        <f t="shared" ca="1" si="0"/>
        <v>10194.900000000001</v>
      </c>
      <c r="D11" s="1">
        <f t="shared" ca="1" si="1"/>
        <v>14334.557934969642</v>
      </c>
      <c r="E11" s="1" t="str">
        <f t="shared" ca="1" si="6"/>
        <v/>
      </c>
      <c r="F11" s="1"/>
      <c r="G11" s="1"/>
      <c r="H11" s="12">
        <f t="shared" ca="1" si="7"/>
        <v>-4139.6579349696403</v>
      </c>
      <c r="I11" s="2">
        <v>9</v>
      </c>
      <c r="J11" s="1">
        <f t="shared" si="8"/>
        <v>7613.7639349696437</v>
      </c>
      <c r="K11" s="1">
        <f t="shared" ca="1" si="9"/>
        <v>6400.9000000000005</v>
      </c>
      <c r="L11" s="1">
        <f t="shared" ca="1" si="2"/>
        <v>7613.7639349696437</v>
      </c>
      <c r="M11" s="1" t="str">
        <f t="shared" ca="1" si="10"/>
        <v/>
      </c>
      <c r="N11" s="1"/>
      <c r="O11" s="1"/>
      <c r="P11" s="12">
        <f t="shared" ca="1" si="11"/>
        <v>-1212.8639349696432</v>
      </c>
      <c r="Q11" s="2">
        <v>9</v>
      </c>
      <c r="R11" s="1">
        <f t="shared" si="12"/>
        <v>4349.28</v>
      </c>
      <c r="S11" s="1">
        <f t="shared" ca="1" si="13"/>
        <v>2594</v>
      </c>
      <c r="T11" s="1">
        <f t="shared" ca="1" si="3"/>
        <v>4349.28</v>
      </c>
      <c r="U11" s="1" t="str">
        <f t="shared" ca="1" si="14"/>
        <v/>
      </c>
      <c r="V11" s="1"/>
      <c r="W11" s="1"/>
      <c r="X11" s="12">
        <f t="shared" ca="1" si="15"/>
        <v>-1755.2799999999997</v>
      </c>
      <c r="Y11" s="2">
        <v>9</v>
      </c>
      <c r="Z11" s="1">
        <f t="shared" si="16"/>
        <v>2212.7639999999997</v>
      </c>
      <c r="AA11" s="1">
        <f t="shared" ca="1" si="17"/>
        <v>1200</v>
      </c>
      <c r="AB11" s="1">
        <f t="shared" ca="1" si="4"/>
        <v>2212.7639999999997</v>
      </c>
      <c r="AC11" s="1" t="str">
        <f t="shared" ca="1" si="18"/>
        <v/>
      </c>
      <c r="AD11" s="1"/>
      <c r="AE11" s="1"/>
      <c r="AF11" s="12">
        <f t="shared" ca="1" si="19"/>
        <v>-1012.7639999999997</v>
      </c>
      <c r="AG11" s="2">
        <v>9</v>
      </c>
      <c r="AH11" s="1">
        <f t="shared" si="20"/>
        <v>158.75000000000003</v>
      </c>
      <c r="AI11" s="1">
        <f t="shared" ca="1" si="21"/>
        <v>0</v>
      </c>
      <c r="AJ11" s="1">
        <f t="shared" ca="1" si="5"/>
        <v>158.75000000000003</v>
      </c>
      <c r="AK11" s="1" t="str">
        <f t="shared" ca="1" si="22"/>
        <v/>
      </c>
      <c r="AL11" s="1"/>
      <c r="AM11" s="1"/>
      <c r="AN11" s="12">
        <f t="shared" ca="1" si="23"/>
        <v>-158.75000000000003</v>
      </c>
      <c r="AP11" s="2">
        <v>9</v>
      </c>
      <c r="AQ11" s="1">
        <f t="shared" si="24"/>
        <v>0</v>
      </c>
      <c r="AR11" s="1">
        <f t="shared" ca="1" si="25"/>
        <v>0</v>
      </c>
      <c r="AS11" s="1">
        <f t="shared" ca="1" si="26"/>
        <v>0</v>
      </c>
      <c r="AT11" s="1" t="str">
        <f t="shared" ca="1" si="27"/>
        <v/>
      </c>
      <c r="AU11" s="1"/>
      <c r="AV11" s="1"/>
      <c r="BA11">
        <v>10</v>
      </c>
      <c r="BB11">
        <v>7748.7286210826987</v>
      </c>
      <c r="BC11">
        <v>8223.4000000000015</v>
      </c>
      <c r="BD11">
        <v>4460.76</v>
      </c>
      <c r="BE11">
        <v>1709</v>
      </c>
      <c r="BF11">
        <v>812.35560000000009</v>
      </c>
      <c r="BG11">
        <v>1810</v>
      </c>
      <c r="BH11">
        <v>158.75000000000003</v>
      </c>
      <c r="BI11">
        <v>0</v>
      </c>
      <c r="BJ11">
        <v>0</v>
      </c>
      <c r="BK11">
        <v>0</v>
      </c>
    </row>
    <row r="12" spans="1:85">
      <c r="A12" s="2">
        <v>10</v>
      </c>
      <c r="B12" s="1">
        <f t="shared" si="28"/>
        <v>13180.5942210827</v>
      </c>
      <c r="C12" s="1">
        <f t="shared" ca="1" si="0"/>
        <v>11742.400000000001</v>
      </c>
      <c r="D12" s="1">
        <f t="shared" ca="1" si="1"/>
        <v>13180.5942210827</v>
      </c>
      <c r="E12" s="1" t="str">
        <f t="shared" ca="1" si="6"/>
        <v/>
      </c>
      <c r="F12" s="1"/>
      <c r="G12" s="1"/>
      <c r="H12" s="12">
        <f t="shared" ca="1" si="7"/>
        <v>-1438.1942210826983</v>
      </c>
      <c r="I12" s="2">
        <v>10</v>
      </c>
      <c r="J12" s="1">
        <f t="shared" si="8"/>
        <v>7748.7286210826987</v>
      </c>
      <c r="K12" s="1">
        <f t="shared" ca="1" si="9"/>
        <v>8223.4000000000015</v>
      </c>
      <c r="L12" s="1">
        <f t="shared" ca="1" si="2"/>
        <v>7748.7286210826987</v>
      </c>
      <c r="M12" s="1" t="str">
        <f t="shared" ca="1" si="10"/>
        <v/>
      </c>
      <c r="N12" s="1"/>
      <c r="O12" s="1"/>
      <c r="P12" s="12">
        <f t="shared" ca="1" si="11"/>
        <v>474.67137891730272</v>
      </c>
      <c r="Q12" s="2">
        <v>10</v>
      </c>
      <c r="R12" s="1">
        <f t="shared" si="12"/>
        <v>4460.76</v>
      </c>
      <c r="S12" s="1">
        <f t="shared" ca="1" si="13"/>
        <v>1709</v>
      </c>
      <c r="T12" s="1">
        <f t="shared" ca="1" si="3"/>
        <v>4460.76</v>
      </c>
      <c r="U12" s="1" t="str">
        <f t="shared" ca="1" si="14"/>
        <v/>
      </c>
      <c r="V12" s="1"/>
      <c r="W12" s="1"/>
      <c r="X12" s="12">
        <f t="shared" ca="1" si="15"/>
        <v>-2751.76</v>
      </c>
      <c r="Y12" s="2">
        <v>10</v>
      </c>
      <c r="Z12" s="1">
        <f t="shared" si="16"/>
        <v>812.35560000000009</v>
      </c>
      <c r="AA12" s="1">
        <f t="shared" ca="1" si="17"/>
        <v>1810</v>
      </c>
      <c r="AB12" s="1">
        <f t="shared" ca="1" si="4"/>
        <v>812.35560000000009</v>
      </c>
      <c r="AC12" s="1" t="str">
        <f t="shared" ca="1" si="18"/>
        <v/>
      </c>
      <c r="AD12" s="1"/>
      <c r="AE12" s="1"/>
      <c r="AF12" s="12">
        <f t="shared" ca="1" si="19"/>
        <v>997.64439999999991</v>
      </c>
      <c r="AG12" s="2">
        <v>10</v>
      </c>
      <c r="AH12" s="1">
        <f t="shared" si="20"/>
        <v>158.75000000000003</v>
      </c>
      <c r="AI12" s="1">
        <f t="shared" ca="1" si="21"/>
        <v>0</v>
      </c>
      <c r="AJ12" s="1">
        <f t="shared" ca="1" si="5"/>
        <v>158.75000000000003</v>
      </c>
      <c r="AK12" s="1" t="str">
        <f t="shared" ca="1" si="22"/>
        <v/>
      </c>
      <c r="AL12" s="1"/>
      <c r="AM12" s="1"/>
      <c r="AN12" s="12">
        <f t="shared" ca="1" si="23"/>
        <v>-158.75000000000003</v>
      </c>
      <c r="AP12" s="2">
        <v>10</v>
      </c>
      <c r="AQ12" s="1">
        <f t="shared" si="24"/>
        <v>0</v>
      </c>
      <c r="AR12" s="1">
        <f t="shared" ca="1" si="25"/>
        <v>0</v>
      </c>
      <c r="AS12" s="1">
        <f t="shared" ca="1" si="26"/>
        <v>0</v>
      </c>
      <c r="AT12" s="1" t="str">
        <f t="shared" ca="1" si="27"/>
        <v/>
      </c>
      <c r="AU12" s="1"/>
      <c r="AV12" s="1"/>
      <c r="BA12">
        <v>11</v>
      </c>
      <c r="BB12">
        <v>6847.9765005119116</v>
      </c>
      <c r="BC12">
        <v>7568.6</v>
      </c>
      <c r="BD12">
        <v>3882.3599999999997</v>
      </c>
      <c r="BE12">
        <v>1554</v>
      </c>
      <c r="BF12">
        <v>704.2199999999998</v>
      </c>
      <c r="BG12">
        <v>1550</v>
      </c>
      <c r="BH12">
        <v>158.75000000000003</v>
      </c>
      <c r="BI12">
        <v>0</v>
      </c>
      <c r="BJ12">
        <v>0</v>
      </c>
      <c r="BK12">
        <v>0</v>
      </c>
    </row>
    <row r="13" spans="1:85">
      <c r="A13" s="2">
        <v>11</v>
      </c>
      <c r="B13" s="1">
        <f t="shared" si="28"/>
        <v>11593.306500511912</v>
      </c>
      <c r="C13" s="1">
        <f ca="1">IF(K13="","",SUM(K13,S13,AA13,AI13))</f>
        <v>10672.6</v>
      </c>
      <c r="D13" s="1">
        <f ca="1">IF(C13="","",B13)</f>
        <v>11593.306500511912</v>
      </c>
      <c r="E13" s="1" t="str">
        <f t="shared" ca="1" si="6"/>
        <v/>
      </c>
      <c r="F13" s="1"/>
      <c r="G13" s="1"/>
      <c r="H13" s="12">
        <f t="shared" ca="1" si="7"/>
        <v>-920.70650051191114</v>
      </c>
      <c r="I13" s="2">
        <v>11</v>
      </c>
      <c r="J13" s="1">
        <f t="shared" si="8"/>
        <v>6847.9765005119116</v>
      </c>
      <c r="K13" s="1">
        <f t="shared" ca="1" si="9"/>
        <v>7568.6</v>
      </c>
      <c r="L13" s="1">
        <f t="shared" ca="1" si="2"/>
        <v>6847.9765005119116</v>
      </c>
      <c r="M13" s="1" t="str">
        <f t="shared" ca="1" si="10"/>
        <v/>
      </c>
      <c r="N13" s="1"/>
      <c r="O13" s="1"/>
      <c r="P13" s="12">
        <f t="shared" ca="1" si="11"/>
        <v>720.62349948808878</v>
      </c>
      <c r="Q13" s="2">
        <v>11</v>
      </c>
      <c r="R13" s="1">
        <f t="shared" si="12"/>
        <v>3882.3599999999997</v>
      </c>
      <c r="S13" s="1">
        <f t="shared" ca="1" si="13"/>
        <v>1554</v>
      </c>
      <c r="T13" s="1">
        <f t="shared" ca="1" si="3"/>
        <v>3882.3599999999997</v>
      </c>
      <c r="U13" s="1" t="str">
        <f t="shared" ca="1" si="14"/>
        <v/>
      </c>
      <c r="V13" s="1"/>
      <c r="W13" s="1"/>
      <c r="X13" s="12">
        <f t="shared" ca="1" si="15"/>
        <v>-2328.3599999999997</v>
      </c>
      <c r="Y13" s="2">
        <v>11</v>
      </c>
      <c r="Z13" s="1">
        <f t="shared" si="16"/>
        <v>704.2199999999998</v>
      </c>
      <c r="AA13" s="1">
        <f t="shared" ca="1" si="17"/>
        <v>1550</v>
      </c>
      <c r="AB13" s="1">
        <f t="shared" ca="1" si="4"/>
        <v>704.2199999999998</v>
      </c>
      <c r="AC13" s="1" t="str">
        <f t="shared" ca="1" si="18"/>
        <v/>
      </c>
      <c r="AD13" s="1"/>
      <c r="AE13" s="1"/>
      <c r="AF13" s="12">
        <f t="shared" ca="1" si="19"/>
        <v>845.7800000000002</v>
      </c>
      <c r="AG13" s="2">
        <v>11</v>
      </c>
      <c r="AH13" s="1">
        <f t="shared" si="20"/>
        <v>158.75000000000003</v>
      </c>
      <c r="AI13" s="1">
        <f t="shared" ca="1" si="21"/>
        <v>0</v>
      </c>
      <c r="AJ13" s="1">
        <f t="shared" ca="1" si="5"/>
        <v>158.75000000000003</v>
      </c>
      <c r="AK13" s="1" t="str">
        <f t="shared" ca="1" si="22"/>
        <v/>
      </c>
      <c r="AL13" s="1"/>
      <c r="AM13" s="1"/>
      <c r="AN13" s="12">
        <f t="shared" ca="1" si="23"/>
        <v>-158.75000000000003</v>
      </c>
      <c r="AP13" s="2">
        <v>11</v>
      </c>
      <c r="AQ13" s="1">
        <f t="shared" si="24"/>
        <v>0</v>
      </c>
      <c r="AR13" s="1">
        <f t="shared" ca="1" si="25"/>
        <v>0</v>
      </c>
      <c r="AS13" s="1">
        <f t="shared" ca="1" si="26"/>
        <v>0</v>
      </c>
      <c r="AT13" s="1" t="str">
        <f t="shared" ca="1" si="27"/>
        <v/>
      </c>
      <c r="AU13" s="1"/>
      <c r="AV13" s="1"/>
      <c r="BA13">
        <v>12</v>
      </c>
      <c r="BB13">
        <v>6252.2665160340457</v>
      </c>
      <c r="BC13">
        <v>7420.1</v>
      </c>
      <c r="BD13">
        <v>4482.6000000000004</v>
      </c>
      <c r="BE13">
        <v>3222</v>
      </c>
      <c r="BF13">
        <v>704.22000000000025</v>
      </c>
      <c r="BG13">
        <v>1760</v>
      </c>
      <c r="BH13">
        <v>158.75000000000003</v>
      </c>
      <c r="BI13">
        <v>0</v>
      </c>
      <c r="BJ13">
        <v>0</v>
      </c>
      <c r="BK13">
        <v>0</v>
      </c>
      <c r="CE13" s="161"/>
    </row>
    <row r="14" spans="1:85">
      <c r="A14" s="2">
        <v>12</v>
      </c>
      <c r="B14" s="1">
        <f t="shared" si="28"/>
        <v>11597.836516034047</v>
      </c>
      <c r="C14" s="1">
        <f t="shared" ca="1" si="0"/>
        <v>12402.1</v>
      </c>
      <c r="D14" s="1">
        <f t="shared" ca="1" si="1"/>
        <v>11597.836516034047</v>
      </c>
      <c r="E14" s="1" t="str">
        <f t="shared" ca="1" si="6"/>
        <v/>
      </c>
      <c r="F14" s="1"/>
      <c r="G14" s="1"/>
      <c r="H14" s="12">
        <f t="shared" ca="1" si="7"/>
        <v>804.26348396595313</v>
      </c>
      <c r="I14" s="2">
        <v>12</v>
      </c>
      <c r="J14" s="1">
        <f t="shared" si="8"/>
        <v>6252.2665160340457</v>
      </c>
      <c r="K14" s="1">
        <f t="shared" ca="1" si="9"/>
        <v>7420.1</v>
      </c>
      <c r="L14" s="1">
        <f t="shared" ca="1" si="2"/>
        <v>6252.2665160340457</v>
      </c>
      <c r="M14" s="1" t="str">
        <f t="shared" ca="1" si="10"/>
        <v/>
      </c>
      <c r="N14" s="1"/>
      <c r="O14" s="1"/>
      <c r="P14" s="12">
        <f t="shared" ca="1" si="11"/>
        <v>1167.8334839659547</v>
      </c>
      <c r="Q14" s="2">
        <v>12</v>
      </c>
      <c r="R14" s="1">
        <f t="shared" si="12"/>
        <v>4482.6000000000004</v>
      </c>
      <c r="S14" s="1">
        <f t="shared" ca="1" si="13"/>
        <v>3222</v>
      </c>
      <c r="T14" s="1">
        <f t="shared" ca="1" si="3"/>
        <v>4482.6000000000004</v>
      </c>
      <c r="U14" s="1" t="str">
        <f t="shared" ca="1" si="14"/>
        <v/>
      </c>
      <c r="V14" s="1"/>
      <c r="W14" s="1"/>
      <c r="X14" s="12">
        <f t="shared" ca="1" si="15"/>
        <v>-1260.6000000000004</v>
      </c>
      <c r="Y14" s="2">
        <v>12</v>
      </c>
      <c r="Z14" s="1">
        <f t="shared" si="16"/>
        <v>704.22000000000025</v>
      </c>
      <c r="AA14" s="1">
        <f t="shared" ca="1" si="17"/>
        <v>1760</v>
      </c>
      <c r="AB14" s="1">
        <f t="shared" ca="1" si="4"/>
        <v>704.22000000000025</v>
      </c>
      <c r="AC14" s="1" t="str">
        <f t="shared" ca="1" si="18"/>
        <v/>
      </c>
      <c r="AD14" s="1"/>
      <c r="AE14" s="1"/>
      <c r="AF14" s="12">
        <f t="shared" ca="1" si="19"/>
        <v>1055.7799999999997</v>
      </c>
      <c r="AG14" s="2">
        <v>12</v>
      </c>
      <c r="AH14" s="1">
        <f t="shared" si="20"/>
        <v>158.75000000000003</v>
      </c>
      <c r="AI14" s="1">
        <f t="shared" ca="1" si="21"/>
        <v>0</v>
      </c>
      <c r="AJ14" s="1">
        <f t="shared" ca="1" si="5"/>
        <v>158.75000000000003</v>
      </c>
      <c r="AK14" s="1" t="str">
        <f t="shared" ca="1" si="22"/>
        <v/>
      </c>
      <c r="AL14" s="1"/>
      <c r="AM14" s="1"/>
      <c r="AN14" s="12">
        <f t="shared" ca="1" si="23"/>
        <v>-158.75000000000003</v>
      </c>
      <c r="AP14" s="2">
        <v>12</v>
      </c>
      <c r="AQ14" s="1">
        <f t="shared" si="24"/>
        <v>0</v>
      </c>
      <c r="AR14" s="1">
        <f t="shared" ca="1" si="25"/>
        <v>0</v>
      </c>
      <c r="AS14" s="1">
        <f t="shared" ca="1" si="26"/>
        <v>0</v>
      </c>
      <c r="AT14" s="1" t="str">
        <f t="shared" ca="1" si="27"/>
        <v/>
      </c>
      <c r="AU14" s="1"/>
      <c r="AV14" s="1"/>
      <c r="BA14">
        <v>13</v>
      </c>
      <c r="BB14">
        <v>7234.3266304339168</v>
      </c>
      <c r="BC14">
        <v>7138.3</v>
      </c>
      <c r="BD14">
        <v>5194.32</v>
      </c>
      <c r="BE14">
        <v>2932</v>
      </c>
      <c r="BF14">
        <v>1889.8703999999998</v>
      </c>
      <c r="BG14">
        <v>770</v>
      </c>
      <c r="BH14">
        <v>158.75000000000003</v>
      </c>
      <c r="BI14">
        <v>0</v>
      </c>
      <c r="BJ14">
        <v>0</v>
      </c>
      <c r="BK14">
        <v>1</v>
      </c>
    </row>
    <row r="15" spans="1:85">
      <c r="A15" s="2">
        <v>13</v>
      </c>
      <c r="B15" s="1">
        <f t="shared" si="28"/>
        <v>14477.267030433915</v>
      </c>
      <c r="C15" s="1">
        <f t="shared" ca="1" si="0"/>
        <v>10840.3</v>
      </c>
      <c r="D15" s="1">
        <f t="shared" ca="1" si="1"/>
        <v>14477.267030433915</v>
      </c>
      <c r="E15" s="1" t="str">
        <f t="shared" ca="1" si="6"/>
        <v/>
      </c>
      <c r="F15" s="1"/>
      <c r="G15" s="1"/>
      <c r="H15" s="12">
        <f t="shared" ca="1" si="7"/>
        <v>-3636.9670304339161</v>
      </c>
      <c r="I15" s="2">
        <v>13</v>
      </c>
      <c r="J15" s="1">
        <f t="shared" si="8"/>
        <v>7234.3266304339168</v>
      </c>
      <c r="K15" s="1">
        <f t="shared" ca="1" si="9"/>
        <v>7138.3</v>
      </c>
      <c r="L15" s="1">
        <f t="shared" ca="1" si="2"/>
        <v>7234.3266304339168</v>
      </c>
      <c r="M15" s="1" t="str">
        <f t="shared" ca="1" si="10"/>
        <v/>
      </c>
      <c r="N15" s="1"/>
      <c r="O15" s="1"/>
      <c r="P15" s="12">
        <f t="shared" ca="1" si="11"/>
        <v>-96.02663043391658</v>
      </c>
      <c r="Q15" s="2">
        <v>13</v>
      </c>
      <c r="R15" s="1">
        <f t="shared" si="12"/>
        <v>5194.32</v>
      </c>
      <c r="S15" s="1">
        <f t="shared" ca="1" si="13"/>
        <v>2932</v>
      </c>
      <c r="T15" s="1">
        <f t="shared" ca="1" si="3"/>
        <v>5194.32</v>
      </c>
      <c r="U15" s="1" t="str">
        <f t="shared" ca="1" si="14"/>
        <v/>
      </c>
      <c r="V15" s="1"/>
      <c r="W15" s="1"/>
      <c r="X15" s="12">
        <f t="shared" ca="1" si="15"/>
        <v>-2262.3199999999997</v>
      </c>
      <c r="Y15" s="2">
        <v>13</v>
      </c>
      <c r="Z15" s="1">
        <f t="shared" si="16"/>
        <v>1889.8703999999998</v>
      </c>
      <c r="AA15" s="1">
        <f t="shared" ca="1" si="17"/>
        <v>770</v>
      </c>
      <c r="AB15" s="1">
        <f t="shared" ca="1" si="4"/>
        <v>1889.8703999999998</v>
      </c>
      <c r="AC15" s="1" t="str">
        <f t="shared" ca="1" si="18"/>
        <v/>
      </c>
      <c r="AD15" s="1"/>
      <c r="AE15" s="1"/>
      <c r="AF15" s="12">
        <f t="shared" ca="1" si="19"/>
        <v>-1119.8703999999998</v>
      </c>
      <c r="AG15" s="2">
        <v>13</v>
      </c>
      <c r="AH15" s="1">
        <f t="shared" si="20"/>
        <v>158.75000000000003</v>
      </c>
      <c r="AI15" s="1">
        <f t="shared" ca="1" si="21"/>
        <v>0</v>
      </c>
      <c r="AJ15" s="1">
        <f t="shared" ca="1" si="5"/>
        <v>158.75000000000003</v>
      </c>
      <c r="AK15" s="1" t="str">
        <f t="shared" ca="1" si="22"/>
        <v/>
      </c>
      <c r="AL15" s="1"/>
      <c r="AM15" s="1"/>
      <c r="AN15" s="12">
        <f t="shared" ca="1" si="23"/>
        <v>-158.75000000000003</v>
      </c>
      <c r="AP15" s="2">
        <v>13</v>
      </c>
      <c r="AQ15" s="1">
        <f t="shared" si="24"/>
        <v>0</v>
      </c>
      <c r="AR15" s="1">
        <f t="shared" ca="1" si="25"/>
        <v>1</v>
      </c>
      <c r="AS15" s="1">
        <f t="shared" ca="1" si="26"/>
        <v>0</v>
      </c>
      <c r="AT15" s="1" t="str">
        <f t="shared" ca="1" si="27"/>
        <v/>
      </c>
      <c r="AU15" s="1"/>
      <c r="AV15" s="1"/>
      <c r="BA15">
        <v>14</v>
      </c>
      <c r="BB15">
        <v>3440.5022220120659</v>
      </c>
      <c r="BC15">
        <v>8458.2999999999993</v>
      </c>
      <c r="BD15">
        <v>5186.76</v>
      </c>
      <c r="BE15">
        <v>2008</v>
      </c>
      <c r="BF15">
        <v>1286.4528</v>
      </c>
      <c r="BG15">
        <v>1450</v>
      </c>
      <c r="BH15">
        <v>158.75000000000003</v>
      </c>
      <c r="BI15">
        <v>0</v>
      </c>
      <c r="BJ15">
        <v>0</v>
      </c>
      <c r="BK15">
        <v>0</v>
      </c>
    </row>
    <row r="16" spans="1:85">
      <c r="A16" s="2">
        <v>14</v>
      </c>
      <c r="B16" s="1">
        <f t="shared" si="28"/>
        <v>10072.465022012067</v>
      </c>
      <c r="C16" s="1">
        <f t="shared" ca="1" si="0"/>
        <v>11916.3</v>
      </c>
      <c r="D16" s="1">
        <f t="shared" ca="1" si="1"/>
        <v>10072.465022012067</v>
      </c>
      <c r="E16" s="1" t="str">
        <f t="shared" ca="1" si="6"/>
        <v/>
      </c>
      <c r="F16" s="1"/>
      <c r="G16" s="1"/>
      <c r="H16" s="12">
        <f t="shared" ca="1" si="7"/>
        <v>1843.8349779879318</v>
      </c>
      <c r="I16" s="2">
        <v>14</v>
      </c>
      <c r="J16" s="1">
        <f t="shared" si="8"/>
        <v>3440.5022220120659</v>
      </c>
      <c r="K16" s="1">
        <f t="shared" ca="1" si="9"/>
        <v>8458.2999999999993</v>
      </c>
      <c r="L16" s="1">
        <f t="shared" ca="1" si="2"/>
        <v>3440.5022220120659</v>
      </c>
      <c r="M16" s="1" t="str">
        <f t="shared" ca="1" si="10"/>
        <v/>
      </c>
      <c r="N16" s="1"/>
      <c r="O16" s="1"/>
      <c r="P16" s="12">
        <f t="shared" ca="1" si="11"/>
        <v>5017.7977779879329</v>
      </c>
      <c r="Q16" s="2">
        <v>14</v>
      </c>
      <c r="R16" s="1">
        <f t="shared" si="12"/>
        <v>5186.76</v>
      </c>
      <c r="S16" s="1">
        <f t="shared" ca="1" si="13"/>
        <v>2008</v>
      </c>
      <c r="T16" s="1">
        <f t="shared" ca="1" si="3"/>
        <v>5186.76</v>
      </c>
      <c r="U16" s="1" t="str">
        <f t="shared" ca="1" si="14"/>
        <v/>
      </c>
      <c r="V16" s="1"/>
      <c r="W16" s="1"/>
      <c r="X16" s="12">
        <f t="shared" ca="1" si="15"/>
        <v>-3178.76</v>
      </c>
      <c r="Y16" s="2">
        <v>14</v>
      </c>
      <c r="Z16" s="1">
        <f t="shared" si="16"/>
        <v>1286.4528</v>
      </c>
      <c r="AA16" s="1">
        <f t="shared" ca="1" si="17"/>
        <v>1450</v>
      </c>
      <c r="AB16" s="1">
        <f t="shared" ca="1" si="4"/>
        <v>1286.4528</v>
      </c>
      <c r="AC16" s="1" t="str">
        <f t="shared" ca="1" si="18"/>
        <v/>
      </c>
      <c r="AD16" s="1"/>
      <c r="AE16" s="1"/>
      <c r="AF16" s="12">
        <f t="shared" ca="1" si="19"/>
        <v>163.54719999999998</v>
      </c>
      <c r="AG16" s="2">
        <v>14</v>
      </c>
      <c r="AH16" s="1">
        <f t="shared" si="20"/>
        <v>158.75000000000003</v>
      </c>
      <c r="AI16" s="1">
        <f t="shared" ca="1" si="21"/>
        <v>0</v>
      </c>
      <c r="AJ16" s="1">
        <f t="shared" ca="1" si="5"/>
        <v>158.75000000000003</v>
      </c>
      <c r="AK16" s="1" t="str">
        <f t="shared" ca="1" si="22"/>
        <v/>
      </c>
      <c r="AL16" s="1"/>
      <c r="AM16" s="1"/>
      <c r="AN16" s="12">
        <f t="shared" ca="1" si="23"/>
        <v>-158.75000000000003</v>
      </c>
      <c r="AP16" s="2">
        <v>14</v>
      </c>
      <c r="AQ16" s="1">
        <f t="shared" si="24"/>
        <v>0</v>
      </c>
      <c r="AR16" s="1">
        <f t="shared" ca="1" si="25"/>
        <v>0</v>
      </c>
      <c r="AS16" s="1">
        <f t="shared" ca="1" si="26"/>
        <v>0</v>
      </c>
      <c r="AT16" s="1" t="str">
        <f t="shared" ca="1" si="27"/>
        <v/>
      </c>
      <c r="AU16" s="1"/>
      <c r="AV16" s="1"/>
      <c r="BA16">
        <v>15</v>
      </c>
      <c r="BB16">
        <v>5080.9266589146446</v>
      </c>
      <c r="BC16">
        <v>8598.6</v>
      </c>
      <c r="BD16">
        <v>5075.28</v>
      </c>
      <c r="BE16">
        <v>1612</v>
      </c>
      <c r="BF16">
        <v>0</v>
      </c>
      <c r="BG16">
        <v>2600</v>
      </c>
      <c r="BH16">
        <v>158.75000000000003</v>
      </c>
      <c r="BI16">
        <v>0</v>
      </c>
      <c r="BJ16">
        <v>0</v>
      </c>
      <c r="BK16">
        <v>1</v>
      </c>
    </row>
    <row r="17" spans="1:63">
      <c r="A17" s="2">
        <v>15</v>
      </c>
      <c r="B17" s="1">
        <f t="shared" si="28"/>
        <v>10314.956658914645</v>
      </c>
      <c r="C17" s="1">
        <f t="shared" ca="1" si="0"/>
        <v>12810.6</v>
      </c>
      <c r="D17" s="1">
        <f t="shared" ca="1" si="1"/>
        <v>10314.956658914645</v>
      </c>
      <c r="E17" s="1" t="str">
        <f t="shared" ca="1" si="6"/>
        <v/>
      </c>
      <c r="F17" s="1"/>
      <c r="G17" s="1"/>
      <c r="H17" s="12">
        <f t="shared" ca="1" si="7"/>
        <v>2495.6433410853551</v>
      </c>
      <c r="I17" s="2">
        <v>15</v>
      </c>
      <c r="J17" s="1">
        <f t="shared" si="8"/>
        <v>5080.9266589146446</v>
      </c>
      <c r="K17" s="1">
        <f t="shared" ca="1" si="9"/>
        <v>8598.6</v>
      </c>
      <c r="L17" s="1">
        <f t="shared" ca="1" si="2"/>
        <v>5080.9266589146446</v>
      </c>
      <c r="M17" s="1" t="str">
        <f t="shared" ca="1" si="10"/>
        <v/>
      </c>
      <c r="N17" s="1"/>
      <c r="O17" s="1"/>
      <c r="P17" s="12">
        <f t="shared" ca="1" si="11"/>
        <v>3517.6733410853558</v>
      </c>
      <c r="Q17" s="2">
        <v>15</v>
      </c>
      <c r="R17" s="1">
        <f t="shared" si="12"/>
        <v>5075.28</v>
      </c>
      <c r="S17" s="1">
        <f t="shared" ca="1" si="13"/>
        <v>1612</v>
      </c>
      <c r="T17" s="1">
        <f t="shared" ca="1" si="3"/>
        <v>5075.28</v>
      </c>
      <c r="U17" s="1" t="str">
        <f t="shared" ca="1" si="14"/>
        <v/>
      </c>
      <c r="V17" s="1"/>
      <c r="W17" s="1"/>
      <c r="X17" s="12">
        <f t="shared" ca="1" si="15"/>
        <v>-3463.2799999999997</v>
      </c>
      <c r="Y17" s="2">
        <v>15</v>
      </c>
      <c r="Z17" s="1">
        <f t="shared" si="16"/>
        <v>0</v>
      </c>
      <c r="AA17" s="1">
        <f t="shared" ca="1" si="17"/>
        <v>2600</v>
      </c>
      <c r="AB17" s="1">
        <f t="shared" ca="1" si="4"/>
        <v>0</v>
      </c>
      <c r="AC17" s="1" t="str">
        <f t="shared" ca="1" si="18"/>
        <v/>
      </c>
      <c r="AD17" s="1"/>
      <c r="AE17" s="1"/>
      <c r="AF17" s="12">
        <f t="shared" ca="1" si="19"/>
        <v>2600</v>
      </c>
      <c r="AG17" s="2">
        <v>15</v>
      </c>
      <c r="AH17" s="1">
        <f t="shared" si="20"/>
        <v>158.75000000000003</v>
      </c>
      <c r="AI17" s="1">
        <f t="shared" ca="1" si="21"/>
        <v>0</v>
      </c>
      <c r="AJ17" s="1">
        <f t="shared" ca="1" si="5"/>
        <v>158.75000000000003</v>
      </c>
      <c r="AK17" s="1" t="str">
        <f t="shared" ca="1" si="22"/>
        <v/>
      </c>
      <c r="AL17" s="1"/>
      <c r="AM17" s="1"/>
      <c r="AN17" s="12">
        <f t="shared" ca="1" si="23"/>
        <v>-158.75000000000003</v>
      </c>
      <c r="AP17" s="2">
        <v>15</v>
      </c>
      <c r="AQ17" s="1">
        <f t="shared" si="24"/>
        <v>0</v>
      </c>
      <c r="AR17" s="1">
        <f t="shared" ca="1" si="25"/>
        <v>1</v>
      </c>
      <c r="AS17" s="1">
        <f t="shared" ca="1" si="26"/>
        <v>0</v>
      </c>
      <c r="AT17" s="1" t="str">
        <f t="shared" ca="1" si="27"/>
        <v/>
      </c>
      <c r="AU17" s="1"/>
      <c r="AV17" s="1"/>
      <c r="BA17">
        <v>16</v>
      </c>
      <c r="BB17">
        <v>2791.1355452502285</v>
      </c>
      <c r="BC17">
        <v>6868.7999999999993</v>
      </c>
      <c r="BD17">
        <v>2496.6</v>
      </c>
      <c r="BE17">
        <v>5288</v>
      </c>
      <c r="BF17">
        <v>0</v>
      </c>
      <c r="BG17">
        <v>1760</v>
      </c>
      <c r="BH17">
        <v>158.75000000000003</v>
      </c>
      <c r="BI17">
        <v>0</v>
      </c>
      <c r="BJ17">
        <v>0</v>
      </c>
      <c r="BK17">
        <v>1</v>
      </c>
    </row>
    <row r="18" spans="1:63">
      <c r="A18" s="2">
        <v>16</v>
      </c>
      <c r="B18" s="1">
        <f t="shared" si="28"/>
        <v>5446.4855452502288</v>
      </c>
      <c r="C18" s="1">
        <f t="shared" ca="1" si="0"/>
        <v>13916.8</v>
      </c>
      <c r="D18" s="1">
        <f t="shared" ca="1" si="1"/>
        <v>5446.4855452502288</v>
      </c>
      <c r="E18" s="1" t="str">
        <f t="shared" ca="1" si="6"/>
        <v/>
      </c>
      <c r="F18" s="1"/>
      <c r="G18" s="1"/>
      <c r="H18" s="12">
        <f t="shared" ca="1" si="7"/>
        <v>8470.3144547497704</v>
      </c>
      <c r="I18" s="2">
        <v>16</v>
      </c>
      <c r="J18" s="1">
        <f t="shared" si="8"/>
        <v>2791.1355452502285</v>
      </c>
      <c r="K18" s="1">
        <f t="shared" ca="1" si="9"/>
        <v>6868.7999999999993</v>
      </c>
      <c r="L18" s="1">
        <f t="shared" ca="1" si="2"/>
        <v>2791.1355452502285</v>
      </c>
      <c r="M18" s="1" t="str">
        <f t="shared" ca="1" si="10"/>
        <v/>
      </c>
      <c r="N18" s="1"/>
      <c r="O18" s="1"/>
      <c r="P18" s="12">
        <f t="shared" ca="1" si="11"/>
        <v>4077.6644547497708</v>
      </c>
      <c r="Q18" s="2">
        <v>16</v>
      </c>
      <c r="R18" s="1">
        <f t="shared" si="12"/>
        <v>2496.6</v>
      </c>
      <c r="S18" s="1">
        <f t="shared" ca="1" si="13"/>
        <v>5288</v>
      </c>
      <c r="T18" s="1">
        <f t="shared" ca="1" si="3"/>
        <v>2496.6</v>
      </c>
      <c r="U18" s="1" t="str">
        <f t="shared" ca="1" si="14"/>
        <v/>
      </c>
      <c r="V18" s="1"/>
      <c r="W18" s="1"/>
      <c r="X18" s="12">
        <f t="shared" ca="1" si="15"/>
        <v>2791.4</v>
      </c>
      <c r="Y18" s="2">
        <v>16</v>
      </c>
      <c r="Z18" s="1">
        <f t="shared" si="16"/>
        <v>0</v>
      </c>
      <c r="AA18" s="1">
        <f t="shared" ca="1" si="17"/>
        <v>1760</v>
      </c>
      <c r="AB18" s="1">
        <f t="shared" ca="1" si="4"/>
        <v>0</v>
      </c>
      <c r="AC18" s="1" t="str">
        <f t="shared" ca="1" si="18"/>
        <v/>
      </c>
      <c r="AD18" s="1"/>
      <c r="AE18" s="1"/>
      <c r="AF18" s="12">
        <f t="shared" ca="1" si="19"/>
        <v>1760</v>
      </c>
      <c r="AG18" s="2">
        <v>16</v>
      </c>
      <c r="AH18" s="1">
        <f t="shared" si="20"/>
        <v>158.75000000000003</v>
      </c>
      <c r="AI18" s="1">
        <f t="shared" ca="1" si="21"/>
        <v>0</v>
      </c>
      <c r="AJ18" s="1">
        <f t="shared" ca="1" si="5"/>
        <v>158.75000000000003</v>
      </c>
      <c r="AK18" s="1" t="str">
        <f t="shared" ca="1" si="22"/>
        <v/>
      </c>
      <c r="AL18" s="1"/>
      <c r="AM18" s="1"/>
      <c r="AN18" s="12">
        <f t="shared" ca="1" si="23"/>
        <v>-158.75000000000003</v>
      </c>
      <c r="AP18" s="2">
        <v>16</v>
      </c>
      <c r="AQ18" s="1">
        <f t="shared" si="24"/>
        <v>0</v>
      </c>
      <c r="AR18" s="1">
        <f t="shared" ca="1" si="25"/>
        <v>1</v>
      </c>
      <c r="AS18" s="1">
        <f t="shared" ca="1" si="26"/>
        <v>0</v>
      </c>
      <c r="AT18" s="1" t="str">
        <f t="shared" ca="1" si="27"/>
        <v/>
      </c>
      <c r="AU18" s="1"/>
      <c r="AV18" s="1"/>
      <c r="BA18">
        <v>17</v>
      </c>
      <c r="BB18">
        <v>6151.0978651427959</v>
      </c>
      <c r="BC18">
        <v>7808.7999999999993</v>
      </c>
      <c r="BD18">
        <v>5023.32</v>
      </c>
      <c r="BE18">
        <v>5369</v>
      </c>
      <c r="BF18">
        <v>603.41759999999999</v>
      </c>
      <c r="BG18">
        <v>2180</v>
      </c>
      <c r="BH18">
        <v>158.75000000000003</v>
      </c>
      <c r="BI18">
        <v>0</v>
      </c>
      <c r="BJ18">
        <v>0</v>
      </c>
      <c r="BK18">
        <v>0</v>
      </c>
    </row>
    <row r="19" spans="1:63">
      <c r="A19" s="2">
        <v>17</v>
      </c>
      <c r="B19" s="1">
        <f t="shared" si="28"/>
        <v>11936.585465142796</v>
      </c>
      <c r="C19" s="1">
        <f t="shared" ca="1" si="0"/>
        <v>15357.8</v>
      </c>
      <c r="D19" s="1">
        <f t="shared" ca="1" si="1"/>
        <v>11936.585465142796</v>
      </c>
      <c r="E19" s="1" t="str">
        <f t="shared" ca="1" si="6"/>
        <v/>
      </c>
      <c r="F19" s="1"/>
      <c r="G19" s="1"/>
      <c r="H19" s="12">
        <f t="shared" ca="1" si="7"/>
        <v>3421.214534857203</v>
      </c>
      <c r="I19" s="2">
        <v>17</v>
      </c>
      <c r="J19" s="1">
        <f t="shared" si="8"/>
        <v>6151.0978651427959</v>
      </c>
      <c r="K19" s="1">
        <f t="shared" ca="1" si="9"/>
        <v>7808.7999999999993</v>
      </c>
      <c r="L19" s="1">
        <f t="shared" ca="1" si="2"/>
        <v>6151.0978651427959</v>
      </c>
      <c r="M19" s="1" t="str">
        <f t="shared" ca="1" si="10"/>
        <v/>
      </c>
      <c r="N19" s="1"/>
      <c r="O19" s="1"/>
      <c r="P19" s="12">
        <f t="shared" ca="1" si="11"/>
        <v>1657.7021348572034</v>
      </c>
      <c r="Q19" s="2">
        <v>17</v>
      </c>
      <c r="R19" s="1">
        <f t="shared" si="12"/>
        <v>5023.32</v>
      </c>
      <c r="S19" s="1">
        <f t="shared" ca="1" si="13"/>
        <v>5369</v>
      </c>
      <c r="T19" s="1">
        <f t="shared" ca="1" si="3"/>
        <v>5023.32</v>
      </c>
      <c r="U19" s="1" t="str">
        <f t="shared" ca="1" si="14"/>
        <v/>
      </c>
      <c r="V19" s="1"/>
      <c r="W19" s="1"/>
      <c r="X19" s="12">
        <f t="shared" ca="1" si="15"/>
        <v>345.68000000000029</v>
      </c>
      <c r="Y19" s="2">
        <v>17</v>
      </c>
      <c r="Z19" s="1">
        <f t="shared" si="16"/>
        <v>603.41759999999999</v>
      </c>
      <c r="AA19" s="1">
        <f t="shared" ca="1" si="17"/>
        <v>2180</v>
      </c>
      <c r="AB19" s="1">
        <f t="shared" ca="1" si="4"/>
        <v>603.41759999999999</v>
      </c>
      <c r="AC19" s="1" t="str">
        <f t="shared" ca="1" si="18"/>
        <v/>
      </c>
      <c r="AD19" s="1"/>
      <c r="AE19" s="1"/>
      <c r="AF19" s="12">
        <f t="shared" ca="1" si="19"/>
        <v>1576.5824</v>
      </c>
      <c r="AG19" s="2">
        <v>17</v>
      </c>
      <c r="AH19" s="1">
        <f t="shared" si="20"/>
        <v>158.75000000000003</v>
      </c>
      <c r="AI19" s="1">
        <f t="shared" ca="1" si="21"/>
        <v>0</v>
      </c>
      <c r="AJ19" s="1">
        <f t="shared" ca="1" si="5"/>
        <v>158.75000000000003</v>
      </c>
      <c r="AK19" s="1" t="str">
        <f t="shared" ca="1" si="22"/>
        <v/>
      </c>
      <c r="AL19" s="1"/>
      <c r="AM19" s="1"/>
      <c r="AN19" s="12">
        <f t="shared" ca="1" si="23"/>
        <v>-158.75000000000003</v>
      </c>
      <c r="AP19" s="2">
        <v>17</v>
      </c>
      <c r="AQ19" s="1">
        <f t="shared" si="24"/>
        <v>0</v>
      </c>
      <c r="AR19" s="1">
        <f t="shared" ca="1" si="25"/>
        <v>0</v>
      </c>
      <c r="AS19" s="1">
        <f t="shared" ca="1" si="26"/>
        <v>0</v>
      </c>
      <c r="AT19" s="1" t="str">
        <f t="shared" ca="1" si="27"/>
        <v/>
      </c>
      <c r="AU19" s="1"/>
      <c r="AV19" s="1"/>
      <c r="BA19">
        <v>18</v>
      </c>
      <c r="BB19">
        <v>5514.7887474439294</v>
      </c>
      <c r="BC19">
        <v>8739.2000000000007</v>
      </c>
      <c r="BD19">
        <v>5075.28</v>
      </c>
      <c r="BE19">
        <v>3234</v>
      </c>
      <c r="BF19">
        <v>1508.5440000000001</v>
      </c>
      <c r="BG19">
        <v>2580</v>
      </c>
      <c r="BH19">
        <v>158.75000000000003</v>
      </c>
      <c r="BI19">
        <v>0</v>
      </c>
      <c r="BJ19">
        <v>0</v>
      </c>
      <c r="BK19">
        <v>0</v>
      </c>
    </row>
    <row r="20" spans="1:63">
      <c r="A20" s="2">
        <v>18</v>
      </c>
      <c r="B20" s="1">
        <f t="shared" si="28"/>
        <v>12257.362747443929</v>
      </c>
      <c r="C20" s="1">
        <f t="shared" ca="1" si="0"/>
        <v>14553.2</v>
      </c>
      <c r="D20" s="1">
        <f t="shared" ca="1" si="1"/>
        <v>12257.362747443929</v>
      </c>
      <c r="E20" s="1" t="str">
        <f t="shared" ca="1" si="6"/>
        <v/>
      </c>
      <c r="F20" s="1"/>
      <c r="G20" s="1"/>
      <c r="H20" s="12">
        <f t="shared" ca="1" si="7"/>
        <v>2295.8372525560717</v>
      </c>
      <c r="I20" s="2">
        <v>18</v>
      </c>
      <c r="J20" s="1">
        <f t="shared" si="8"/>
        <v>5514.7887474439294</v>
      </c>
      <c r="K20" s="1">
        <f t="shared" ca="1" si="9"/>
        <v>8739.2000000000007</v>
      </c>
      <c r="L20" s="1">
        <f t="shared" ca="1" si="2"/>
        <v>5514.7887474439294</v>
      </c>
      <c r="M20" s="1" t="str">
        <f t="shared" ca="1" si="10"/>
        <v/>
      </c>
      <c r="N20" s="1"/>
      <c r="O20" s="1"/>
      <c r="P20" s="12">
        <f t="shared" ca="1" si="11"/>
        <v>3224.4112525560713</v>
      </c>
      <c r="Q20" s="2">
        <v>18</v>
      </c>
      <c r="R20" s="1">
        <f t="shared" si="12"/>
        <v>5075.28</v>
      </c>
      <c r="S20" s="1">
        <f t="shared" ca="1" si="13"/>
        <v>3234</v>
      </c>
      <c r="T20" s="1">
        <f t="shared" ca="1" si="3"/>
        <v>5075.28</v>
      </c>
      <c r="U20" s="1" t="str">
        <f t="shared" ca="1" si="14"/>
        <v/>
      </c>
      <c r="V20" s="1"/>
      <c r="W20" s="1"/>
      <c r="X20" s="12">
        <f t="shared" ca="1" si="15"/>
        <v>-1841.2799999999997</v>
      </c>
      <c r="Y20" s="2">
        <v>18</v>
      </c>
      <c r="Z20" s="1">
        <f t="shared" si="16"/>
        <v>1508.5440000000001</v>
      </c>
      <c r="AA20" s="1">
        <f t="shared" ca="1" si="17"/>
        <v>2580</v>
      </c>
      <c r="AB20" s="1">
        <f t="shared" ca="1" si="4"/>
        <v>1508.5440000000001</v>
      </c>
      <c r="AC20" s="1" t="str">
        <f t="shared" ca="1" si="18"/>
        <v/>
      </c>
      <c r="AD20" s="1"/>
      <c r="AE20" s="1"/>
      <c r="AF20" s="12">
        <f t="shared" ca="1" si="19"/>
        <v>1071.4559999999999</v>
      </c>
      <c r="AG20" s="2">
        <v>18</v>
      </c>
      <c r="AH20" s="1">
        <f t="shared" si="20"/>
        <v>158.75000000000003</v>
      </c>
      <c r="AI20" s="1">
        <f t="shared" ca="1" si="21"/>
        <v>0</v>
      </c>
      <c r="AJ20" s="1">
        <f t="shared" ca="1" si="5"/>
        <v>158.75000000000003</v>
      </c>
      <c r="AK20" s="1" t="str">
        <f t="shared" ca="1" si="22"/>
        <v/>
      </c>
      <c r="AL20" s="1"/>
      <c r="AM20" s="1"/>
      <c r="AN20" s="12">
        <f t="shared" ca="1" si="23"/>
        <v>-158.75000000000003</v>
      </c>
      <c r="AP20" s="2">
        <v>18</v>
      </c>
      <c r="AQ20" s="1">
        <f t="shared" si="24"/>
        <v>0</v>
      </c>
      <c r="AR20" s="1">
        <f t="shared" ca="1" si="25"/>
        <v>0</v>
      </c>
      <c r="AS20" s="1">
        <f t="shared" ca="1" si="26"/>
        <v>0</v>
      </c>
      <c r="AT20" s="1" t="str">
        <f t="shared" ca="1" si="27"/>
        <v/>
      </c>
      <c r="AU20" s="1"/>
      <c r="AV20" s="1"/>
      <c r="BA20">
        <v>19</v>
      </c>
      <c r="BB20">
        <v>5432.8223892923406</v>
      </c>
      <c r="BC20">
        <v>8760</v>
      </c>
      <c r="BD20">
        <v>5127.24</v>
      </c>
      <c r="BE20">
        <v>1369</v>
      </c>
      <c r="BF20">
        <v>1063.6632</v>
      </c>
      <c r="BG20">
        <v>1210</v>
      </c>
      <c r="BH20">
        <v>158.75000000000003</v>
      </c>
      <c r="BI20">
        <v>0</v>
      </c>
      <c r="BJ20">
        <v>0</v>
      </c>
      <c r="BK20">
        <v>0</v>
      </c>
    </row>
    <row r="21" spans="1:63">
      <c r="A21" s="2">
        <v>19</v>
      </c>
      <c r="B21" s="1">
        <f t="shared" si="28"/>
        <v>11782.475589292339</v>
      </c>
      <c r="C21" s="1">
        <f t="shared" ca="1" si="0"/>
        <v>11339</v>
      </c>
      <c r="D21" s="1">
        <f t="shared" ca="1" si="1"/>
        <v>11782.475589292339</v>
      </c>
      <c r="E21" s="1" t="str">
        <f t="shared" ca="1" si="6"/>
        <v/>
      </c>
      <c r="F21" s="1"/>
      <c r="G21" s="1"/>
      <c r="H21" s="12">
        <f t="shared" ca="1" si="7"/>
        <v>-443.47558929233855</v>
      </c>
      <c r="I21" s="2">
        <v>19</v>
      </c>
      <c r="J21" s="1">
        <f t="shared" si="8"/>
        <v>5432.8223892923406</v>
      </c>
      <c r="K21" s="1">
        <f t="shared" ca="1" si="9"/>
        <v>8760</v>
      </c>
      <c r="L21" s="1">
        <f t="shared" ca="1" si="2"/>
        <v>5432.8223892923406</v>
      </c>
      <c r="M21" s="1" t="str">
        <f t="shared" ca="1" si="10"/>
        <v/>
      </c>
      <c r="N21" s="1"/>
      <c r="O21" s="1"/>
      <c r="P21" s="12">
        <f t="shared" ca="1" si="11"/>
        <v>3327.1776107076594</v>
      </c>
      <c r="Q21" s="2">
        <v>19</v>
      </c>
      <c r="R21" s="1">
        <f t="shared" si="12"/>
        <v>5127.24</v>
      </c>
      <c r="S21" s="1">
        <f t="shared" ca="1" si="13"/>
        <v>1369</v>
      </c>
      <c r="T21" s="1">
        <f t="shared" ca="1" si="3"/>
        <v>5127.24</v>
      </c>
      <c r="U21" s="1" t="str">
        <f t="shared" ca="1" si="14"/>
        <v/>
      </c>
      <c r="V21" s="1"/>
      <c r="W21" s="1"/>
      <c r="X21" s="12">
        <f t="shared" ca="1" si="15"/>
        <v>-3758.24</v>
      </c>
      <c r="Y21" s="2">
        <v>19</v>
      </c>
      <c r="Z21" s="1">
        <f t="shared" si="16"/>
        <v>1063.6632</v>
      </c>
      <c r="AA21" s="1">
        <f t="shared" ca="1" si="17"/>
        <v>1210</v>
      </c>
      <c r="AB21" s="1">
        <f t="shared" ca="1" si="4"/>
        <v>1063.6632</v>
      </c>
      <c r="AC21" s="1" t="str">
        <f t="shared" ca="1" si="18"/>
        <v/>
      </c>
      <c r="AD21" s="1"/>
      <c r="AE21" s="1"/>
      <c r="AF21" s="12">
        <f t="shared" ca="1" si="19"/>
        <v>146.33680000000004</v>
      </c>
      <c r="AG21" s="2">
        <v>19</v>
      </c>
      <c r="AH21" s="1">
        <f t="shared" si="20"/>
        <v>158.75000000000003</v>
      </c>
      <c r="AI21" s="1">
        <f t="shared" ca="1" si="21"/>
        <v>0</v>
      </c>
      <c r="AJ21" s="1">
        <f t="shared" ca="1" si="5"/>
        <v>158.75000000000003</v>
      </c>
      <c r="AK21" s="1" t="str">
        <f t="shared" ca="1" si="22"/>
        <v/>
      </c>
      <c r="AL21" s="1"/>
      <c r="AM21" s="1"/>
      <c r="AN21" s="12">
        <f t="shared" ca="1" si="23"/>
        <v>-158.75000000000003</v>
      </c>
      <c r="AP21" s="2">
        <v>19</v>
      </c>
      <c r="AQ21" s="1">
        <f t="shared" si="24"/>
        <v>0</v>
      </c>
      <c r="AR21" s="1">
        <f t="shared" ca="1" si="25"/>
        <v>0</v>
      </c>
      <c r="AS21" s="1">
        <f t="shared" ca="1" si="26"/>
        <v>0</v>
      </c>
      <c r="AT21" s="1" t="str">
        <f t="shared" ca="1" si="27"/>
        <v/>
      </c>
      <c r="AU21" s="1"/>
      <c r="AV21" s="1"/>
      <c r="BA21">
        <v>20</v>
      </c>
      <c r="BB21">
        <v>5772.318924929571</v>
      </c>
      <c r="BC21">
        <v>6563</v>
      </c>
      <c r="BD21">
        <v>5127.24</v>
      </c>
      <c r="BE21">
        <v>2794</v>
      </c>
      <c r="BF21">
        <v>883.94159999999999</v>
      </c>
      <c r="BG21">
        <v>1650</v>
      </c>
      <c r="BH21">
        <v>158.75000000000003</v>
      </c>
      <c r="BI21">
        <v>0</v>
      </c>
      <c r="BJ21">
        <v>0</v>
      </c>
      <c r="BK21">
        <v>0</v>
      </c>
    </row>
    <row r="22" spans="1:63">
      <c r="A22" s="2">
        <v>20</v>
      </c>
      <c r="B22" s="1">
        <f t="shared" si="28"/>
        <v>11942.25052492957</v>
      </c>
      <c r="C22" s="1">
        <f t="shared" ca="1" si="0"/>
        <v>11007</v>
      </c>
      <c r="D22" s="1">
        <f t="shared" ca="1" si="1"/>
        <v>11942.25052492957</v>
      </c>
      <c r="E22" s="1" t="str">
        <f t="shared" ca="1" si="6"/>
        <v/>
      </c>
      <c r="F22" s="1"/>
      <c r="G22" s="1"/>
      <c r="H22" s="12">
        <f t="shared" ca="1" si="7"/>
        <v>-935.25052492957002</v>
      </c>
      <c r="I22" s="2">
        <v>20</v>
      </c>
      <c r="J22" s="1">
        <f t="shared" si="8"/>
        <v>5772.318924929571</v>
      </c>
      <c r="K22" s="1">
        <f t="shared" ca="1" si="9"/>
        <v>6563</v>
      </c>
      <c r="L22" s="1">
        <f t="shared" ca="1" si="2"/>
        <v>5772.318924929571</v>
      </c>
      <c r="M22" s="1" t="str">
        <f t="shared" ca="1" si="10"/>
        <v/>
      </c>
      <c r="N22" s="1"/>
      <c r="O22" s="1"/>
      <c r="P22" s="12">
        <f t="shared" ca="1" si="11"/>
        <v>790.68107507042896</v>
      </c>
      <c r="Q22" s="2">
        <v>20</v>
      </c>
      <c r="R22" s="1">
        <f t="shared" si="12"/>
        <v>5127.24</v>
      </c>
      <c r="S22" s="1">
        <f t="shared" ca="1" si="13"/>
        <v>2794</v>
      </c>
      <c r="T22" s="1">
        <f ca="1">IF(S22="","",R22)</f>
        <v>5127.24</v>
      </c>
      <c r="U22" s="1" t="str">
        <f t="shared" ca="1" si="14"/>
        <v/>
      </c>
      <c r="V22" s="1"/>
      <c r="W22" s="1"/>
      <c r="X22" s="12">
        <f t="shared" ca="1" si="15"/>
        <v>-2333.2399999999998</v>
      </c>
      <c r="Y22" s="2">
        <v>20</v>
      </c>
      <c r="Z22" s="1">
        <f t="shared" si="16"/>
        <v>883.94159999999999</v>
      </c>
      <c r="AA22" s="1">
        <f t="shared" ca="1" si="17"/>
        <v>1650</v>
      </c>
      <c r="AB22" s="1">
        <f t="shared" ca="1" si="4"/>
        <v>883.94159999999999</v>
      </c>
      <c r="AC22" s="1" t="str">
        <f t="shared" ca="1" si="18"/>
        <v/>
      </c>
      <c r="AD22" s="1"/>
      <c r="AE22" s="1"/>
      <c r="AF22" s="12">
        <f t="shared" ca="1" si="19"/>
        <v>766.05840000000001</v>
      </c>
      <c r="AG22" s="2">
        <v>20</v>
      </c>
      <c r="AH22" s="1">
        <f t="shared" si="20"/>
        <v>158.75000000000003</v>
      </c>
      <c r="AI22" s="1">
        <f t="shared" ca="1" si="21"/>
        <v>0</v>
      </c>
      <c r="AJ22" s="1">
        <f t="shared" ca="1" si="5"/>
        <v>158.75000000000003</v>
      </c>
      <c r="AK22" s="1" t="str">
        <f t="shared" ca="1" si="22"/>
        <v/>
      </c>
      <c r="AL22" s="1"/>
      <c r="AM22" s="1"/>
      <c r="AN22" s="12">
        <f t="shared" ca="1" si="23"/>
        <v>-158.75000000000003</v>
      </c>
      <c r="AP22" s="2">
        <v>20</v>
      </c>
      <c r="AQ22" s="1">
        <f t="shared" si="24"/>
        <v>0</v>
      </c>
      <c r="AR22" s="1">
        <f t="shared" ca="1" si="25"/>
        <v>0</v>
      </c>
      <c r="AS22" s="1">
        <f t="shared" ca="1" si="26"/>
        <v>0</v>
      </c>
      <c r="AT22" s="1" t="str">
        <f t="shared" ca="1" si="27"/>
        <v/>
      </c>
      <c r="AU22" s="1"/>
      <c r="AV22" s="1"/>
      <c r="BA22">
        <v>21</v>
      </c>
      <c r="BB22">
        <v>6523.6223442922437</v>
      </c>
      <c r="BC22">
        <v>7585</v>
      </c>
      <c r="BD22">
        <v>5127.24</v>
      </c>
      <c r="BE22">
        <v>3088</v>
      </c>
      <c r="BF22">
        <v>1645.896</v>
      </c>
      <c r="BG22">
        <v>2460</v>
      </c>
      <c r="BH22">
        <v>158.75000000000003</v>
      </c>
      <c r="BI22">
        <v>0</v>
      </c>
      <c r="BJ22">
        <v>0</v>
      </c>
      <c r="BK22">
        <v>0</v>
      </c>
    </row>
    <row r="23" spans="1:63">
      <c r="A23" s="2">
        <v>21</v>
      </c>
      <c r="B23" s="1">
        <f t="shared" si="28"/>
        <v>13455.508344292244</v>
      </c>
      <c r="C23" s="1">
        <f t="shared" ca="1" si="0"/>
        <v>13133</v>
      </c>
      <c r="D23" s="1">
        <f t="shared" ca="1" si="1"/>
        <v>13455.508344292244</v>
      </c>
      <c r="E23" s="1" t="str">
        <f t="shared" ca="1" si="6"/>
        <v/>
      </c>
      <c r="F23" s="1"/>
      <c r="G23" s="1"/>
      <c r="H23" s="12">
        <f t="shared" ca="1" si="7"/>
        <v>-322.50834429224415</v>
      </c>
      <c r="I23" s="2">
        <v>21</v>
      </c>
      <c r="J23" s="1">
        <f t="shared" si="8"/>
        <v>6523.6223442922437</v>
      </c>
      <c r="K23" s="1">
        <f t="shared" ca="1" si="9"/>
        <v>7585</v>
      </c>
      <c r="L23" s="1">
        <f t="shared" ca="1" si="2"/>
        <v>6523.6223442922437</v>
      </c>
      <c r="M23" s="1" t="str">
        <f t="shared" ca="1" si="10"/>
        <v/>
      </c>
      <c r="N23" s="1"/>
      <c r="O23" s="1"/>
      <c r="P23" s="12">
        <f t="shared" ca="1" si="11"/>
        <v>1061.3776557077563</v>
      </c>
      <c r="Q23" s="2">
        <v>21</v>
      </c>
      <c r="R23" s="1">
        <f t="shared" si="12"/>
        <v>5127.24</v>
      </c>
      <c r="S23" s="1">
        <f t="shared" ca="1" si="13"/>
        <v>3088</v>
      </c>
      <c r="T23" s="1">
        <f t="shared" ca="1" si="3"/>
        <v>5127.24</v>
      </c>
      <c r="U23" s="1" t="str">
        <f t="shared" ca="1" si="14"/>
        <v/>
      </c>
      <c r="V23" s="1"/>
      <c r="W23" s="1"/>
      <c r="X23" s="12">
        <f t="shared" ca="1" si="15"/>
        <v>-2039.2399999999998</v>
      </c>
      <c r="Y23" s="2">
        <v>21</v>
      </c>
      <c r="Z23" s="1">
        <f t="shared" si="16"/>
        <v>1645.896</v>
      </c>
      <c r="AA23" s="1">
        <f t="shared" ca="1" si="17"/>
        <v>2460</v>
      </c>
      <c r="AB23" s="1">
        <f t="shared" ca="1" si="4"/>
        <v>1645.896</v>
      </c>
      <c r="AC23" s="1" t="str">
        <f t="shared" ca="1" si="18"/>
        <v/>
      </c>
      <c r="AD23" s="1"/>
      <c r="AE23" s="1"/>
      <c r="AF23" s="12">
        <f t="shared" ca="1" si="19"/>
        <v>814.10400000000004</v>
      </c>
      <c r="AG23" s="2">
        <v>21</v>
      </c>
      <c r="AH23" s="1">
        <f t="shared" si="20"/>
        <v>158.75000000000003</v>
      </c>
      <c r="AI23" s="1">
        <f t="shared" ca="1" si="21"/>
        <v>0</v>
      </c>
      <c r="AJ23" s="1">
        <f t="shared" ca="1" si="5"/>
        <v>158.75000000000003</v>
      </c>
      <c r="AK23" s="1" t="str">
        <f t="shared" ca="1" si="22"/>
        <v/>
      </c>
      <c r="AL23" s="1"/>
      <c r="AM23" s="1"/>
      <c r="AN23" s="12">
        <f t="shared" ca="1" si="23"/>
        <v>-158.75000000000003</v>
      </c>
      <c r="AP23" s="2">
        <v>21</v>
      </c>
      <c r="AQ23" s="1">
        <f t="shared" si="24"/>
        <v>0</v>
      </c>
      <c r="AR23" s="1">
        <f t="shared" ca="1" si="25"/>
        <v>0</v>
      </c>
      <c r="AS23" s="1">
        <f t="shared" ca="1" si="26"/>
        <v>0</v>
      </c>
      <c r="AT23" s="1" t="str">
        <f t="shared" ca="1" si="27"/>
        <v/>
      </c>
      <c r="AU23" s="1"/>
      <c r="AV23" s="1"/>
      <c r="BA23">
        <v>22</v>
      </c>
      <c r="BB23">
        <v>6943.0004177264691</v>
      </c>
      <c r="BC23">
        <v>8142</v>
      </c>
      <c r="BD23">
        <v>5149.08</v>
      </c>
      <c r="BE23">
        <v>3995</v>
      </c>
      <c r="BF23">
        <v>1537.7603999999999</v>
      </c>
      <c r="BG23">
        <v>2170</v>
      </c>
      <c r="BH23">
        <v>158.75000000000003</v>
      </c>
      <c r="BI23">
        <v>0</v>
      </c>
      <c r="BJ23">
        <v>0</v>
      </c>
      <c r="BK23">
        <v>0</v>
      </c>
    </row>
    <row r="24" spans="1:63">
      <c r="A24" s="2">
        <v>22</v>
      </c>
      <c r="B24" s="1">
        <f t="shared" si="28"/>
        <v>13788.590817726468</v>
      </c>
      <c r="C24" s="1">
        <f t="shared" ca="1" si="0"/>
        <v>14307</v>
      </c>
      <c r="D24" s="1">
        <f t="shared" ca="1" si="1"/>
        <v>13788.590817726468</v>
      </c>
      <c r="E24" s="1" t="str">
        <f t="shared" ca="1" si="6"/>
        <v/>
      </c>
      <c r="F24" s="1"/>
      <c r="G24" s="1"/>
      <c r="H24" s="12">
        <f t="shared" ca="1" si="7"/>
        <v>518.40918227353177</v>
      </c>
      <c r="I24" s="2">
        <v>22</v>
      </c>
      <c r="J24" s="1">
        <f t="shared" si="8"/>
        <v>6943.0004177264691</v>
      </c>
      <c r="K24" s="1">
        <f t="shared" ca="1" si="9"/>
        <v>8142</v>
      </c>
      <c r="L24" s="1">
        <f t="shared" ca="1" si="2"/>
        <v>6943.0004177264691</v>
      </c>
      <c r="M24" s="1" t="str">
        <f t="shared" ca="1" si="10"/>
        <v/>
      </c>
      <c r="N24" s="1"/>
      <c r="O24" s="1"/>
      <c r="P24" s="12">
        <f t="shared" ca="1" si="11"/>
        <v>1198.9995822735309</v>
      </c>
      <c r="Q24" s="2">
        <v>22</v>
      </c>
      <c r="R24" s="1">
        <f t="shared" si="12"/>
        <v>5149.08</v>
      </c>
      <c r="S24" s="1">
        <f t="shared" ca="1" si="13"/>
        <v>3995</v>
      </c>
      <c r="T24" s="1">
        <f t="shared" ca="1" si="3"/>
        <v>5149.08</v>
      </c>
      <c r="U24" s="1" t="str">
        <f t="shared" ca="1" si="14"/>
        <v/>
      </c>
      <c r="V24" s="1"/>
      <c r="W24" s="1"/>
      <c r="X24" s="12">
        <f t="shared" ca="1" si="15"/>
        <v>-1154.08</v>
      </c>
      <c r="Y24" s="2">
        <v>22</v>
      </c>
      <c r="Z24" s="1">
        <f t="shared" si="16"/>
        <v>1537.7603999999999</v>
      </c>
      <c r="AA24" s="1">
        <f t="shared" ca="1" si="17"/>
        <v>2170</v>
      </c>
      <c r="AB24" s="1">
        <f t="shared" ca="1" si="4"/>
        <v>1537.7603999999999</v>
      </c>
      <c r="AC24" s="1" t="str">
        <f t="shared" ca="1" si="18"/>
        <v/>
      </c>
      <c r="AD24" s="1"/>
      <c r="AE24" s="1"/>
      <c r="AF24" s="12">
        <f t="shared" ca="1" si="19"/>
        <v>632.23960000000011</v>
      </c>
      <c r="AG24" s="2">
        <v>22</v>
      </c>
      <c r="AH24" s="1">
        <f t="shared" si="20"/>
        <v>158.75000000000003</v>
      </c>
      <c r="AI24" s="1">
        <f t="shared" ca="1" si="21"/>
        <v>0</v>
      </c>
      <c r="AJ24" s="1">
        <f t="shared" ca="1" si="5"/>
        <v>158.75000000000003</v>
      </c>
      <c r="AK24" s="1" t="str">
        <f t="shared" ca="1" si="22"/>
        <v/>
      </c>
      <c r="AL24" s="1"/>
      <c r="AM24" s="1"/>
      <c r="AN24" s="12">
        <f t="shared" ca="1" si="23"/>
        <v>-158.75000000000003</v>
      </c>
      <c r="AP24" s="2">
        <v>22</v>
      </c>
      <c r="AQ24" s="1">
        <f t="shared" si="24"/>
        <v>0</v>
      </c>
      <c r="AR24" s="1">
        <f t="shared" ca="1" si="25"/>
        <v>0</v>
      </c>
      <c r="AS24" s="1">
        <f t="shared" ca="1" si="26"/>
        <v>0</v>
      </c>
      <c r="AT24" s="1" t="str">
        <f t="shared" ca="1" si="27"/>
        <v/>
      </c>
      <c r="AU24" s="1"/>
      <c r="AV24" s="1"/>
      <c r="BA24">
        <v>23</v>
      </c>
      <c r="BB24">
        <v>5921.7676261376855</v>
      </c>
      <c r="BC24">
        <v>7501</v>
      </c>
      <c r="BD24">
        <v>5149.08</v>
      </c>
      <c r="BE24">
        <v>2876</v>
      </c>
      <c r="BF24">
        <v>1558.9452000000001</v>
      </c>
      <c r="BG24">
        <v>1560</v>
      </c>
      <c r="BH24">
        <v>158.75000000000003</v>
      </c>
      <c r="BI24">
        <v>0</v>
      </c>
      <c r="BJ24">
        <v>0</v>
      </c>
      <c r="BK24">
        <v>0</v>
      </c>
    </row>
    <row r="25" spans="1:63">
      <c r="A25" s="2">
        <v>23</v>
      </c>
      <c r="B25" s="1">
        <f t="shared" si="28"/>
        <v>12788.542826137686</v>
      </c>
      <c r="C25" s="1">
        <f t="shared" ca="1" si="0"/>
        <v>11937</v>
      </c>
      <c r="D25" s="1"/>
      <c r="E25" s="1" t="str">
        <f t="shared" ca="1" si="6"/>
        <v/>
      </c>
      <c r="F25" s="1"/>
      <c r="G25" s="1"/>
      <c r="H25" s="12"/>
      <c r="I25" s="2">
        <v>23</v>
      </c>
      <c r="J25" s="1">
        <f t="shared" si="8"/>
        <v>5921.7676261376855</v>
      </c>
      <c r="K25" s="1">
        <f t="shared" ca="1" si="9"/>
        <v>7501</v>
      </c>
      <c r="L25" s="1">
        <f t="shared" ca="1" si="2"/>
        <v>5921.7676261376855</v>
      </c>
      <c r="M25" s="1" t="str">
        <f t="shared" ca="1" si="10"/>
        <v/>
      </c>
      <c r="N25" s="1"/>
      <c r="O25" s="1"/>
      <c r="P25" s="12">
        <f t="shared" ca="1" si="11"/>
        <v>1579.2323738623145</v>
      </c>
      <c r="Q25" s="2">
        <v>23</v>
      </c>
      <c r="R25" s="1">
        <f t="shared" si="12"/>
        <v>5149.08</v>
      </c>
      <c r="S25" s="1">
        <f t="shared" ca="1" si="13"/>
        <v>2876</v>
      </c>
      <c r="T25" s="1">
        <f t="shared" ca="1" si="3"/>
        <v>5149.08</v>
      </c>
      <c r="U25" s="1" t="str">
        <f t="shared" ca="1" si="14"/>
        <v/>
      </c>
      <c r="V25" s="1"/>
      <c r="W25" s="1"/>
      <c r="X25" s="12">
        <f t="shared" ca="1" si="15"/>
        <v>-2273.08</v>
      </c>
      <c r="Y25" s="2">
        <v>23</v>
      </c>
      <c r="Z25" s="1">
        <f t="shared" si="16"/>
        <v>1558.9452000000001</v>
      </c>
      <c r="AA25" s="1">
        <f t="shared" ca="1" si="17"/>
        <v>1560</v>
      </c>
      <c r="AB25" s="1">
        <f t="shared" ca="1" si="4"/>
        <v>1558.9452000000001</v>
      </c>
      <c r="AC25" s="1" t="str">
        <f t="shared" ca="1" si="18"/>
        <v/>
      </c>
      <c r="AD25" s="1"/>
      <c r="AE25" s="1"/>
      <c r="AF25" s="12">
        <f t="shared" ca="1" si="19"/>
        <v>1.0547999999998865</v>
      </c>
      <c r="AG25" s="2">
        <v>23</v>
      </c>
      <c r="AH25" s="1">
        <f t="shared" si="20"/>
        <v>158.75000000000003</v>
      </c>
      <c r="AI25" s="1">
        <f t="shared" ca="1" si="21"/>
        <v>0</v>
      </c>
      <c r="AJ25" s="1">
        <f t="shared" ca="1" si="5"/>
        <v>158.75000000000003</v>
      </c>
      <c r="AK25" s="1" t="str">
        <f t="shared" ca="1" si="22"/>
        <v/>
      </c>
      <c r="AL25" s="1"/>
      <c r="AM25" s="1"/>
      <c r="AN25" s="12">
        <f t="shared" ca="1" si="23"/>
        <v>-158.75000000000003</v>
      </c>
      <c r="AP25" s="2">
        <v>23</v>
      </c>
      <c r="AQ25" s="1">
        <f t="shared" si="24"/>
        <v>0</v>
      </c>
      <c r="AR25" s="1">
        <f t="shared" ca="1" si="25"/>
        <v>0</v>
      </c>
      <c r="AS25" s="1">
        <f t="shared" ca="1" si="26"/>
        <v>0</v>
      </c>
      <c r="AT25" s="1" t="str">
        <f t="shared" ca="1" si="27"/>
        <v/>
      </c>
      <c r="AU25" s="1"/>
      <c r="AV25" s="1"/>
      <c r="BA25">
        <v>24</v>
      </c>
      <c r="BB25">
        <v>5981.6787794854317</v>
      </c>
      <c r="BC25">
        <v>5412</v>
      </c>
      <c r="BD25">
        <v>5001.4800000000005</v>
      </c>
      <c r="BE25">
        <v>2861</v>
      </c>
      <c r="BF25">
        <v>1236.0516</v>
      </c>
      <c r="BG25">
        <v>1140</v>
      </c>
      <c r="BH25">
        <v>158.75000000000003</v>
      </c>
      <c r="BI25">
        <v>0</v>
      </c>
      <c r="BJ25">
        <v>0</v>
      </c>
      <c r="BK25">
        <v>0</v>
      </c>
    </row>
    <row r="26" spans="1:63">
      <c r="A26" s="2">
        <v>24</v>
      </c>
      <c r="B26" s="1">
        <f t="shared" si="28"/>
        <v>12377.960379485432</v>
      </c>
      <c r="C26" s="1">
        <f t="shared" ca="1" si="0"/>
        <v>9413</v>
      </c>
      <c r="D26" s="1">
        <f t="shared" ca="1" si="1"/>
        <v>12377.960379485432</v>
      </c>
      <c r="E26" s="1" t="str">
        <f t="shared" ca="1" si="6"/>
        <v/>
      </c>
      <c r="F26" s="1"/>
      <c r="G26" s="1"/>
      <c r="H26" s="12">
        <f t="shared" ca="1" si="7"/>
        <v>-2964.960379485432</v>
      </c>
      <c r="I26" s="2">
        <v>24</v>
      </c>
      <c r="J26" s="1">
        <f t="shared" si="8"/>
        <v>5981.6787794854317</v>
      </c>
      <c r="K26" s="1">
        <f t="shared" ca="1" si="9"/>
        <v>5412</v>
      </c>
      <c r="L26" s="1">
        <f t="shared" ca="1" si="2"/>
        <v>5981.6787794854317</v>
      </c>
      <c r="M26" s="1" t="str">
        <f t="shared" ca="1" si="10"/>
        <v/>
      </c>
      <c r="N26" s="1"/>
      <c r="O26" s="1"/>
      <c r="P26" s="12">
        <f t="shared" ca="1" si="11"/>
        <v>-569.67877948543173</v>
      </c>
      <c r="Q26" s="2">
        <v>24</v>
      </c>
      <c r="R26" s="1">
        <f t="shared" si="12"/>
        <v>5001.4800000000005</v>
      </c>
      <c r="S26" s="1">
        <f t="shared" ca="1" si="13"/>
        <v>2861</v>
      </c>
      <c r="T26" s="1">
        <f t="shared" ca="1" si="3"/>
        <v>5001.4800000000005</v>
      </c>
      <c r="U26" s="1" t="str">
        <f t="shared" ca="1" si="14"/>
        <v/>
      </c>
      <c r="V26" s="1"/>
      <c r="W26" s="1"/>
      <c r="X26" s="12">
        <f t="shared" ca="1" si="15"/>
        <v>-2140.4800000000005</v>
      </c>
      <c r="Y26" s="2">
        <v>24</v>
      </c>
      <c r="Z26" s="1">
        <f t="shared" si="16"/>
        <v>1236.0516</v>
      </c>
      <c r="AA26" s="1">
        <f t="shared" ca="1" si="17"/>
        <v>1140</v>
      </c>
      <c r="AB26" s="1">
        <f t="shared" ca="1" si="4"/>
        <v>1236.0516</v>
      </c>
      <c r="AC26" s="1" t="str">
        <f t="shared" ca="1" si="18"/>
        <v/>
      </c>
      <c r="AD26" s="1"/>
      <c r="AE26" s="1"/>
      <c r="AF26" s="12">
        <f t="shared" ca="1" si="19"/>
        <v>-96.051600000000008</v>
      </c>
      <c r="AG26" s="2">
        <v>24</v>
      </c>
      <c r="AH26" s="1">
        <f t="shared" si="20"/>
        <v>158.75000000000003</v>
      </c>
      <c r="AI26" s="1">
        <f t="shared" ca="1" si="21"/>
        <v>0</v>
      </c>
      <c r="AJ26" s="1">
        <f t="shared" ca="1" si="5"/>
        <v>158.75000000000003</v>
      </c>
      <c r="AK26" s="1" t="str">
        <f t="shared" ca="1" si="22"/>
        <v/>
      </c>
      <c r="AL26" s="1"/>
      <c r="AM26" s="1"/>
      <c r="AN26" s="12">
        <f t="shared" ca="1" si="23"/>
        <v>-158.75000000000003</v>
      </c>
      <c r="AP26" s="2">
        <v>24</v>
      </c>
      <c r="AQ26" s="1">
        <f t="shared" si="24"/>
        <v>0</v>
      </c>
      <c r="AR26" s="1">
        <f t="shared" ca="1" si="25"/>
        <v>0</v>
      </c>
      <c r="AS26" s="1">
        <f t="shared" ca="1" si="26"/>
        <v>0</v>
      </c>
      <c r="AT26" s="1" t="str">
        <f t="shared" ca="1" si="27"/>
        <v/>
      </c>
      <c r="AU26" s="1"/>
      <c r="AV26" s="1"/>
    </row>
    <row r="27" spans="1:63">
      <c r="Z27" s="5"/>
    </row>
    <row r="28" spans="1:63">
      <c r="A28" s="10" t="s">
        <v>51</v>
      </c>
      <c r="F28" s="11">
        <f ca="1">SUM(C3:C26)</f>
        <v>278229.5</v>
      </c>
      <c r="G28" s="11">
        <f ca="1">SUM(D3:D26)</f>
        <v>298822.4498447862</v>
      </c>
      <c r="I28" s="10" t="s">
        <v>52</v>
      </c>
      <c r="N28" s="11">
        <f ca="1">SUM(K3:K26)</f>
        <v>179491.50000000003</v>
      </c>
      <c r="O28" s="11">
        <f ca="1">SUM(L3:L26)</f>
        <v>163866.87987092385</v>
      </c>
      <c r="Q28" s="10" t="s">
        <v>52</v>
      </c>
      <c r="V28" s="11">
        <f ca="1">SUM(S3:S26)</f>
        <v>57868</v>
      </c>
      <c r="W28" s="11">
        <f ca="1">SUM(T3:T26)</f>
        <v>108618.12000000002</v>
      </c>
      <c r="Y28" s="10" t="s">
        <v>52</v>
      </c>
      <c r="Z28" s="5"/>
      <c r="AD28" s="11">
        <f ca="1">SUM(AA3:AA26)</f>
        <v>40870</v>
      </c>
      <c r="AE28" s="11">
        <f ca="1">SUM(AB3:AB26)</f>
        <v>35315.9928</v>
      </c>
      <c r="AG28" s="10" t="s">
        <v>52</v>
      </c>
      <c r="AL28" s="11">
        <f ca="1">SUM(AI3:AI26)</f>
        <v>0</v>
      </c>
      <c r="AM28" s="11">
        <f ca="1">SUM(AJ3:AJ26)</f>
        <v>3810.0000000000005</v>
      </c>
      <c r="AP28" s="10" t="s">
        <v>52</v>
      </c>
      <c r="AU28" s="11">
        <f ca="1">SUM(AR3:AR26)</f>
        <v>3</v>
      </c>
      <c r="AV28" s="11">
        <f ca="1">SUM(AS3:AS26)</f>
        <v>0</v>
      </c>
    </row>
    <row r="29" spans="1:63">
      <c r="A29" s="10" t="s">
        <v>53</v>
      </c>
      <c r="F29" s="11">
        <f>SUM(N29,V29,AD29,AL29)</f>
        <v>293000</v>
      </c>
      <c r="G29" s="11">
        <f>SUM(O29,W29,AE29,AM29)</f>
        <v>311610.99267092388</v>
      </c>
      <c r="I29" s="10" t="s">
        <v>54</v>
      </c>
      <c r="N29" s="11">
        <f>'JUSTIFICATIVA DE USINA'!AG2</f>
        <v>195000</v>
      </c>
      <c r="O29" s="11">
        <f>SUM(J3:J26)</f>
        <v>163866.87987092385</v>
      </c>
      <c r="Q29" s="10" t="s">
        <v>54</v>
      </c>
      <c r="V29" s="11">
        <f>'JUSTIFICATIVA DE USINA'!AS2</f>
        <v>60000</v>
      </c>
      <c r="W29" s="11">
        <f>SUM(R3:R26)</f>
        <v>108618.12000000002</v>
      </c>
      <c r="Y29" s="10" t="s">
        <v>54</v>
      </c>
      <c r="Z29" s="5"/>
      <c r="AD29" s="11">
        <f>'JUSTIFICATIVA DE USINA'!BE2</f>
        <v>38000</v>
      </c>
      <c r="AE29" s="11">
        <f>SUM(Z3:Z26)</f>
        <v>35315.9928</v>
      </c>
      <c r="AG29" s="10" t="s">
        <v>54</v>
      </c>
      <c r="AL29" s="11">
        <f>'JUSTIFICATIVA DE USINA'!BQ2</f>
        <v>0</v>
      </c>
      <c r="AM29" s="11">
        <f>SUM(AH3:AH26)</f>
        <v>3810.0000000000005</v>
      </c>
      <c r="AP29" s="10" t="s">
        <v>54</v>
      </c>
      <c r="AU29" s="11">
        <f>'JUSTIFICATIVA DE USINA'!$CA$2</f>
        <v>0</v>
      </c>
      <c r="AV29" s="11">
        <f>SUM(AQ3:AQ26)</f>
        <v>0</v>
      </c>
    </row>
    <row r="30" spans="1:63" ht="25.9" customHeight="1">
      <c r="C30" t="s">
        <v>55</v>
      </c>
      <c r="D30" s="51">
        <f ca="1">F28-G28</f>
        <v>-20592.949844786199</v>
      </c>
      <c r="H30" s="12"/>
      <c r="K30" t="s">
        <v>55</v>
      </c>
      <c r="L30" s="51">
        <f ca="1">N28-O28</f>
        <v>15624.620129076182</v>
      </c>
      <c r="S30" t="s">
        <v>55</v>
      </c>
      <c r="T30" s="51">
        <f ca="1">V28-W28</f>
        <v>-50750.120000000024</v>
      </c>
      <c r="Z30" s="5"/>
      <c r="AA30" t="s">
        <v>55</v>
      </c>
      <c r="AB30" s="51">
        <f ca="1">AD28-AE28</f>
        <v>5554.0072</v>
      </c>
      <c r="AI30" t="s">
        <v>55</v>
      </c>
      <c r="AJ30" s="51">
        <f ca="1">AL28-AM28</f>
        <v>-3810.0000000000005</v>
      </c>
      <c r="AR30" t="s">
        <v>55</v>
      </c>
      <c r="AS30" s="51">
        <f ca="1">AU28-AV28</f>
        <v>3</v>
      </c>
    </row>
    <row r="31" spans="1:63">
      <c r="D31" s="12"/>
      <c r="F31" s="50"/>
      <c r="H31" s="12"/>
      <c r="Z31" s="5"/>
    </row>
    <row r="32" spans="1:63" ht="18.75">
      <c r="A32" s="247" t="s">
        <v>56</v>
      </c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  <c r="U32" s="247"/>
      <c r="V32" s="247"/>
      <c r="W32" s="247"/>
      <c r="X32" s="247"/>
      <c r="Y32" s="247"/>
      <c r="Z32" s="247"/>
      <c r="AA32" s="247"/>
      <c r="AB32" s="247"/>
      <c r="AC32" s="247"/>
      <c r="AD32" s="247"/>
      <c r="AE32" s="247"/>
      <c r="AF32" s="247"/>
      <c r="AG32" s="247"/>
      <c r="AH32" s="247"/>
      <c r="AI32" s="247"/>
      <c r="AJ32" s="247"/>
      <c r="AK32" s="247"/>
      <c r="AL32" s="7"/>
    </row>
    <row r="33" spans="1:38">
      <c r="A33" s="3" t="s">
        <v>43</v>
      </c>
      <c r="B33" s="4" t="s">
        <v>44</v>
      </c>
      <c r="C33" s="4" t="s">
        <v>45</v>
      </c>
      <c r="D33" s="4" t="s">
        <v>57</v>
      </c>
      <c r="F33" s="12">
        <f>SUM(B3:B26)</f>
        <v>311610.99267092388</v>
      </c>
      <c r="I33" s="3" t="str">
        <f>I2</f>
        <v>USINA 1</v>
      </c>
      <c r="J33" s="4" t="s">
        <v>44</v>
      </c>
      <c r="K33" s="4" t="s">
        <v>45</v>
      </c>
      <c r="L33" s="4" t="s">
        <v>57</v>
      </c>
      <c r="M33" s="8"/>
      <c r="Q33" s="3" t="str">
        <f>Q2</f>
        <v>USINA 2</v>
      </c>
      <c r="R33" s="4" t="s">
        <v>44</v>
      </c>
      <c r="S33" s="4" t="s">
        <v>45</v>
      </c>
      <c r="T33" s="4" t="s">
        <v>57</v>
      </c>
      <c r="U33" s="8"/>
      <c r="Y33" s="3" t="str">
        <f>Y2</f>
        <v>USINA 3</v>
      </c>
      <c r="Z33" s="4" t="s">
        <v>44</v>
      </c>
      <c r="AA33" s="4" t="s">
        <v>45</v>
      </c>
      <c r="AB33" s="4"/>
      <c r="AC33" s="4" t="s">
        <v>57</v>
      </c>
      <c r="AG33" s="3" t="str">
        <f>AG2</f>
        <v>USINA 4</v>
      </c>
      <c r="AH33" s="4" t="s">
        <v>44</v>
      </c>
      <c r="AI33" s="4" t="s">
        <v>45</v>
      </c>
      <c r="AJ33" s="4"/>
      <c r="AK33" s="4" t="s">
        <v>57</v>
      </c>
    </row>
    <row r="34" spans="1:38">
      <c r="A34" s="2">
        <v>1</v>
      </c>
      <c r="B34" s="1">
        <f>B3*24</f>
        <v>346227.37131712498</v>
      </c>
      <c r="C34" s="1">
        <f ca="1">C3*24</f>
        <v>225528</v>
      </c>
      <c r="D34" s="1"/>
      <c r="E34" s="9"/>
      <c r="I34" s="2">
        <v>1</v>
      </c>
      <c r="J34" s="1">
        <f>J3*24</f>
        <v>203042.19051712495</v>
      </c>
      <c r="K34" s="1">
        <f ca="1">K3*24</f>
        <v>156264</v>
      </c>
      <c r="L34" s="1"/>
      <c r="M34" s="9"/>
      <c r="N34" s="9"/>
      <c r="Q34" s="2">
        <v>1</v>
      </c>
      <c r="R34" s="1">
        <f>R3*24</f>
        <v>86777.279999999999</v>
      </c>
      <c r="S34" s="1">
        <f ca="1">S3*24</f>
        <v>17424</v>
      </c>
      <c r="T34" s="1"/>
      <c r="U34" s="9"/>
      <c r="V34" s="9"/>
      <c r="Y34" s="2">
        <v>1</v>
      </c>
      <c r="Z34" s="1" t="s">
        <v>61</v>
      </c>
      <c r="AA34" s="1">
        <f ca="1">AA3*24</f>
        <v>51840</v>
      </c>
      <c r="AB34" s="1"/>
      <c r="AC34" s="1"/>
      <c r="AD34" s="9"/>
      <c r="AG34" s="2">
        <v>1</v>
      </c>
      <c r="AH34" s="1">
        <f>AH3*24</f>
        <v>3810.0000000000009</v>
      </c>
      <c r="AI34" s="1">
        <f ca="1">AI3*24</f>
        <v>0</v>
      </c>
      <c r="AJ34" s="1"/>
      <c r="AK34" s="1"/>
      <c r="AL34" s="9"/>
    </row>
    <row r="35" spans="1:38">
      <c r="A35" s="2">
        <v>2</v>
      </c>
      <c r="B35" s="1">
        <f>SUM($B$3:B4)/A4*24</f>
        <v>339927.18224283238</v>
      </c>
      <c r="C35" s="1">
        <f ca="1">IF(C4="","",IF(A35&lt;$A$1,SUM(C3:C4)/A4*24,(SUM(C3:C4)/$A$1)*24))</f>
        <v>249684</v>
      </c>
      <c r="D35" s="1"/>
      <c r="E35" s="9"/>
      <c r="I35" s="2">
        <v>2</v>
      </c>
      <c r="J35" s="1">
        <f>SUM($J$3:J4)/$I$4*24</f>
        <v>206058.81584283238</v>
      </c>
      <c r="K35" s="1">
        <f ca="1">IF(K4="","",IF(I35&lt;$A$1,SUM(K3:K4)/I4*24,(SUM(K3:K4)/$A$1)*24))</f>
        <v>190128</v>
      </c>
      <c r="L35" s="1"/>
      <c r="M35" s="9"/>
      <c r="N35" s="9"/>
      <c r="Q35" s="2">
        <v>2</v>
      </c>
      <c r="R35" s="1">
        <f>SUM($R$3:R4)/Q4*24</f>
        <v>78065.279999999999</v>
      </c>
      <c r="S35" s="1">
        <f ca="1">IF(S4="","",IF(Q35&lt;$A$1,SUM(S3:S4)/Q4*24,(SUM(S3:S4)/$A$1)*24))</f>
        <v>14556</v>
      </c>
      <c r="T35" s="1"/>
      <c r="U35" s="9"/>
      <c r="V35" s="9"/>
      <c r="Y35" s="2">
        <v>2</v>
      </c>
      <c r="Z35" s="1">
        <f>SUM($Z$3:Z4)/Y4*24</f>
        <v>51993.0864</v>
      </c>
      <c r="AA35" s="1">
        <f ca="1">IF(AA4="","",IF(Y35&lt;$A$1,SUM(AA3:AA4)/Y4*24,(SUM(AA3:AA4)/$A$1)*24))</f>
        <v>45000</v>
      </c>
      <c r="AB35" s="1"/>
      <c r="AC35" s="1"/>
      <c r="AD35" s="9"/>
      <c r="AG35" s="2">
        <v>2</v>
      </c>
      <c r="AH35" s="1">
        <f>SUM($AH$3:AH4)/AG4*24</f>
        <v>3810.0000000000009</v>
      </c>
      <c r="AI35" s="1">
        <f ca="1">IF(AI4="","",IF(AG35&lt;$A$1,SUM(AI3:AI4)/AG4*24,(SUM(AI3:AI4)/$A$1)*24))</f>
        <v>0</v>
      </c>
      <c r="AJ35" s="1"/>
      <c r="AK35" s="1"/>
      <c r="AL35" s="9"/>
    </row>
    <row r="36" spans="1:38">
      <c r="A36" s="2">
        <v>3</v>
      </c>
      <c r="B36" s="1">
        <f>SUM($B$3:B5)/A5*24</f>
        <v>343689.83197790792</v>
      </c>
      <c r="C36" s="1">
        <f ca="1">IF(C5="","",IF(A36&lt;$A$1,SUM(C3:C5)/A5*24,(SUM(C3:C5)/$A$1)*24))</f>
        <v>260648</v>
      </c>
      <c r="D36" s="1"/>
      <c r="E36" s="9"/>
      <c r="I36" s="2">
        <v>3</v>
      </c>
      <c r="J36" s="1">
        <f>SUM($J$3:J5)/$I$5*24</f>
        <v>199698.57757790788</v>
      </c>
      <c r="K36" s="1">
        <f ca="1">IF(K5="","",IF(I36&lt;$A$1,SUM(K3:K5)/I5*24,(SUM(K3:K5)/$A$1)*24))</f>
        <v>203592</v>
      </c>
      <c r="L36" s="1"/>
      <c r="M36" s="9"/>
      <c r="N36" s="9"/>
      <c r="Q36" s="2">
        <v>3</v>
      </c>
      <c r="R36" s="1">
        <f>SUM($R$3:R5)/Q5*24</f>
        <v>86952</v>
      </c>
      <c r="S36" s="1">
        <f ca="1">IF(S5="","",IF(Q36&lt;$A$1,SUM(S3:S5)/Q5*24,(SUM(S3:S5)/$A$1)*24))</f>
        <v>12656</v>
      </c>
      <c r="T36" s="1"/>
      <c r="U36" s="9"/>
      <c r="V36" s="9"/>
      <c r="Y36" s="2">
        <v>3</v>
      </c>
      <c r="Z36" s="1">
        <f>SUM($Z$3:Z5)/Y5*24</f>
        <v>53229.254400000005</v>
      </c>
      <c r="AA36" s="1">
        <f ca="1">IF(AA5="","",IF(Y36&lt;$A$1,SUM(AA3:AA5)/Y5*24,(SUM(AA3:AA5)/$A$1)*24))</f>
        <v>44400</v>
      </c>
      <c r="AB36" s="1"/>
      <c r="AC36" s="1"/>
      <c r="AD36" s="9"/>
      <c r="AG36" s="2">
        <v>3</v>
      </c>
      <c r="AH36" s="1">
        <f>SUM($AH$3:AH5)/AG5*24</f>
        <v>3810.0000000000009</v>
      </c>
      <c r="AI36" s="1">
        <f ca="1">IF(AI5="","",IF(AG36&lt;$A$1,SUM(AI3:AI5)/AG5*24,(SUM(AI3:AI5)/$A$1)*24))</f>
        <v>0</v>
      </c>
      <c r="AJ36" s="1"/>
      <c r="AK36" s="1"/>
      <c r="AL36" s="9"/>
    </row>
    <row r="37" spans="1:38">
      <c r="A37" s="2">
        <v>4</v>
      </c>
      <c r="B37" s="1">
        <f>SUM($B$3:B6)/A6*24</f>
        <v>350639.98715113662</v>
      </c>
      <c r="C37" s="1">
        <f ca="1">IF(C6="","",IF(A37&lt;$A$1,SUM(C3:C6)/A6*24,(SUM(C3:C6)/$A$1)*24))</f>
        <v>248826</v>
      </c>
      <c r="D37" s="1"/>
      <c r="E37" s="9"/>
      <c r="I37" s="2">
        <v>4</v>
      </c>
      <c r="J37" s="1">
        <f>SUM($J$3:J6)/$I$6*24</f>
        <v>204034.34555113653</v>
      </c>
      <c r="K37" s="1">
        <f ca="1">IF(K6="","",IF(I37&lt;$A$1,SUM(K3:K6)/I6*24,(SUM(K3:K6)/$A$1)*24))</f>
        <v>190044</v>
      </c>
      <c r="L37" s="1"/>
      <c r="M37" s="9"/>
      <c r="Q37" s="2">
        <v>4</v>
      </c>
      <c r="R37" s="1">
        <f>SUM($R$3:R6)/Q6*24</f>
        <v>90329.040000000008</v>
      </c>
      <c r="S37" s="1">
        <f ca="1">IF(S6="","",IF(Q37&lt;$A$1,SUM(S3:S6)/Q6*24,(SUM(S3:S6)/$A$1)*24))</f>
        <v>11982</v>
      </c>
      <c r="T37" s="1"/>
      <c r="U37" s="9"/>
      <c r="V37" s="9"/>
      <c r="Y37" s="2">
        <v>4</v>
      </c>
      <c r="Z37" s="1">
        <f>SUM($Z$3:Z6)/Y6*24</f>
        <v>52466.601600000002</v>
      </c>
      <c r="AA37" s="1">
        <f ca="1">IF(AA6="","",IF(Y37&lt;$A$1,SUM(AA3:AA6)/Y6*24,(SUM(AA3:AA6)/$A$1)*24))</f>
        <v>46800</v>
      </c>
      <c r="AB37" s="1"/>
      <c r="AC37" s="1"/>
      <c r="AD37" s="9"/>
      <c r="AG37" s="2">
        <v>4</v>
      </c>
      <c r="AH37" s="1">
        <f>SUM($AH$3:AH6)/AG6*24</f>
        <v>3810.0000000000009</v>
      </c>
      <c r="AI37" s="1">
        <f ca="1">IF(AI6="","",IF(AG37&lt;$A$1,SUM(AI3:AI6)/AG6*24,(SUM(AI3:AI6)/$A$1)*24))</f>
        <v>0</v>
      </c>
      <c r="AJ37" s="1"/>
      <c r="AK37" s="1"/>
      <c r="AL37" s="9"/>
    </row>
    <row r="38" spans="1:38">
      <c r="A38" s="2">
        <v>5</v>
      </c>
      <c r="B38" s="1">
        <f>SUM($B$3:B7)/A7*24</f>
        <v>346011.69812880433</v>
      </c>
      <c r="C38" s="1">
        <f ca="1">IF(C7="","",IF(A38&lt;$A$1,SUM(C3:C7)/A7*24,(SUM(C3:C7)/$A$1)*24))</f>
        <v>244060.80000000002</v>
      </c>
      <c r="D38" s="1"/>
      <c r="E38" s="9"/>
      <c r="I38" s="2">
        <v>5</v>
      </c>
      <c r="J38" s="1">
        <f>SUM($J$3:J7)/$I$7*24</f>
        <v>203353.46516880428</v>
      </c>
      <c r="K38" s="1">
        <f ca="1">IF(K7="","",IF(I38&lt;$A$1,SUM(K3:K7)/I7*24,(SUM(K3:K7)/$A$1)*24))</f>
        <v>175728</v>
      </c>
      <c r="L38" s="1"/>
      <c r="M38" s="9"/>
      <c r="N38" s="9"/>
      <c r="Q38" s="2">
        <v>5</v>
      </c>
      <c r="R38" s="1">
        <f>SUM($R$3:R7)/Q7*24</f>
        <v>86737.535999999993</v>
      </c>
      <c r="S38" s="1">
        <f ca="1">IF(S7="","",IF(Q38&lt;$A$1,SUM(S3:S7)/Q7*24,(SUM(S3:S7)/$A$1)*24))</f>
        <v>21868.800000000003</v>
      </c>
      <c r="T38" s="1"/>
      <c r="U38" s="9"/>
      <c r="V38" s="9"/>
      <c r="Y38" s="2">
        <v>5</v>
      </c>
      <c r="Z38" s="1">
        <f>SUM($Z$3:Z7)/Y7*24</f>
        <v>52110.696960000008</v>
      </c>
      <c r="AA38" s="1">
        <f ca="1">IF(AA7="","",IF(Y38&lt;$A$1,SUM(AA3:AA7)/Y7*24,(SUM(AA3:AA7)/$A$1)*24))</f>
        <v>46464</v>
      </c>
      <c r="AB38" s="1"/>
      <c r="AC38" s="1"/>
      <c r="AD38" s="9"/>
      <c r="AG38" s="2">
        <v>5</v>
      </c>
      <c r="AH38" s="1">
        <f>SUM($AH$3:AH7)/AG7*24</f>
        <v>3810.0000000000009</v>
      </c>
      <c r="AI38" s="1">
        <f ca="1">IF(AI7="","",IF(AG38&lt;$A$1,SUM(AI3:AI7)/AG7*24,(SUM(AI3:AI7)/$A$1)*24))</f>
        <v>0</v>
      </c>
      <c r="AJ38" s="1"/>
      <c r="AK38" s="1"/>
      <c r="AL38" s="9"/>
    </row>
    <row r="39" spans="1:38">
      <c r="A39" s="2">
        <v>6</v>
      </c>
      <c r="B39" s="1">
        <f>SUM($B$3:B8)/A8*24</f>
        <v>353404.11355994735</v>
      </c>
      <c r="C39" s="1">
        <f ca="1">IF(C8="","",IF(A39&lt;$A$1,SUM(C3:C8)/A8*24,(SUM(C3:C8)/$A$1)*24))</f>
        <v>249560</v>
      </c>
      <c r="D39" s="1"/>
      <c r="E39" s="9"/>
      <c r="I39" s="2">
        <v>6</v>
      </c>
      <c r="J39" s="1">
        <f>SUM($J$3:J8)/$I$8*24</f>
        <v>206450.32315994732</v>
      </c>
      <c r="K39" s="1">
        <f ca="1">IF(K8="","",IF(I39&lt;$A$1,SUM(K3:K8)/I8*24,(SUM(K3:K8)/$A$1)*24))</f>
        <v>177420</v>
      </c>
      <c r="L39" s="1"/>
      <c r="M39" s="9"/>
      <c r="N39" s="9"/>
      <c r="Q39" s="2">
        <v>6</v>
      </c>
      <c r="R39" s="1">
        <f>SUM($R$3:R8)/Q8*24</f>
        <v>90922.559999999998</v>
      </c>
      <c r="S39" s="1">
        <f ca="1">IF(S8="","",IF(Q39&lt;$A$1,SUM(S3:S8)/Q8*24,(SUM(S3:S8)/$A$1)*24))</f>
        <v>28260</v>
      </c>
      <c r="T39" s="1"/>
      <c r="U39" s="9"/>
      <c r="V39" s="9"/>
      <c r="Y39" s="2">
        <v>6</v>
      </c>
      <c r="Z39" s="1">
        <f>SUM($Z$3:Z8)/Y8*24</f>
        <v>52221.2304</v>
      </c>
      <c r="AA39" s="1">
        <f ca="1">IF(AA8="","",IF(Y39&lt;$A$1,SUM(AA3:AA8)/Y8*24,(SUM(AA3:AA8)/$A$1)*24))</f>
        <v>43880</v>
      </c>
      <c r="AB39" s="1"/>
      <c r="AC39" s="1"/>
      <c r="AD39" s="9"/>
      <c r="AG39" s="2">
        <v>6</v>
      </c>
      <c r="AH39" s="1">
        <f>SUM($AH$3:AH8)/AG8*24</f>
        <v>3810.0000000000009</v>
      </c>
      <c r="AI39" s="1">
        <f ca="1">IF(AI8="","",IF(AG39&lt;$A$1,SUM(AI3:AI8)/AG8*24,(SUM(AI3:AI8)/$A$1)*24))</f>
        <v>0</v>
      </c>
      <c r="AJ39" s="1"/>
      <c r="AK39" s="1"/>
      <c r="AL39" s="9"/>
    </row>
    <row r="40" spans="1:38">
      <c r="A40" s="2">
        <v>7</v>
      </c>
      <c r="B40" s="1">
        <f>SUM($B$3:B9)/A9*24</f>
        <v>358645.72185103124</v>
      </c>
      <c r="C40" s="1">
        <f ca="1">IF(C9="","",IF(A40&lt;$A$1,SUM(C3:C9)/A9*24,(SUM(C3:C9)/$A$1)*24))</f>
        <v>249498.17142857143</v>
      </c>
      <c r="D40" s="1"/>
      <c r="E40" s="9"/>
      <c r="I40" s="2">
        <v>7</v>
      </c>
      <c r="J40" s="1">
        <f>SUM($J$3:J9)/$I$9*24</f>
        <v>207337.73556531692</v>
      </c>
      <c r="K40" s="1">
        <f ca="1">IF(K9="","",IF(I40&lt;$A$1,SUM(K3:K9)/I9*24,(SUM(K3:K9)/$A$1)*24))</f>
        <v>177594.17142857146</v>
      </c>
      <c r="L40" s="1"/>
      <c r="M40" s="9"/>
      <c r="N40" s="9"/>
      <c r="Q40" s="2">
        <v>7</v>
      </c>
      <c r="R40" s="1">
        <f>SUM($R$3:R9)/Q9*24</f>
        <v>94952.365714285712</v>
      </c>
      <c r="S40" s="1">
        <f ca="1">IF(S9="","",IF(Q40&lt;$A$1,SUM(S3:S9)/Q9*24,(SUM(S3:S9)/$A$1)*24))</f>
        <v>31995.428571428572</v>
      </c>
      <c r="T40" s="1"/>
      <c r="U40" s="9"/>
      <c r="V40" s="9"/>
      <c r="Y40" s="2">
        <v>7</v>
      </c>
      <c r="Z40" s="1">
        <f>SUM($Z$3:Z9)/Y9*24</f>
        <v>52545.620571428575</v>
      </c>
      <c r="AA40" s="1">
        <f ca="1">IF(AA9="","",IF(Y40&lt;$A$1,SUM(AA3:AA9)/Y9*24,(SUM(AA3:AA9)/$A$1)*24))</f>
        <v>39908.571428571428</v>
      </c>
      <c r="AB40" s="1"/>
      <c r="AC40" s="1"/>
      <c r="AD40" s="9"/>
      <c r="AG40" s="2">
        <v>7</v>
      </c>
      <c r="AH40" s="1">
        <f>SUM($AH$3:AH9)/AG9*24</f>
        <v>3810.0000000000009</v>
      </c>
      <c r="AI40" s="1">
        <f ca="1">IF(AI9="","",IF(AG40&lt;$A$1,SUM(AI3:AI9)/AG9*24,(SUM(AI3:AI9)/$A$1)*24))</f>
        <v>0</v>
      </c>
      <c r="AJ40" s="1"/>
      <c r="AK40" s="1"/>
      <c r="AL40" s="9"/>
    </row>
    <row r="41" spans="1:38">
      <c r="A41" s="2">
        <v>8</v>
      </c>
      <c r="B41" s="1">
        <f>SUM($B$3:B10)/A10*24</f>
        <v>360792.73964179278</v>
      </c>
      <c r="C41" s="1">
        <f ca="1">IF(C10="","",IF(A41&lt;$A$1,SUM(C3:C10)/A10*24,(SUM(C3:C10)/$A$1)*24))</f>
        <v>248059.5</v>
      </c>
      <c r="D41" s="1"/>
      <c r="E41" s="9"/>
      <c r="I41" s="2">
        <v>8</v>
      </c>
      <c r="J41" s="1">
        <f>SUM($J$3:J10)/$I$10*24</f>
        <v>205848.46844179276</v>
      </c>
      <c r="K41" s="1">
        <f ca="1">IF(K10="","",IF(I41&lt;$A$1,SUM(K3:K10)/I10*24,(SUM(K3:K10)/$A$1)*24))</f>
        <v>174910.5</v>
      </c>
      <c r="L41" s="1"/>
      <c r="M41" s="9"/>
      <c r="N41" s="9"/>
      <c r="Q41" s="2">
        <v>8</v>
      </c>
      <c r="R41" s="1">
        <f>SUM($R$3:R10)/Q10*24</f>
        <v>98130.599999999991</v>
      </c>
      <c r="S41" s="1">
        <f ca="1">IF(S10="","",IF(Q41&lt;$A$1,SUM(S3:S10)/Q10*24,(SUM(S3:S10)/$A$1)*24))</f>
        <v>34089</v>
      </c>
      <c r="T41" s="1"/>
      <c r="U41" s="9"/>
      <c r="V41" s="9"/>
      <c r="Y41" s="2">
        <v>8</v>
      </c>
      <c r="Z41" s="1">
        <f>SUM($Z$3:Z10)/Y10*24</f>
        <v>53003.671199999997</v>
      </c>
      <c r="AA41" s="1">
        <f ca="1">IF(AA10="","",IF(Y41&lt;$A$1,SUM(AA3:AA10)/Y10*24,(SUM(AA3:AA10)/$A$1)*24))</f>
        <v>39060</v>
      </c>
      <c r="AB41" s="1"/>
      <c r="AC41" s="1"/>
      <c r="AD41" s="9"/>
      <c r="AG41" s="2">
        <v>8</v>
      </c>
      <c r="AH41" s="1">
        <f>SUM($AH$3:AH10)/AG10*24</f>
        <v>3810.0000000000009</v>
      </c>
      <c r="AI41" s="1">
        <f ca="1">IF(AI10="","",IF(AG41&lt;$A$1,SUM(AI3:AI10)/AG10*24,(SUM(AI3:AI10)/$A$1)*24))</f>
        <v>0</v>
      </c>
      <c r="AJ41" s="1"/>
      <c r="AK41" s="1"/>
      <c r="AL41" s="9"/>
    </row>
    <row r="42" spans="1:38">
      <c r="A42" s="2">
        <v>9</v>
      </c>
      <c r="B42" s="1">
        <f>SUM($B$3:B11)/A11*24</f>
        <v>358930.14528595709</v>
      </c>
      <c r="C42" s="1">
        <f ca="1">IF(C11="","",IF(A42&lt;$A$1,SUM(C3:C11)/A11*24,(SUM(C3:C11)/$A$1)*24))</f>
        <v>247683.73333333334</v>
      </c>
      <c r="D42" s="1"/>
      <c r="E42" s="9"/>
      <c r="I42" s="2">
        <v>9</v>
      </c>
      <c r="J42" s="1">
        <f>SUM($J$3:J11)/$I$11*24</f>
        <v>203279.78688595706</v>
      </c>
      <c r="K42" s="1">
        <f ca="1">IF(K11="","",IF(I42&lt;$A$1,SUM(K3:K11)/I11*24,(SUM(K3:K11)/$A$1)*24))</f>
        <v>172545.06666666665</v>
      </c>
      <c r="L42" s="1"/>
      <c r="M42" s="9"/>
      <c r="N42" s="9"/>
      <c r="Q42" s="2">
        <v>9</v>
      </c>
      <c r="R42" s="1">
        <f>SUM($R$3:R11)/Q11*24</f>
        <v>98825.279999999984</v>
      </c>
      <c r="S42" s="1">
        <f ca="1">IF(S11="","",IF(Q42&lt;$A$1,SUM(S3:S11)/Q11*24,(SUM(S3:S11)/$A$1)*24))</f>
        <v>37218.666666666672</v>
      </c>
      <c r="T42" s="1"/>
      <c r="U42" s="9"/>
      <c r="V42" s="9"/>
      <c r="Y42" s="2">
        <v>9</v>
      </c>
      <c r="Z42" s="1">
        <f>SUM($Z$3:Z11)/Y11*24</f>
        <v>53015.078399999999</v>
      </c>
      <c r="AA42" s="1">
        <f ca="1">IF(AA11="","",IF(Y42&lt;$A$1,SUM(AA3:AA11)/Y11*24,(SUM(AA3:AA11)/$A$1)*24))</f>
        <v>37920</v>
      </c>
      <c r="AB42" s="1"/>
      <c r="AC42" s="1"/>
      <c r="AD42" s="9"/>
      <c r="AG42" s="2">
        <v>9</v>
      </c>
      <c r="AH42" s="1">
        <f>SUM($AH$3:AH11)/AG11*24</f>
        <v>3810.0000000000009</v>
      </c>
      <c r="AI42" s="1">
        <f ca="1">IF(AI11="","",IF(AG42&lt;$A$1,SUM(AI3:AI11)/AG11*24,(SUM(AI3:AI11)/$A$1)*24))</f>
        <v>0</v>
      </c>
      <c r="AJ42" s="1"/>
      <c r="AK42" s="1"/>
      <c r="AL42" s="9"/>
    </row>
    <row r="43" spans="1:38">
      <c r="A43" s="2">
        <v>10</v>
      </c>
      <c r="B43" s="1">
        <f>SUM($B$3:B12)/A12*24</f>
        <v>354670.55688795983</v>
      </c>
      <c r="C43" s="1">
        <f ca="1">IF(C12="","",IF(A43&lt;$A$1,SUM(C3:C12)/A12*24,(SUM(C3:C12)/$A$1)*24))</f>
        <v>251097.12</v>
      </c>
      <c r="D43" s="1"/>
      <c r="E43" s="9"/>
      <c r="I43" s="2">
        <v>10</v>
      </c>
      <c r="J43" s="1">
        <f>SUM($J$3:J12)/$I$12*24</f>
        <v>201548.75688795984</v>
      </c>
      <c r="K43" s="1">
        <f ca="1">IF(K12="","",IF(I43&lt;$A$1,SUM(K3:K12)/I12*24,(SUM(K3:K12)/$A$1)*24))</f>
        <v>175026.72000000003</v>
      </c>
      <c r="L43" s="1"/>
      <c r="M43" s="9"/>
      <c r="N43" s="9"/>
      <c r="Q43" s="2">
        <v>10</v>
      </c>
      <c r="R43" s="1">
        <f>SUM($R$3:R12)/Q12*24</f>
        <v>99648.575999999986</v>
      </c>
      <c r="S43" s="1">
        <f ca="1">IF(S12="","",IF(Q43&lt;$A$1,SUM(S3:S12)/Q12*24,(SUM(S3:S12)/$A$1)*24))</f>
        <v>37598.399999999994</v>
      </c>
      <c r="T43" s="1"/>
      <c r="U43" s="9"/>
      <c r="V43" s="9">
        <f>4*4.2</f>
        <v>16.8</v>
      </c>
      <c r="Y43" s="2">
        <v>10</v>
      </c>
      <c r="Z43" s="1">
        <f>SUM($Z$3:Z12)/Y12*24</f>
        <v>49663.224000000002</v>
      </c>
      <c r="AA43" s="1">
        <f ca="1">IF(AA12="","",IF(Y43&lt;$A$1,SUM(AA3:AA12)/Y12*24,(SUM(AA3:AA12)/$A$1)*24))</f>
        <v>38472</v>
      </c>
      <c r="AB43" s="1"/>
      <c r="AC43" s="1"/>
      <c r="AD43" s="9"/>
      <c r="AG43" s="2">
        <v>10</v>
      </c>
      <c r="AH43" s="1">
        <f>SUM($AH$3:AH12)/AG12*24</f>
        <v>3810.0000000000009</v>
      </c>
      <c r="AI43" s="1">
        <f ca="1">IF(AI12="","",IF(AG43&lt;$A$1,SUM(AI3:AI12)/AG12*24,(SUM(AI3:AI12)/$A$1)*24))</f>
        <v>0</v>
      </c>
      <c r="AJ43" s="1"/>
      <c r="AK43" s="1"/>
      <c r="AL43" s="9"/>
    </row>
    <row r="44" spans="1:38">
      <c r="A44" s="2">
        <v>11</v>
      </c>
      <c r="B44" s="1">
        <f>SUM($B$3:B13)/A13*24</f>
        <v>347722.26589926222</v>
      </c>
      <c r="C44" s="1">
        <f ca="1">IF(C13="","",IF(A44&lt;$A$1,SUM(C3:C13)/A13*24,(SUM(C3:C13)/$A$1)*24))</f>
        <v>251555.7818181818</v>
      </c>
      <c r="D44" s="1"/>
      <c r="E44" s="9"/>
      <c r="I44" s="2">
        <v>11</v>
      </c>
      <c r="J44" s="1">
        <f>SUM($J$3:J13)/$I$13*24</f>
        <v>198167.18226289854</v>
      </c>
      <c r="K44" s="1">
        <f ca="1">IF(K13="","",IF(I44&lt;$A$1,SUM(K3:K13)/I13*24,(SUM(K3:K13)/$A$1)*24))</f>
        <v>175628.50909090912</v>
      </c>
      <c r="L44" s="1"/>
      <c r="M44" s="9"/>
      <c r="N44" s="9"/>
      <c r="Q44" s="2">
        <v>11</v>
      </c>
      <c r="R44" s="1">
        <f>SUM($R$3:R13)/Q13*24</f>
        <v>99060.218181818171</v>
      </c>
      <c r="S44" s="1">
        <f ca="1">IF(S13="","",IF(Q44&lt;$A$1,SUM(S3:S13)/Q13*24,(SUM(S3:S13)/$A$1)*24))</f>
        <v>37570.909090909088</v>
      </c>
      <c r="T44" s="1"/>
      <c r="U44" s="9"/>
      <c r="V44" s="9"/>
      <c r="Y44" s="2">
        <v>11</v>
      </c>
      <c r="Z44" s="1">
        <f>SUM($Z$3:Z13)/Y13*24</f>
        <v>46684.865454545456</v>
      </c>
      <c r="AA44" s="1">
        <f ca="1">IF(AA13="","",IF(Y44&lt;$A$1,SUM(AA3:AA13)/Y13*24,(SUM(AA3:AA13)/$A$1)*24))</f>
        <v>38356.36363636364</v>
      </c>
      <c r="AB44" s="1"/>
      <c r="AC44" s="1"/>
      <c r="AD44" s="9"/>
      <c r="AG44" s="2">
        <v>11</v>
      </c>
      <c r="AH44" s="1">
        <f>SUM($AH$3:AH13)/AG13*24</f>
        <v>3810.0000000000009</v>
      </c>
      <c r="AI44" s="1">
        <f ca="1">IF(AI13="","",IF(AG44&lt;$A$1,SUM(AI3:AI13)/AG13*24,(SUM(AI3:AI13)/$A$1)*24))</f>
        <v>0</v>
      </c>
      <c r="AJ44" s="1"/>
      <c r="AK44" s="1"/>
      <c r="AL44" s="9"/>
    </row>
    <row r="45" spans="1:38">
      <c r="A45" s="2">
        <v>12</v>
      </c>
      <c r="B45" s="1">
        <f>SUM($B$3:B14)/A14*24</f>
        <v>341941.0834397251</v>
      </c>
      <c r="C45" s="1">
        <f ca="1">IF(C14="","",IF(A45&lt;$A$1,SUM(C3:C14)/A14*24,(SUM(C3:C14)/$A$1)*24))</f>
        <v>255397</v>
      </c>
      <c r="D45" s="1"/>
      <c r="E45" s="9"/>
      <c r="I45" s="2">
        <v>12</v>
      </c>
      <c r="J45" s="1">
        <f>SUM($J$3:J14)/$I$14*24</f>
        <v>194157.78343972508</v>
      </c>
      <c r="K45" s="1">
        <f ca="1">IF(K14="","",IF(I45&lt;$A$1,SUM(K3:K14)/I14*24,(SUM(K3:K14)/$A$1)*24))</f>
        <v>175833.00000000003</v>
      </c>
      <c r="L45" s="1"/>
      <c r="M45" s="9"/>
      <c r="N45" s="9"/>
      <c r="Q45" s="2">
        <v>12</v>
      </c>
      <c r="R45" s="1">
        <f>SUM($R$3:R14)/Q14*24</f>
        <v>99770.4</v>
      </c>
      <c r="S45" s="1">
        <f ca="1">IF(S14="","",IF(Q45&lt;$A$1,SUM(S3:S14)/Q14*24,(SUM(S3:S14)/$A$1)*24))</f>
        <v>40884</v>
      </c>
      <c r="T45" s="1"/>
      <c r="U45" s="9"/>
      <c r="V45" s="9"/>
      <c r="Y45" s="2">
        <v>12</v>
      </c>
      <c r="Z45" s="1">
        <f>SUM($Z$3:Z14)/Y14*24</f>
        <v>44202.9</v>
      </c>
      <c r="AA45" s="1">
        <f ca="1">IF(AA14="","",IF(Y45&lt;$A$1,SUM(AA3:AA14)/Y14*24,(SUM(AA3:AA14)/$A$1)*24))</f>
        <v>38680</v>
      </c>
      <c r="AB45" s="1"/>
      <c r="AC45" s="1"/>
      <c r="AD45" s="9"/>
      <c r="AG45" s="2">
        <v>12</v>
      </c>
      <c r="AH45" s="1">
        <f>SUM($AH$3:AH14)/AG14*24</f>
        <v>3810.0000000000009</v>
      </c>
      <c r="AI45" s="1">
        <f ca="1">IF(AI14="","",IF(AG45&lt;$A$1,SUM(AI3:AI14)/AG14*24,(SUM(AI3:AI14)/$A$1)*24))</f>
        <v>0</v>
      </c>
      <c r="AJ45" s="1"/>
      <c r="AK45" s="1"/>
      <c r="AL45" s="9"/>
    </row>
    <row r="46" spans="1:38">
      <c r="A46" s="2">
        <v>13</v>
      </c>
      <c r="B46" s="1">
        <f>SUM($B$3:B15)/A15*24</f>
        <v>342365.18538516271</v>
      </c>
      <c r="C46" s="1">
        <f ca="1">IF(C15="","",IF(A46&lt;$A$1,SUM(C3:C15)/A15*24,(SUM(C3:C15)/$A$1)*24))</f>
        <v>255763.93846153843</v>
      </c>
      <c r="D46" s="1"/>
      <c r="E46" s="9"/>
      <c r="I46" s="2">
        <v>13</v>
      </c>
      <c r="J46" s="1">
        <f>SUM($J$3:J15)/$I$15*24</f>
        <v>192578.24926208577</v>
      </c>
      <c r="K46" s="1">
        <f ca="1">IF(K15="","",IF(I46&lt;$A$1,SUM(K3:K15)/I15*24,(SUM(K3:K15)/$A$1)*24))</f>
        <v>175485.78461538465</v>
      </c>
      <c r="L46" s="1"/>
      <c r="M46" s="9"/>
      <c r="N46" s="9"/>
      <c r="Q46" s="2">
        <v>13</v>
      </c>
      <c r="R46" s="1">
        <f>SUM($R$3:R15)/Q15*24</f>
        <v>101685.26769230768</v>
      </c>
      <c r="S46" s="1">
        <f ca="1">IF(S15="","",IF(Q46&lt;$A$1,SUM(S3:S15)/Q15*24,(SUM(S3:S15)/$A$1)*24))</f>
        <v>43152</v>
      </c>
      <c r="T46" s="1"/>
      <c r="U46" s="9"/>
      <c r="V46" s="9"/>
      <c r="Y46" s="2">
        <v>13</v>
      </c>
      <c r="Z46" s="1">
        <f>SUM($Z$3:Z15)/Y15*24</f>
        <v>44291.668430769234</v>
      </c>
      <c r="AA46" s="1">
        <f ca="1">IF(AA15="","",IF(Y46&lt;$A$1,SUM(AA3:AA15)/Y15*24,(SUM(AA3:AA15)/$A$1)*24))</f>
        <v>37126.153846153844</v>
      </c>
      <c r="AB46" s="1"/>
      <c r="AC46" s="1"/>
      <c r="AD46" s="9"/>
      <c r="AG46" s="2">
        <v>13</v>
      </c>
      <c r="AH46" s="1">
        <f>SUM($AH$3:AH15)/AG15*24</f>
        <v>3810.0000000000009</v>
      </c>
      <c r="AI46" s="1">
        <f ca="1">IF(AI15="","",IF(AG46&lt;$A$1,SUM(AI3:AI15)/AG15*24,(SUM(AI3:AI15)/$A$1)*24))</f>
        <v>0</v>
      </c>
      <c r="AJ46" s="1"/>
      <c r="AK46" s="1"/>
      <c r="AL46" s="9"/>
    </row>
    <row r="47" spans="1:38">
      <c r="A47" s="2">
        <v>14</v>
      </c>
      <c r="B47" s="1">
        <f>SUM($B$3:B16)/A16*24</f>
        <v>335177.61218110035</v>
      </c>
      <c r="C47" s="1">
        <f ca="1">IF(C16="","",IF(A47&lt;$A$1,SUM(C3:C16)/A16*24,(SUM(C3:C16)/$A$1)*24))</f>
        <v>257923.0285714285</v>
      </c>
      <c r="D47" s="1"/>
      <c r="E47" s="9"/>
      <c r="I47" s="2">
        <v>14</v>
      </c>
      <c r="J47" s="1">
        <f>SUM($J$3:J16)/$I$16*24</f>
        <v>184720.66383824317</v>
      </c>
      <c r="K47" s="1">
        <f ca="1">IF(K16="","",IF(I47&lt;$A$1,SUM(K3:K16)/I16*24,(SUM(K3:K16)/$A$1)*24))</f>
        <v>177451.02857142861</v>
      </c>
      <c r="L47" s="1"/>
      <c r="M47" s="9"/>
      <c r="N47" s="9"/>
      <c r="Q47" s="2">
        <v>14</v>
      </c>
      <c r="R47" s="1">
        <f>SUM($R$3:R16)/Q16*24</f>
        <v>103313.62285714285</v>
      </c>
      <c r="S47" s="1">
        <f ca="1">IF(S16="","",IF(Q47&lt;$A$1,SUM(S3:S16)/Q16*24,(SUM(S3:S16)/$A$1)*24))</f>
        <v>43512</v>
      </c>
      <c r="T47" s="1"/>
      <c r="U47" s="9"/>
      <c r="V47" s="9"/>
      <c r="Y47" s="2">
        <v>14</v>
      </c>
      <c r="Z47" s="1">
        <f>SUM($Z$3:Z16)/Y16*24</f>
        <v>43333.325485714289</v>
      </c>
      <c r="AA47" s="1">
        <f ca="1">IF(AA16="","",IF(Y47&lt;$A$1,SUM(AA3:AA16)/Y16*24,(SUM(AA3:AA16)/$A$1)*24))</f>
        <v>36960</v>
      </c>
      <c r="AB47" s="1"/>
      <c r="AC47" s="1"/>
      <c r="AD47" s="9"/>
      <c r="AG47" s="2">
        <v>14</v>
      </c>
      <c r="AH47" s="1">
        <f>SUM($AH$3:AH16)/AG16*24</f>
        <v>3810.0000000000009</v>
      </c>
      <c r="AI47" s="1">
        <f ca="1">IF(AI16="","",IF(AG47&lt;$A$1,SUM(AI3:AI16)/AG16*24,(SUM(AI3:AI16)/$A$1)*24))</f>
        <v>0</v>
      </c>
      <c r="AJ47" s="1"/>
      <c r="AK47" s="1"/>
      <c r="AL47" s="9"/>
    </row>
    <row r="48" spans="1:38">
      <c r="A48" s="2">
        <v>15</v>
      </c>
      <c r="B48" s="1">
        <f>SUM($B$3:B17)/A17*24</f>
        <v>329336.36868995707</v>
      </c>
      <c r="C48" s="1">
        <f ca="1">IF(C17="","",IF(A48&lt;$A$1,SUM(C3:C17)/A17*24,(SUM(C3:C17)/$A$1)*24))</f>
        <v>261225.12</v>
      </c>
      <c r="D48" s="1"/>
      <c r="E48" s="9"/>
      <c r="I48" s="2">
        <v>15</v>
      </c>
      <c r="J48" s="1">
        <f>SUM($J$3:J17)/$I$17*24</f>
        <v>180535.43556995707</v>
      </c>
      <c r="K48" s="1">
        <f ca="1">IF(K17="","",IF(I48&lt;$A$1,SUM(K3:K17)/I17*24,(SUM(K3:K17)/$A$1)*24))</f>
        <v>179378.72000000006</v>
      </c>
      <c r="L48" s="1"/>
      <c r="M48" s="9"/>
      <c r="N48" s="9"/>
      <c r="Q48" s="2">
        <v>15</v>
      </c>
      <c r="R48" s="1">
        <f>SUM($R$3:R17)/Q17*24</f>
        <v>104546.49600000001</v>
      </c>
      <c r="S48" s="1">
        <f ca="1">IF(S17="","",IF(Q48&lt;$A$1,SUM(S3:S17)/Q17*24,(SUM(S3:S17)/$A$1)*24))</f>
        <v>43190.399999999994</v>
      </c>
      <c r="T48" s="1"/>
      <c r="U48" s="9"/>
      <c r="V48" s="9"/>
      <c r="Y48" s="2">
        <v>15</v>
      </c>
      <c r="Z48" s="1">
        <f>SUM($Z$3:Z17)/Y17*24</f>
        <v>40444.437120000002</v>
      </c>
      <c r="AA48" s="1">
        <f ca="1">IF(AA17="","",IF(Y48&lt;$A$1,SUM(AA3:AA17)/Y17*24,(SUM(AA3:AA17)/$A$1)*24))</f>
        <v>38656</v>
      </c>
      <c r="AB48" s="1"/>
      <c r="AC48" s="1"/>
      <c r="AD48" s="9"/>
      <c r="AG48" s="2">
        <v>15</v>
      </c>
      <c r="AH48" s="1">
        <f>SUM($AH$3:AH17)/AG17*24</f>
        <v>3810.0000000000009</v>
      </c>
      <c r="AI48" s="1">
        <f ca="1">IF(AI17="","",IF(AG48&lt;$A$1,SUM(AI3:AI17)/AG17*24,(SUM(AI3:AI17)/$A$1)*24))</f>
        <v>0</v>
      </c>
      <c r="AJ48" s="1"/>
      <c r="AK48" s="1"/>
      <c r="AL48" s="9"/>
    </row>
    <row r="49" spans="1:38">
      <c r="A49" s="2">
        <v>16</v>
      </c>
      <c r="B49" s="1">
        <f>SUM($B$3:B18)/A18*24</f>
        <v>316922.57396471017</v>
      </c>
      <c r="C49" s="1">
        <f ca="1">IF(C18="","",IF(A49&lt;$A$1,SUM(C3:C18)/A18*24,(SUM(C3:C18)/$A$1)*24))</f>
        <v>265773.74999999994</v>
      </c>
      <c r="D49" s="1"/>
      <c r="E49" s="9"/>
      <c r="I49" s="2">
        <v>16</v>
      </c>
      <c r="J49" s="1">
        <f>SUM($J$3:J18)/$I$18*24</f>
        <v>173438.6741647101</v>
      </c>
      <c r="K49" s="1">
        <f ca="1">IF(K18="","",IF(I49&lt;$A$1,SUM(K3:K18)/I18*24,(SUM(K3:K18)/$A$1)*24))</f>
        <v>178470.75000000006</v>
      </c>
      <c r="L49" s="1"/>
      <c r="M49" s="9"/>
      <c r="N49" s="9"/>
      <c r="Q49" s="2">
        <v>16</v>
      </c>
      <c r="R49" s="1">
        <f>SUM($R$3:R18)/Q18*24</f>
        <v>101757.24</v>
      </c>
      <c r="S49" s="1">
        <f ca="1">IF(S18="","",IF(Q49&lt;$A$1,SUM(S3:S18)/Q18*24,(SUM(S3:S18)/$A$1)*24))</f>
        <v>48423</v>
      </c>
      <c r="T49" s="1"/>
      <c r="U49" s="9"/>
      <c r="V49" s="9"/>
      <c r="Y49" s="2">
        <v>16</v>
      </c>
      <c r="Z49" s="1">
        <f>SUM($Z$3:Z18)/Y18*24</f>
        <v>37916.659800000001</v>
      </c>
      <c r="AA49" s="1">
        <f ca="1">IF(AA18="","",IF(Y49&lt;$A$1,SUM(AA3:AA18)/Y18*24,(SUM(AA3:AA18)/$A$1)*24))</f>
        <v>38880</v>
      </c>
      <c r="AB49" s="1"/>
      <c r="AC49" s="1"/>
      <c r="AD49" s="9"/>
      <c r="AG49" s="2">
        <v>16</v>
      </c>
      <c r="AH49" s="1">
        <f>SUM($AH$3:AH18)/AG18*24</f>
        <v>3810.0000000000009</v>
      </c>
      <c r="AI49" s="1">
        <f ca="1">IF(AI18="","",IF(AG49&lt;$A$1,SUM(AI3:AI18)/AG18*24,(SUM(AI3:AI18)/$A$1)*24))</f>
        <v>0</v>
      </c>
      <c r="AJ49" s="1"/>
      <c r="AK49" s="1"/>
      <c r="AL49" s="9"/>
    </row>
    <row r="50" spans="1:38">
      <c r="A50" s="2">
        <v>17</v>
      </c>
      <c r="B50" s="1">
        <f>SUM($B$3:B19)/A19*24</f>
        <v>315131.71968228172</v>
      </c>
      <c r="C50" s="1">
        <f ca="1">IF(C19="","",IF(A50&lt;$A$1,SUM(C3:C19)/A19*24,(SUM(C3:C19)/$A$1)*24))</f>
        <v>271821.59999999998</v>
      </c>
      <c r="D50" s="1"/>
      <c r="E50" s="9"/>
      <c r="I50" s="2">
        <v>17</v>
      </c>
      <c r="J50" s="1">
        <f>SUM($J$3:J19)/$I$19*24</f>
        <v>171920.30208228168</v>
      </c>
      <c r="K50" s="1">
        <f ca="1">IF(K19="","",IF(I50&lt;$A$1,SUM(K3:K19)/I19*24,(SUM(K3:K19)/$A$1)*24))</f>
        <v>178996.65882352946</v>
      </c>
      <c r="L50" s="1"/>
      <c r="M50" s="9"/>
      <c r="N50" s="9"/>
      <c r="Q50" s="2">
        <v>17</v>
      </c>
      <c r="R50" s="1">
        <f>SUM($R$3:R19)/Q19*24</f>
        <v>102863.26588235296</v>
      </c>
      <c r="S50" s="1">
        <f ca="1">IF(S19="","",IF(Q50&lt;$A$1,SUM(S3:S19)/Q19*24,(SUM(S3:S19)/$A$1)*24))</f>
        <v>53154.352941176476</v>
      </c>
      <c r="T50" s="1"/>
      <c r="U50" s="9"/>
      <c r="V50" s="9"/>
      <c r="Y50" s="2">
        <v>17</v>
      </c>
      <c r="Z50" s="1">
        <f>SUM($Z$3:Z19)/Y19*24</f>
        <v>36538.151717647059</v>
      </c>
      <c r="AA50" s="1">
        <f ca="1">IF(AA19="","",IF(Y50&lt;$A$1,SUM(AA3:AA19)/Y19*24,(SUM(AA3:AA19)/$A$1)*24))</f>
        <v>39670.588235294119</v>
      </c>
      <c r="AB50" s="1"/>
      <c r="AC50" s="1"/>
      <c r="AD50" s="9"/>
      <c r="AG50" s="2">
        <v>17</v>
      </c>
      <c r="AH50" s="1">
        <f>SUM($AH$3:AH19)/AG19*24</f>
        <v>3810.0000000000009</v>
      </c>
      <c r="AI50" s="1">
        <f ca="1">IF(AI19="","",IF(AG50&lt;$A$1,SUM(AI3:AI19)/AG19*24,(SUM(AI3:AI19)/$A$1)*24))</f>
        <v>0</v>
      </c>
      <c r="AJ50" s="1"/>
      <c r="AK50" s="1"/>
      <c r="AL50" s="9"/>
    </row>
    <row r="51" spans="1:38">
      <c r="A51" s="2">
        <v>18</v>
      </c>
      <c r="B51" s="1">
        <f>SUM($B$3:B20)/A20*24</f>
        <v>313967.55225208023</v>
      </c>
      <c r="C51" s="1">
        <f ca="1">IF(C20="","",IF(A51&lt;$A$1,SUM(C3:C20)/A20*24,(SUM(C3:C20)/$A$1)*24))</f>
        <v>276124.66666666663</v>
      </c>
      <c r="D51" s="1"/>
      <c r="E51" s="9"/>
      <c r="I51" s="2">
        <v>18</v>
      </c>
      <c r="J51" s="1">
        <f>SUM($J$3:J20)/$I$20*24</f>
        <v>169722.22585208016</v>
      </c>
      <c r="K51" s="1">
        <f ca="1">IF(K20="","",IF(I51&lt;$A$1,SUM(K3:K20)/I20*24,(SUM(K3:K20)/$A$1)*24))</f>
        <v>180704.66666666672</v>
      </c>
      <c r="L51" s="1"/>
      <c r="M51" s="9"/>
      <c r="N51" s="9"/>
      <c r="Q51" s="2">
        <v>18</v>
      </c>
      <c r="R51" s="1">
        <f>SUM($R$3:R20)/Q20*24</f>
        <v>103915.68000000002</v>
      </c>
      <c r="S51" s="1">
        <f ca="1">IF(S20="","",IF(Q51&lt;$A$1,SUM(S3:S20)/Q20*24,(SUM(S3:S20)/$A$1)*24))</f>
        <v>54513.333333333328</v>
      </c>
      <c r="T51" s="1"/>
      <c r="U51" s="9"/>
      <c r="V51" s="9"/>
      <c r="Y51" s="2">
        <v>18</v>
      </c>
      <c r="Z51" s="1">
        <f>SUM($Z$3:Z20)/Y20*24</f>
        <v>36519.646400000005</v>
      </c>
      <c r="AA51" s="1">
        <f ca="1">IF(AA20="","",IF(Y51&lt;$A$1,SUM(AA3:AA20)/Y20*24,(SUM(AA3:AA20)/$A$1)*24))</f>
        <v>40906.666666666664</v>
      </c>
      <c r="AB51" s="1"/>
      <c r="AC51" s="1"/>
      <c r="AD51" s="9"/>
      <c r="AG51" s="2">
        <v>18</v>
      </c>
      <c r="AH51" s="1">
        <f>SUM($AH$3:AH20)/AG20*24</f>
        <v>3810.0000000000009</v>
      </c>
      <c r="AI51" s="1">
        <f ca="1">IF(AI20="","",IF(AG51&lt;$A$1,SUM(AI3:AI20)/AG20*24,(SUM(AI3:AI20)/$A$1)*24))</f>
        <v>0</v>
      </c>
      <c r="AJ51" s="1"/>
      <c r="AK51" s="1"/>
      <c r="AL51" s="9"/>
    </row>
    <row r="52" spans="1:38">
      <c r="A52" s="2">
        <v>19</v>
      </c>
      <c r="B52" s="1">
        <f>SUM($B$3:B21)/A21*24</f>
        <v>312326.07129897154</v>
      </c>
      <c r="C52" s="1">
        <f ca="1">IF(C21="","",IF(A52&lt;$A$1,SUM(C3:C21)/A21*24,(SUM(C3:C21)/$A$1)*24))</f>
        <v>275914.73684210522</v>
      </c>
      <c r="D52" s="1"/>
      <c r="E52" s="9"/>
      <c r="I52" s="2">
        <v>19</v>
      </c>
      <c r="J52" s="1">
        <f>SUM($J$3:J21)/$I$21*24</f>
        <v>167651.98961476103</v>
      </c>
      <c r="K52" s="1">
        <f ca="1">IF(K21="","",IF(I52&lt;$A$1,SUM(K3:K21)/I21*24,(SUM(K3:K21)/$A$1)*24))</f>
        <v>182259.15789473688</v>
      </c>
      <c r="L52" s="1"/>
      <c r="M52" s="9"/>
      <c r="N52" s="9"/>
      <c r="Q52" s="2">
        <v>19</v>
      </c>
      <c r="R52" s="1">
        <f>SUM($R$3:R21)/Q21*24</f>
        <v>104922.94736842107</v>
      </c>
      <c r="S52" s="1">
        <f ca="1">IF(S21="","",IF(Q52&lt;$A$1,SUM(S3:S21)/Q21*24,(SUM(S3:S21)/$A$1)*24))</f>
        <v>53373.473684210534</v>
      </c>
      <c r="T52" s="1"/>
      <c r="U52" s="9"/>
      <c r="V52" s="9"/>
      <c r="Y52" s="2">
        <v>19</v>
      </c>
      <c r="Z52" s="1">
        <f>SUM($Z$3:Z21)/Y21*24</f>
        <v>35941.134315789473</v>
      </c>
      <c r="AA52" s="1">
        <f ca="1">IF(AA21="","",IF(Y52&lt;$A$1,SUM(AA3:AA21)/Y21*24,(SUM(AA3:AA21)/$A$1)*24))</f>
        <v>40282.105263157893</v>
      </c>
      <c r="AB52" s="1"/>
      <c r="AC52" s="1"/>
      <c r="AD52" s="9"/>
      <c r="AG52" s="2">
        <v>19</v>
      </c>
      <c r="AH52" s="1">
        <f>SUM($AH$3:AH21)/AG21*24</f>
        <v>3810.0000000000009</v>
      </c>
      <c r="AI52" s="1">
        <f ca="1">IF(AI21="","",IF(AG52&lt;$A$1,SUM(AI3:AI21)/AG21*24,(SUM(AI3:AI21)/$A$1)*24))</f>
        <v>0</v>
      </c>
      <c r="AJ52" s="1"/>
      <c r="AK52" s="1"/>
      <c r="AL52" s="9"/>
    </row>
    <row r="53" spans="1:38">
      <c r="A53" s="2">
        <v>20</v>
      </c>
      <c r="B53" s="1">
        <f>SUM($B$3:B22)/A22*24</f>
        <v>311040.4683639385</v>
      </c>
      <c r="C53" s="1">
        <f ca="1">IF(C22="","",IF(A53&lt;$A$1,SUM(C3:C22)/A22*24,(SUM(C3:C22)/$A$1)*24))</f>
        <v>275327.39999999997</v>
      </c>
      <c r="D53" s="1"/>
      <c r="E53" s="9"/>
      <c r="I53" s="2">
        <v>20</v>
      </c>
      <c r="J53" s="1">
        <f>SUM($J$3:J22)/$I$22*24</f>
        <v>166196.17284393846</v>
      </c>
      <c r="K53" s="1">
        <f ca="1">IF(K22="","",IF(I53&lt;$A$1,SUM(K3:K22)/I22*24,(SUM(K3:K22)/$A$1)*24))</f>
        <v>181021.80000000005</v>
      </c>
      <c r="L53" s="1"/>
      <c r="M53" s="9"/>
      <c r="N53" s="9"/>
      <c r="Q53" s="2">
        <v>20</v>
      </c>
      <c r="R53" s="1">
        <f>SUM($R$3:R22)/Q22*24</f>
        <v>105829.48800000001</v>
      </c>
      <c r="S53" s="1">
        <f ca="1">IF(S22="","",IF(Q53&lt;$A$1,SUM(S3:S22)/Q22*24,(SUM(S3:S22)/$A$1)*24))</f>
        <v>54057.600000000006</v>
      </c>
      <c r="T53" s="1"/>
      <c r="U53" s="9"/>
      <c r="V53" s="9"/>
      <c r="Y53" s="2">
        <v>20</v>
      </c>
      <c r="Z53" s="1">
        <f>SUM($Z$3:Z22)/Y22*24</f>
        <v>35204.807520000002</v>
      </c>
      <c r="AA53" s="1">
        <f ca="1">IF(AA22="","",IF(Y53&lt;$A$1,SUM(AA3:AA22)/Y22*24,(SUM(AA3:AA22)/$A$1)*24))</f>
        <v>40248</v>
      </c>
      <c r="AB53" s="1"/>
      <c r="AC53" s="1"/>
      <c r="AD53" s="9"/>
      <c r="AG53" s="2">
        <v>20</v>
      </c>
      <c r="AH53" s="1">
        <f>SUM($AH$3:AH22)/AG22*24</f>
        <v>3810.0000000000009</v>
      </c>
      <c r="AI53" s="1">
        <f ca="1">IF(AI22="","",IF(AG53&lt;$A$1,SUM(AI3:AI22)/AG22*24,(SUM(AI3:AI22)/$A$1)*24))</f>
        <v>0</v>
      </c>
      <c r="AJ53" s="1"/>
      <c r="AK53" s="1"/>
      <c r="AL53" s="9"/>
    </row>
    <row r="54" spans="1:38">
      <c r="A54" s="2">
        <v>21</v>
      </c>
      <c r="B54" s="1">
        <f>SUM($B$3:B23)/A23*24</f>
        <v>311606.74131151347</v>
      </c>
      <c r="C54" s="1">
        <f ca="1">IF(C23="","",IF(A54&lt;$A$1,SUM(C3:C23)/A23*24,(SUM(C3:C23)/$A$1)*24))</f>
        <v>277225.71428571426</v>
      </c>
      <c r="D54" s="1"/>
      <c r="E54" s="9"/>
      <c r="I54" s="2">
        <v>21</v>
      </c>
      <c r="J54" s="1">
        <f>SUM($J$3:J23)/$I$23*24</f>
        <v>165737.63776865631</v>
      </c>
      <c r="K54" s="1">
        <f ca="1">IF(K23="","",IF(I54&lt;$A$1,SUM(K3:K23)/I23*24,(SUM(K3:K23)/$A$1)*24))</f>
        <v>181070.28571428574</v>
      </c>
      <c r="L54" s="1"/>
      <c r="M54" s="9"/>
      <c r="N54" s="9"/>
      <c r="Q54" s="2">
        <v>21</v>
      </c>
      <c r="R54" s="1">
        <f>SUM($R$3:R23)/Q23*24</f>
        <v>106649.69142857146</v>
      </c>
      <c r="S54" s="1">
        <f ca="1">IF(S23="","",IF(Q54&lt;$A$1,SUM(S3:S23)/Q23*24,(SUM(S3:S23)/$A$1)*24))</f>
        <v>55012.571428571428</v>
      </c>
      <c r="T54" s="1"/>
      <c r="U54" s="9"/>
      <c r="V54" s="9"/>
      <c r="Y54" s="2">
        <v>21</v>
      </c>
      <c r="Z54" s="1">
        <f>SUM($Z$3:Z23)/Y23*24</f>
        <v>35409.412114285711</v>
      </c>
      <c r="AA54" s="1">
        <f ca="1">IF(AA23="","",IF(Y54&lt;$A$1,SUM(AA3:AA23)/Y23*24,(SUM(AA3:AA23)/$A$1)*24))</f>
        <v>41142.857142857145</v>
      </c>
      <c r="AB54" s="1"/>
      <c r="AC54" s="1"/>
      <c r="AD54" s="9"/>
      <c r="AG54" s="2">
        <v>21</v>
      </c>
      <c r="AH54" s="1">
        <f>SUM($AH$3:AH23)/AG23*24</f>
        <v>3810.0000000000009</v>
      </c>
      <c r="AI54" s="1">
        <f ca="1">IF(AI23="","",IF(AG54&lt;$A$1,SUM(AI3:AI23)/AG23*24,(SUM(AI3:AI23)/$A$1)*24))</f>
        <v>0</v>
      </c>
      <c r="AJ54" s="1"/>
      <c r="AK54" s="1"/>
      <c r="AL54" s="9"/>
    </row>
    <row r="55" spans="1:38">
      <c r="A55" s="2">
        <v>22</v>
      </c>
      <c r="B55" s="1">
        <f>SUM($B$3:B24)/A24*24</f>
        <v>312484.89759850991</v>
      </c>
      <c r="C55" s="1">
        <f ca="1">IF(C24="","",IF(A55&lt;$A$1,SUM(C3:C24)/A24*24,(SUM(C3:C24)/$A$1)*24))</f>
        <v>280232.18181818177</v>
      </c>
      <c r="D55" s="1"/>
      <c r="E55" s="9"/>
      <c r="I55" s="2">
        <v>22</v>
      </c>
      <c r="J55" s="1">
        <f>SUM($J$3:J24)/$I$24*24</f>
        <v>165778.29105305535</v>
      </c>
      <c r="K55" s="1">
        <f ca="1">IF(K24="","",IF(I55&lt;$A$1,SUM(K3:K24)/I24*24,(SUM(K3:K24)/$A$1)*24))</f>
        <v>181722.00000000003</v>
      </c>
      <c r="L55" s="1"/>
      <c r="M55" s="9"/>
      <c r="N55" s="9"/>
      <c r="Q55" s="2">
        <v>22</v>
      </c>
      <c r="R55" s="1">
        <f>SUM($R$3:R24)/Q24*24</f>
        <v>107419.1563636364</v>
      </c>
      <c r="S55" s="1">
        <f ca="1">IF(S24="","",IF(Q55&lt;$A$1,SUM(S3:S24)/Q24*24,(SUM(S3:S24)/$A$1)*24))</f>
        <v>56870.181818181816</v>
      </c>
      <c r="T55" s="1"/>
      <c r="U55" s="9"/>
      <c r="V55" s="9"/>
      <c r="Y55" s="2">
        <v>22</v>
      </c>
      <c r="Z55" s="1">
        <f>SUM($Z$3:Z24)/Y24*24</f>
        <v>35477.450181818182</v>
      </c>
      <c r="AA55" s="1">
        <f ca="1">IF(AA24="","",IF(Y55&lt;$A$1,SUM(AA3:AA24)/Y24*24,(SUM(AA3:AA24)/$A$1)*24))</f>
        <v>41640</v>
      </c>
      <c r="AB55" s="1"/>
      <c r="AC55" s="1"/>
      <c r="AD55" s="9"/>
      <c r="AG55" s="2">
        <v>22</v>
      </c>
      <c r="AH55" s="1">
        <f>SUM($AH$3:AH24)/AG24*24</f>
        <v>3810.0000000000009</v>
      </c>
      <c r="AI55" s="1">
        <f ca="1">IF(AI24="","",IF(AG55&lt;$A$1,SUM(AI3:AI24)/AG24*24,(SUM(AI3:AI24)/$A$1)*24))</f>
        <v>0</v>
      </c>
      <c r="AJ55" s="1"/>
      <c r="AK55" s="1"/>
      <c r="AL55" s="9"/>
    </row>
    <row r="56" spans="1:38">
      <c r="A56" s="2">
        <v>23</v>
      </c>
      <c r="B56" s="1">
        <f>SUM($B$3:B25)/A25*24</f>
        <v>312243.16413019662</v>
      </c>
      <c r="C56" s="1">
        <f ca="1">IF(C25="","",IF(A56&lt;$A$1,SUM(C3:C25)/A25*24,(SUM(C3:C25)/$A$1)*24))</f>
        <v>280504.17391304346</v>
      </c>
      <c r="D56" s="1"/>
      <c r="E56" s="9"/>
      <c r="I56" s="2">
        <v>23</v>
      </c>
      <c r="J56" s="1">
        <f>SUM($J$3:J25)/$I$25*24</f>
        <v>164749.77505193575</v>
      </c>
      <c r="K56" s="1">
        <f ca="1">IF(K25="","",IF(I56&lt;$A$1,SUM(K3:K25)/I25*24,(SUM(K3:K25)/$A$1)*24))</f>
        <v>181648.17391304352</v>
      </c>
      <c r="L56" s="1"/>
      <c r="M56" s="9"/>
      <c r="N56" s="9"/>
      <c r="Q56" s="2">
        <v>23</v>
      </c>
      <c r="R56" s="1">
        <f>SUM($R$3:R25)/Q25*24</f>
        <v>108121.71130434785</v>
      </c>
      <c r="S56" s="1">
        <f ca="1">IF(S25="","",IF(Q56&lt;$A$1,SUM(S3:S25)/Q25*24,(SUM(S3:S25)/$A$1)*24))</f>
        <v>57398.608695652176</v>
      </c>
      <c r="T56" s="1"/>
      <c r="U56" s="9"/>
      <c r="V56" s="9"/>
      <c r="Y56" s="2">
        <v>23</v>
      </c>
      <c r="Z56" s="1">
        <f>SUM($Z$3:Z25)/Y25*24</f>
        <v>35561.677773913041</v>
      </c>
      <c r="AA56" s="1">
        <f ca="1">IF(AA25="","",IF(Y56&lt;$A$1,SUM(AA3:AA25)/Y25*24,(SUM(AA3:AA25)/$A$1)*24))</f>
        <v>41457.391304347824</v>
      </c>
      <c r="AB56" s="1"/>
      <c r="AC56" s="1"/>
      <c r="AD56" s="9"/>
      <c r="AG56" s="2">
        <v>23</v>
      </c>
      <c r="AH56" s="1">
        <f>SUM($AH$3:AH25)/AG25*24</f>
        <v>3810.0000000000009</v>
      </c>
      <c r="AI56" s="1">
        <f ca="1">IF(AI25="","",IF(AG56&lt;$A$1,SUM(AI3:AI25)/AG25*24,(SUM(AI3:AI25)/$A$1)*24))</f>
        <v>0</v>
      </c>
      <c r="AJ56" s="1"/>
      <c r="AK56" s="1"/>
      <c r="AL56" s="9"/>
    </row>
    <row r="57" spans="1:38">
      <c r="A57" s="2">
        <v>24</v>
      </c>
      <c r="B57" s="1">
        <f>SUM($B$3:B26)/A26*24</f>
        <v>311610.99267092388</v>
      </c>
      <c r="C57" s="1">
        <f ca="1">IF(C26="","",IF(A57&lt;$A$1,SUM(C3:C26)/A26*24,(SUM(C3:C26)/$A$1)*24))</f>
        <v>290326.4347826087</v>
      </c>
      <c r="D57" s="1"/>
      <c r="E57" s="9"/>
      <c r="I57" s="2">
        <v>24</v>
      </c>
      <c r="J57" s="1">
        <f>SUM($J$3:J26)/$I$26*24</f>
        <v>163866.87987092385</v>
      </c>
      <c r="K57" s="1">
        <f ca="1">IF(K26="","",IF(I57&lt;$A$1,SUM(K3:K26)/I26*24,(SUM(K3:K26)/$A$1)*24))</f>
        <v>187295.4782608696</v>
      </c>
      <c r="L57" s="1"/>
      <c r="M57" s="9"/>
      <c r="N57" s="9"/>
      <c r="Q57" s="2">
        <v>24</v>
      </c>
      <c r="R57" s="1">
        <f>SUM($R$3:R26)/Q26*24</f>
        <v>108618.12000000002</v>
      </c>
      <c r="S57" s="1">
        <f ca="1">IF(S26="","",IF(Q57&lt;$A$1,SUM(S3:S26)/Q26*24,(SUM(S3:S26)/$A$1)*24))</f>
        <v>60384</v>
      </c>
      <c r="T57" s="1"/>
      <c r="U57" s="9"/>
      <c r="V57" s="9"/>
      <c r="Y57" s="2">
        <v>24</v>
      </c>
      <c r="Z57" s="1">
        <f>SUM($Z$3:Z26)/Y26*24</f>
        <v>35315.9928</v>
      </c>
      <c r="AA57" s="1">
        <f ca="1">IF(AA26="","",IF(Y57&lt;$A$1,SUM(AA3:AA26)/Y26*24,(SUM(AA3:AA26)/$A$1)*24))</f>
        <v>42646.956521739135</v>
      </c>
      <c r="AB57" s="1"/>
      <c r="AC57" s="1"/>
      <c r="AD57" s="9"/>
      <c r="AG57" s="2">
        <v>24</v>
      </c>
      <c r="AH57" s="1">
        <f>SUM($AH$3:AH26)/AG26*24</f>
        <v>3810.0000000000009</v>
      </c>
      <c r="AI57" s="1">
        <f ca="1">IF(AI26="","",IF(AG57&lt;$A$1,SUM(AI3:AI26)/AG26*24,(SUM(AI3:AI26)/$A$1)*24))</f>
        <v>0</v>
      </c>
      <c r="AJ57" s="1"/>
      <c r="AK57" s="1"/>
      <c r="AL57" s="9"/>
    </row>
  </sheetData>
  <mergeCells count="1">
    <mergeCell ref="A32:AK32"/>
  </mergeCells>
  <conditionalFormatting sqref="D30:D31">
    <cfRule type="cellIs" dxfId="113" priority="6" operator="lessThan">
      <formula>0</formula>
    </cfRule>
  </conditionalFormatting>
  <conditionalFormatting sqref="L30">
    <cfRule type="cellIs" dxfId="112" priority="5" operator="lessThan">
      <formula>0</formula>
    </cfRule>
  </conditionalFormatting>
  <conditionalFormatting sqref="T30">
    <cfRule type="cellIs" dxfId="111" priority="4" operator="lessThan">
      <formula>0</formula>
    </cfRule>
  </conditionalFormatting>
  <conditionalFormatting sqref="AB30">
    <cfRule type="cellIs" dxfId="110" priority="3" operator="lessThan">
      <formula>0</formula>
    </cfRule>
  </conditionalFormatting>
  <conditionalFormatting sqref="AJ30">
    <cfRule type="cellIs" dxfId="109" priority="2" operator="lessThan">
      <formula>0</formula>
    </cfRule>
  </conditionalFormatting>
  <conditionalFormatting sqref="AS30">
    <cfRule type="cellIs" dxfId="108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horizontalDpi="30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B4E0B-CB3E-4A54-AC30-892F3644D86A}">
  <dimension ref="D7:F20"/>
  <sheetViews>
    <sheetView showGridLines="0" workbookViewId="0">
      <selection activeCell="G33" sqref="G33"/>
    </sheetView>
  </sheetViews>
  <sheetFormatPr defaultRowHeight="15"/>
  <cols>
    <col min="4" max="4" width="28.7109375" bestFit="1" customWidth="1"/>
    <col min="5" max="5" width="30.28515625" customWidth="1"/>
  </cols>
  <sheetData>
    <row r="7" spans="4:5">
      <c r="D7" t="s">
        <v>137</v>
      </c>
      <c r="E7">
        <f>5400+4119+4884+5297+64+27+158+179+2290+1060+369+509</f>
        <v>24356</v>
      </c>
    </row>
    <row r="8" spans="4:5">
      <c r="D8" t="s">
        <v>136</v>
      </c>
      <c r="E8">
        <f>5293+2674+5386+3673</f>
        <v>17026</v>
      </c>
    </row>
    <row r="9" spans="4:5">
      <c r="D9" t="s">
        <v>135</v>
      </c>
      <c r="E9">
        <f>4990+5327</f>
        <v>10317</v>
      </c>
    </row>
    <row r="10" spans="4:5">
      <c r="D10" t="s">
        <v>134</v>
      </c>
      <c r="E10">
        <f>2520+3947</f>
        <v>6467</v>
      </c>
    </row>
    <row r="11" spans="4:5">
      <c r="D11" t="s">
        <v>133</v>
      </c>
      <c r="E11">
        <f>1880+2228+1828</f>
        <v>5936</v>
      </c>
    </row>
    <row r="15" spans="4:5">
      <c r="D15" t="s">
        <v>137</v>
      </c>
      <c r="E15" s="184">
        <v>24.356000000000002</v>
      </c>
    </row>
    <row r="16" spans="4:5">
      <c r="D16" t="s">
        <v>136</v>
      </c>
      <c r="E16" s="184">
        <v>17.026</v>
      </c>
    </row>
    <row r="17" spans="4:6">
      <c r="D17" t="s">
        <v>135</v>
      </c>
      <c r="E17" s="184">
        <v>10.317</v>
      </c>
    </row>
    <row r="18" spans="4:6">
      <c r="D18" t="s">
        <v>134</v>
      </c>
      <c r="E18" s="184">
        <v>6.4669999999999996</v>
      </c>
    </row>
    <row r="19" spans="4:6">
      <c r="D19" t="s">
        <v>133</v>
      </c>
      <c r="E19" s="184">
        <v>5.9359999999999999</v>
      </c>
    </row>
    <row r="20" spans="4:6">
      <c r="D20" t="s">
        <v>117</v>
      </c>
      <c r="F20" s="184">
        <f>SUM(E15:E19)</f>
        <v>64.102000000000004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B1:EO164"/>
  <sheetViews>
    <sheetView showGridLines="0" topLeftCell="A31" zoomScale="70" zoomScaleNormal="70" workbookViewId="0">
      <selection sqref="A1:AQ175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149999999999999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250">
        <f>'ACOMPANHAMENTO USINA'!$AL$2</f>
        <v>45448</v>
      </c>
      <c r="AM2" s="250"/>
      <c r="AN2" s="250"/>
      <c r="AO2" s="250"/>
      <c r="AP2" s="250"/>
      <c r="BF2" s="249" t="s">
        <v>59</v>
      </c>
      <c r="BG2" s="249"/>
      <c r="BH2" s="249"/>
      <c r="BI2" s="249"/>
      <c r="BJ2" s="249"/>
      <c r="BK2" s="61" t="str">
        <f>"\\cvrdcjssa01\dados\area\Usina_Excelencia_Operacional\03-Acompanhamento Produção\Acompanhamento Produção 2023\Evidencia Informações COI USINA 2023\"</f>
        <v>\\cvrdcjssa01\dados\area\Usina_Excelencia_Operacional\03-Acompanhamento Produção\Acompanhamento Produção 2023\Evidencia Informações COI USINA 2023\</v>
      </c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2"/>
      <c r="CH2" s="62"/>
      <c r="CI2" s="62"/>
      <c r="CJ2" s="62"/>
      <c r="CK2" s="62"/>
      <c r="CL2" s="62"/>
      <c r="CM2" s="62"/>
      <c r="CN2" s="62"/>
    </row>
    <row r="3" spans="2:145" ht="79.900000000000006" customHeight="1">
      <c r="B3" s="40"/>
      <c r="C3" s="41"/>
      <c r="D3" s="41"/>
      <c r="E3" s="41"/>
      <c r="F3" s="41"/>
      <c r="G3" s="42" t="s">
        <v>21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0" t="s">
        <v>22</v>
      </c>
      <c r="AI3" s="220"/>
      <c r="AJ3" s="220"/>
      <c r="AK3" s="210">
        <f>'ACOMPANHAMENTO USINA'!$AK$3</f>
        <v>0</v>
      </c>
      <c r="AL3" s="210"/>
      <c r="AM3" s="210"/>
      <c r="AN3" s="218" t="str">
        <f ca="1">'ACOMPANHAMENTO USINA'!$AN$3</f>
        <v>23:59:59</v>
      </c>
      <c r="AO3" s="218"/>
      <c r="AP3" s="219"/>
      <c r="BF3" s="249"/>
      <c r="BG3" s="249"/>
      <c r="BH3" s="249"/>
      <c r="BI3" s="249"/>
      <c r="BJ3" s="249"/>
      <c r="BK3" s="31" t="s">
        <v>60</v>
      </c>
      <c r="BL3" s="60" t="str">
        <f>CHOOSE(MONTH($AL$2),"JANEIRO","FEVEREIRO","MARÇO","ABRIL","MAIO","JUNHO","JULHO","AGOSTO","SETEMBRO","OUTUBRO","NOVEMBRO", "DEZEMBRO")</f>
        <v>JUNHO</v>
      </c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DA3" s="40"/>
      <c r="DB3" s="41"/>
      <c r="DC3" s="41"/>
      <c r="DD3" s="41"/>
      <c r="DE3" s="41"/>
      <c r="DF3" s="42" t="s">
        <v>23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20" t="s">
        <v>22</v>
      </c>
      <c r="EH3" s="220"/>
      <c r="EI3" s="220"/>
      <c r="EJ3" s="210">
        <f ca="1">NOW()</f>
        <v>45836.484720949076</v>
      </c>
      <c r="EK3" s="210"/>
      <c r="EL3" s="210"/>
      <c r="EM3" s="218">
        <f ca="1">NOW()</f>
        <v>45836.484720949076</v>
      </c>
      <c r="EN3" s="218"/>
      <c r="EO3" s="219"/>
    </row>
    <row r="4" spans="2:145" ht="16.5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4" t="s">
        <v>24</v>
      </c>
      <c r="Q4" s="214"/>
      <c r="R4" s="214"/>
      <c r="S4" s="213">
        <f ca="1">NOW()</f>
        <v>45836.484720949076</v>
      </c>
      <c r="T4" s="213"/>
      <c r="AP4" s="24"/>
      <c r="BF4" s="249"/>
      <c r="BG4" s="249"/>
      <c r="BH4" s="249"/>
      <c r="BI4" s="249"/>
      <c r="BJ4" s="249"/>
      <c r="BK4" s="60" t="str">
        <f>"\Informações COI - "&amp;TEXT($AL$2,"dd-mm-aaa")&amp;".pdf"</f>
        <v>\Informações COI - 05-06-2024.pdf</v>
      </c>
    </row>
    <row r="5" spans="2:145" ht="16.5" customHeight="1">
      <c r="B5" s="23"/>
      <c r="AP5" s="24"/>
      <c r="BF5" s="249"/>
      <c r="BG5" s="249"/>
      <c r="BH5" s="249"/>
      <c r="BI5" s="249"/>
      <c r="BJ5" s="249"/>
      <c r="BK5" s="60" t="str">
        <f>"\Informações COI - "&amp;TEXT($AL$2,"dd-mm-aaa")&amp;".xlsm"</f>
        <v>\Informações COI - 05-06-2024.xlsm</v>
      </c>
    </row>
    <row r="6" spans="2:145" ht="16.5" customHeight="1">
      <c r="B6" s="27"/>
      <c r="C6" s="28"/>
      <c r="D6" s="28"/>
      <c r="AP6" s="24"/>
    </row>
    <row r="7" spans="2:145" ht="16.5" customHeight="1">
      <c r="B7" s="23"/>
      <c r="AP7" s="24"/>
    </row>
    <row r="8" spans="2:145" ht="16.5" customHeight="1">
      <c r="B8" s="23"/>
      <c r="AP8" s="24"/>
    </row>
    <row r="9" spans="2:145" ht="16.5" customHeight="1">
      <c r="B9" s="23"/>
      <c r="AP9" s="24"/>
    </row>
    <row r="10" spans="2:145" ht="16.5" customHeight="1">
      <c r="B10" s="23"/>
      <c r="AP10" s="24"/>
    </row>
    <row r="11" spans="2:145" ht="16.5" customHeight="1">
      <c r="B11" s="23"/>
      <c r="AP11" s="24"/>
    </row>
    <row r="12" spans="2:145" ht="16.5" customHeight="1">
      <c r="B12" s="23"/>
      <c r="AP12" s="24"/>
    </row>
    <row r="13" spans="2:145" ht="16.5" customHeight="1">
      <c r="B13" s="23"/>
      <c r="AP13" s="24"/>
    </row>
    <row r="14" spans="2:145" ht="16.5" customHeight="1">
      <c r="B14" s="23"/>
      <c r="AP14" s="24"/>
    </row>
    <row r="15" spans="2:145" ht="16.5" customHeight="1">
      <c r="B15" s="23"/>
      <c r="AP15" s="24"/>
    </row>
    <row r="16" spans="2:145" ht="16.5" customHeight="1">
      <c r="B16" s="23"/>
      <c r="AP16" s="24"/>
    </row>
    <row r="17" spans="2:42" ht="16.5" customHeight="1">
      <c r="B17" s="23"/>
      <c r="AP17" s="24"/>
    </row>
    <row r="18" spans="2:42" ht="16.5" customHeight="1">
      <c r="B18" s="23"/>
      <c r="AP18" s="24"/>
    </row>
    <row r="19" spans="2:42" s="30" customFormat="1" ht="16.5" customHeight="1">
      <c r="B19" s="29"/>
      <c r="K19" s="31"/>
      <c r="AP19" s="32"/>
    </row>
    <row r="20" spans="2:42" ht="16.5" customHeight="1">
      <c r="B20" s="23"/>
      <c r="AP20" s="24"/>
    </row>
    <row r="21" spans="2:42" ht="16.5" customHeight="1">
      <c r="B21" s="23"/>
      <c r="AP21" s="24"/>
    </row>
    <row r="22" spans="2:42" ht="16.5" customHeight="1">
      <c r="B22" s="23"/>
      <c r="AP22" s="24"/>
    </row>
    <row r="23" spans="2:42" ht="16.5" customHeight="1">
      <c r="B23" s="23"/>
      <c r="AP23" s="24"/>
    </row>
    <row r="24" spans="2:42" ht="16.5" customHeight="1">
      <c r="B24" s="23"/>
      <c r="AP24" s="24"/>
    </row>
    <row r="25" spans="2:42" ht="16.5" customHeight="1">
      <c r="B25" s="23"/>
      <c r="AP25" s="24"/>
    </row>
    <row r="26" spans="2:42" ht="16.5" customHeight="1">
      <c r="B26" s="23"/>
      <c r="AP26" s="24"/>
    </row>
    <row r="27" spans="2:42" ht="16.5" customHeight="1">
      <c r="B27" s="23"/>
      <c r="AP27" s="24"/>
    </row>
    <row r="28" spans="2:42" ht="16.5" customHeight="1">
      <c r="B28" s="23"/>
      <c r="AP28" s="24"/>
    </row>
    <row r="29" spans="2:42" ht="14.25">
      <c r="B29" s="23"/>
      <c r="AP29" s="24"/>
    </row>
    <row r="30" spans="2:42" ht="14.25">
      <c r="B30" s="23"/>
      <c r="AP30" s="24"/>
    </row>
    <row r="31" spans="2:42" ht="14.25">
      <c r="B31" s="23"/>
      <c r="AP31" s="24"/>
    </row>
    <row r="32" spans="2:42" ht="14.25">
      <c r="B32" s="23"/>
      <c r="AP32" s="24"/>
    </row>
    <row r="33" spans="2:42" s="39" customFormat="1" ht="38.450000000000003" customHeight="1">
      <c r="B33" s="43"/>
      <c r="C33" s="44" t="s">
        <v>6</v>
      </c>
      <c r="D33" s="215" t="s">
        <v>7</v>
      </c>
      <c r="E33" s="216"/>
      <c r="F33" s="217" t="s">
        <v>8</v>
      </c>
      <c r="G33" s="217"/>
      <c r="H33" s="217"/>
      <c r="I33" s="217"/>
      <c r="J33" s="217"/>
      <c r="K33" s="217"/>
      <c r="M33" s="44" t="s">
        <v>6</v>
      </c>
      <c r="N33" s="215" t="s">
        <v>7</v>
      </c>
      <c r="O33" s="216"/>
      <c r="P33" s="217" t="s">
        <v>8</v>
      </c>
      <c r="Q33" s="217"/>
      <c r="R33" s="217"/>
      <c r="S33" s="217"/>
      <c r="T33" s="217"/>
      <c r="U33" s="217"/>
      <c r="W33" s="44" t="s">
        <v>6</v>
      </c>
      <c r="X33" s="215" t="s">
        <v>7</v>
      </c>
      <c r="Y33" s="216"/>
      <c r="Z33" s="217" t="s">
        <v>8</v>
      </c>
      <c r="AA33" s="217"/>
      <c r="AB33" s="217"/>
      <c r="AC33" s="217"/>
      <c r="AD33" s="217"/>
      <c r="AE33" s="217"/>
      <c r="AG33" s="44" t="s">
        <v>6</v>
      </c>
      <c r="AH33" s="215" t="s">
        <v>7</v>
      </c>
      <c r="AI33" s="216"/>
      <c r="AJ33" s="217" t="s">
        <v>8</v>
      </c>
      <c r="AK33" s="217"/>
      <c r="AL33" s="217"/>
      <c r="AM33" s="217"/>
      <c r="AN33" s="217"/>
      <c r="AO33" s="217"/>
      <c r="AP33" s="45"/>
    </row>
    <row r="34" spans="2:42" s="46" customFormat="1" ht="75" customHeight="1">
      <c r="B34" s="47"/>
      <c r="C34" s="48">
        <v>1</v>
      </c>
      <c r="D34" s="195">
        <f ca="1">'JUSTIFICATIVA DE USINA'!C3</f>
        <v>-1949.091271546873</v>
      </c>
      <c r="E34" s="195"/>
      <c r="F34" s="248" t="str">
        <f>'JUSTIFICATIVA DE USINA'!D3</f>
        <v>Principal impacto: - TR 149-02/ F.Disco: falha no sensor de velociadade, TR 151-23/F. Prensa: Rolamento do tambor danificado;</v>
      </c>
      <c r="G34" s="248"/>
      <c r="H34" s="248"/>
      <c r="I34" s="248"/>
      <c r="J34" s="248"/>
      <c r="K34" s="248"/>
      <c r="M34" s="48">
        <v>1</v>
      </c>
      <c r="N34" s="195">
        <f ca="1">'JUSTIFICATIVA DE USINA'!G3</f>
        <v>-2889.7200000000003</v>
      </c>
      <c r="O34" s="195"/>
      <c r="P34" s="248" t="str">
        <f>'JUSTIFICATIVA DE USINA'!H3</f>
        <v>Principal impacto: - Descontaminação da classificação que está produzindo FASN, No D veio programado SFLS;</v>
      </c>
      <c r="Q34" s="248"/>
      <c r="R34" s="248"/>
      <c r="S34" s="248"/>
      <c r="T34" s="248"/>
      <c r="U34" s="248"/>
      <c r="W34" s="48">
        <v>1</v>
      </c>
      <c r="X34" s="195">
        <f ca="1">'JUSTIFICATIVA DE USINA'!K3</f>
        <v>-31.579199999999673</v>
      </c>
      <c r="Y34" s="195"/>
      <c r="Z34" s="248" t="str">
        <f>'JUSTIFICATIVA DE USINA'!L3</f>
        <v>'Principal impacto: - REP06: material granulado da ESC 0901 ocasionando limpeza de grelha;</v>
      </c>
      <c r="AA34" s="248"/>
      <c r="AB34" s="248"/>
      <c r="AC34" s="248"/>
      <c r="AD34" s="248"/>
      <c r="AE34" s="248"/>
      <c r="AG34" s="48">
        <v>1</v>
      </c>
      <c r="AH34" s="195">
        <f ca="1">'JUSTIFICATIVA DE USINA'!O3</f>
        <v>-158.75000000000003</v>
      </c>
      <c r="AI34" s="195"/>
      <c r="AJ34" s="248" t="str">
        <f>'JUSTIFICATIVA DE USINA'!P3</f>
        <v>Principal impacto: - REP03/05: Falta de área de estocagem no pátio M;</v>
      </c>
      <c r="AK34" s="248"/>
      <c r="AL34" s="248"/>
      <c r="AM34" s="248"/>
      <c r="AN34" s="248"/>
      <c r="AO34" s="248"/>
      <c r="AP34" s="49"/>
    </row>
    <row r="35" spans="2:42" s="46" customFormat="1" ht="75" customHeight="1">
      <c r="B35" s="47"/>
      <c r="C35" s="48">
        <v>2</v>
      </c>
      <c r="D35" s="195">
        <f ca="1">'JUSTIFICATIVA DE USINA'!C4</f>
        <v>621.52328464417587</v>
      </c>
      <c r="E35" s="195"/>
      <c r="F35" s="248">
        <f>'JUSTIFICATIVA DE USINA'!D4</f>
        <v>0</v>
      </c>
      <c r="G35" s="248"/>
      <c r="H35" s="248"/>
      <c r="I35" s="248"/>
      <c r="J35" s="248"/>
      <c r="K35" s="248"/>
      <c r="M35" s="48">
        <v>2</v>
      </c>
      <c r="N35" s="195">
        <f ca="1">'JUSTIFICATIVA DE USINA'!G4</f>
        <v>-2402.7200000000003</v>
      </c>
      <c r="O35" s="195"/>
      <c r="P35" s="248" t="str">
        <f>'JUSTIFICATIVA DE USINA'!H4</f>
        <v>Principal impacto: - Descontaminação da classificação que está produzindo FASN, no D veio programado SFLS;</v>
      </c>
      <c r="Q35" s="248"/>
      <c r="R35" s="248"/>
      <c r="S35" s="248"/>
      <c r="T35" s="248"/>
      <c r="U35" s="248"/>
      <c r="W35" s="48">
        <v>2</v>
      </c>
      <c r="X35" s="195">
        <f ca="1">'JUSTIFICATIVA DE USINA'!K4</f>
        <v>-551.17799999999988</v>
      </c>
      <c r="Y35" s="195"/>
      <c r="Z35" s="248" t="str">
        <f>'JUSTIFICATIVA DE USINA'!L4</f>
        <v>'Principal impacto: - REP06: material granulado da ESC 0901 ocasionando limpeza de grelha;</v>
      </c>
      <c r="AA35" s="248"/>
      <c r="AB35" s="248"/>
      <c r="AC35" s="248"/>
      <c r="AD35" s="248"/>
      <c r="AE35" s="248"/>
      <c r="AG35" s="48">
        <v>2</v>
      </c>
      <c r="AH35" s="195">
        <f ca="1">'JUSTIFICATIVA DE USINA'!O4</f>
        <v>-158.75000000000003</v>
      </c>
      <c r="AI35" s="195"/>
      <c r="AJ35" s="248" t="str">
        <f>'JUSTIFICATIVA DE USINA'!P4</f>
        <v>Principal impacto: - REP03/05: Falta de área de estocagem no pátio M;</v>
      </c>
      <c r="AK35" s="248"/>
      <c r="AL35" s="248"/>
      <c r="AM35" s="248"/>
      <c r="AN35" s="248"/>
      <c r="AO35" s="248"/>
      <c r="AP35" s="49"/>
    </row>
    <row r="36" spans="2:42" s="46" customFormat="1" ht="75" customHeight="1">
      <c r="B36" s="47"/>
      <c r="C36" s="48">
        <v>3</v>
      </c>
      <c r="D36" s="195">
        <f ca="1">'JUSTIFICATIVA DE USINA'!C5</f>
        <v>1814.2457896642118</v>
      </c>
      <c r="E36" s="195"/>
      <c r="F36" s="248">
        <f>'JUSTIFICATIVA DE USINA'!D5</f>
        <v>0</v>
      </c>
      <c r="G36" s="248"/>
      <c r="H36" s="248"/>
      <c r="I36" s="248"/>
      <c r="J36" s="248"/>
      <c r="K36" s="248"/>
      <c r="M36" s="48">
        <v>3</v>
      </c>
      <c r="N36" s="195">
        <f ca="1">'JUSTIFICATIVA DE USINA'!G5</f>
        <v>-3994.5599999999995</v>
      </c>
      <c r="O36" s="195"/>
      <c r="P36" s="248" t="str">
        <f>'JUSTIFICATIVA DE USINA'!H5</f>
        <v>Principal impacto: - Descontaminação da classificação que está produzindo FASN, no D veio programado SFLS;</v>
      </c>
      <c r="Q36" s="248"/>
      <c r="R36" s="248"/>
      <c r="S36" s="248"/>
      <c r="T36" s="248"/>
      <c r="U36" s="248"/>
      <c r="W36" s="48">
        <v>3</v>
      </c>
      <c r="X36" s="195">
        <f ca="1">'JUSTIFICATIVA DE USINA'!K5</f>
        <v>-520.89960000000019</v>
      </c>
      <c r="Y36" s="195"/>
      <c r="Z36" s="248" t="str">
        <f>'JUSTIFICATIVA DE USINA'!L5</f>
        <v>'Principal impacto: - REP02,06: material granulado da ESC 0901 ocasionando limpeza de grelha;</v>
      </c>
      <c r="AA36" s="248"/>
      <c r="AB36" s="248"/>
      <c r="AC36" s="248"/>
      <c r="AD36" s="248"/>
      <c r="AE36" s="248"/>
      <c r="AG36" s="48">
        <v>3</v>
      </c>
      <c r="AH36" s="195">
        <f ca="1">'JUSTIFICATIVA DE USINA'!O5</f>
        <v>-158.75000000000003</v>
      </c>
      <c r="AI36" s="195"/>
      <c r="AJ36" s="248" t="str">
        <f>'JUSTIFICATIVA DE USINA'!P5</f>
        <v>Principal impacto: - REP03/05: Falta de área de estocagem no pátio M;</v>
      </c>
      <c r="AK36" s="248"/>
      <c r="AL36" s="248"/>
      <c r="AM36" s="248"/>
      <c r="AN36" s="248"/>
      <c r="AO36" s="248"/>
      <c r="AP36" s="49"/>
    </row>
    <row r="37" spans="2:42" s="46" customFormat="1" ht="75" customHeight="1">
      <c r="B37" s="47"/>
      <c r="C37" s="48">
        <v>4</v>
      </c>
      <c r="D37" s="195">
        <f ca="1">'JUSTIFICATIVA DE USINA'!C6</f>
        <v>-2818.4020612842723</v>
      </c>
      <c r="E37" s="195"/>
      <c r="F37" s="248" t="str">
        <f>'JUSTIFICATIVA DE USINA'!D6</f>
        <v>Principal impacto: - TR 117-07/BSM07: Sensor de rasgo, rompeu o Nylon do Rip Cord (Identificado borda);</v>
      </c>
      <c r="G37" s="248"/>
      <c r="H37" s="248"/>
      <c r="I37" s="248"/>
      <c r="J37" s="248"/>
      <c r="K37" s="248"/>
      <c r="M37" s="48">
        <v>4</v>
      </c>
      <c r="N37" s="195">
        <f ca="1">'JUSTIFICATIVA DE USINA'!G6</f>
        <v>-3770.84</v>
      </c>
      <c r="O37" s="195"/>
      <c r="P37" s="248" t="str">
        <f>'JUSTIFICATIVA DE USINA'!H6</f>
        <v>Principal impacto: - Restrição na classificação devido, DF de britadores, BR 3030-01: Falha hidráulica, BR 3030-03: Manutenção Preventiva, BR 3030-05: Troca do motor;</v>
      </c>
      <c r="Q37" s="248"/>
      <c r="R37" s="248"/>
      <c r="S37" s="248"/>
      <c r="T37" s="248"/>
      <c r="U37" s="248"/>
      <c r="W37" s="48">
        <v>4</v>
      </c>
      <c r="X37" s="195">
        <f ca="1">'JUSTIFICATIVA DE USINA'!K6</f>
        <v>159.22319999999991</v>
      </c>
      <c r="Y37" s="195"/>
      <c r="Z37" s="248">
        <f>'JUSTIFICATIVA DE USINA'!L6</f>
        <v>0</v>
      </c>
      <c r="AA37" s="248"/>
      <c r="AB37" s="248"/>
      <c r="AC37" s="248"/>
      <c r="AD37" s="248"/>
      <c r="AE37" s="248"/>
      <c r="AG37" s="48">
        <v>4</v>
      </c>
      <c r="AH37" s="195">
        <f ca="1">'JUSTIFICATIVA DE USINA'!O6</f>
        <v>-158.75000000000003</v>
      </c>
      <c r="AI37" s="195"/>
      <c r="AJ37" s="248" t="str">
        <f>'JUSTIFICATIVA DE USINA'!P6</f>
        <v>Principal impacto: - REP03/05: Falta de área de estocagem no pátio M;</v>
      </c>
      <c r="AK37" s="248"/>
      <c r="AL37" s="248"/>
      <c r="AM37" s="248"/>
      <c r="AN37" s="248"/>
      <c r="AO37" s="248"/>
      <c r="AP37" s="49"/>
    </row>
    <row r="38" spans="2:42" s="46" customFormat="1" ht="75" customHeight="1">
      <c r="B38" s="47"/>
      <c r="C38" s="48">
        <v>5</v>
      </c>
      <c r="D38" s="195">
        <f ca="1">'JUSTIFICATIVA DE USINA'!C7</f>
        <v>-3423.580984978129</v>
      </c>
      <c r="E38" s="195"/>
      <c r="F38" s="248" t="str">
        <f>'JUSTIFICATIVA DE USINA'!D7</f>
        <v>Principal impacto: PN II, baixa produtividade devido material úmido e argiloso, operando com taxas mínimas (ESC0903);</v>
      </c>
      <c r="G38" s="248"/>
      <c r="H38" s="248"/>
      <c r="I38" s="248"/>
      <c r="J38" s="248"/>
      <c r="K38" s="248"/>
      <c r="M38" s="48">
        <v>5</v>
      </c>
      <c r="N38" s="195">
        <f ca="1">'JUSTIFICATIVA DE USINA'!G7</f>
        <v>-456.48</v>
      </c>
      <c r="O38" s="195"/>
      <c r="P38" s="248" t="str">
        <f>'JUSTIFICATIVA DE USINA'!H7</f>
        <v>Principal impacto: - Restrição na classificação devido, DF de britadores, BR 3030-01: Falha hidráulica, BR 3030-03: Manutenção Preventiva, BR 3030-05: Troca do motor;</v>
      </c>
      <c r="Q38" s="248"/>
      <c r="R38" s="248"/>
      <c r="S38" s="248"/>
      <c r="T38" s="248"/>
      <c r="U38" s="248"/>
      <c r="W38" s="48">
        <v>5</v>
      </c>
      <c r="X38" s="195">
        <f ca="1">'JUSTIFICATIVA DE USINA'!K7</f>
        <v>-231.96160000000009</v>
      </c>
      <c r="Y38" s="195"/>
      <c r="Z38" s="248" t="str">
        <f>'JUSTIFICATIVA DE USINA'!L7</f>
        <v>'Principal impacto: - REP06: material granulado da ESC 0901 ocasionando limpeza de grelha;</v>
      </c>
      <c r="AA38" s="248"/>
      <c r="AB38" s="248"/>
      <c r="AC38" s="248"/>
      <c r="AD38" s="248"/>
      <c r="AE38" s="248"/>
      <c r="AG38" s="48">
        <v>5</v>
      </c>
      <c r="AH38" s="195">
        <f ca="1">'JUSTIFICATIVA DE USINA'!O7</f>
        <v>-158.75000000000003</v>
      </c>
      <c r="AI38" s="195"/>
      <c r="AJ38" s="248" t="str">
        <f>'JUSTIFICATIVA DE USINA'!P7</f>
        <v>Principal impacto: - REP03/05: Falta de área de estocagem no pátio M;</v>
      </c>
      <c r="AK38" s="248"/>
      <c r="AL38" s="248"/>
      <c r="AM38" s="248"/>
      <c r="AN38" s="248"/>
      <c r="AO38" s="248"/>
      <c r="AP38" s="49"/>
    </row>
    <row r="39" spans="2:42" s="46" customFormat="1" ht="75" customHeight="1">
      <c r="B39" s="47"/>
      <c r="C39" s="48" t="s">
        <v>15</v>
      </c>
      <c r="D39" s="195">
        <f ca="1">'JUSTIFICATIVA DE USINA'!C8</f>
        <v>-1502.2755464859456</v>
      </c>
      <c r="E39" s="195"/>
      <c r="F39" s="248" t="e">
        <f>'JUSTIFICATIVA DE USINA'!#REF!</f>
        <v>#REF!</v>
      </c>
      <c r="G39" s="248"/>
      <c r="H39" s="248"/>
      <c r="I39" s="248"/>
      <c r="J39" s="248"/>
      <c r="K39" s="248"/>
      <c r="M39" s="48" t="s">
        <v>15</v>
      </c>
      <c r="N39" s="195">
        <f ca="1">'JUSTIFICATIVA DE USINA'!G8</f>
        <v>-2151.3199999999997</v>
      </c>
      <c r="O39" s="195"/>
      <c r="P39" s="248" t="str">
        <f>'JUSTIFICATIVA DE USINA'!H8</f>
        <v>Principal impacto: - Restrição na classificação devido, DF de britadores, BR 3030-01: Falha hidráulica, BR 3030-03: Manutenção Preventiva, BR 3030-05: Troca do motor;</v>
      </c>
      <c r="Q39" s="248"/>
      <c r="R39" s="248"/>
      <c r="S39" s="248"/>
      <c r="T39" s="248"/>
      <c r="U39" s="248"/>
      <c r="W39" s="48" t="s">
        <v>15</v>
      </c>
      <c r="X39" s="195">
        <f ca="1">'JUSTIFICATIVA DE USINA'!K8</f>
        <v>-908.91240000000016</v>
      </c>
      <c r="Y39" s="195"/>
      <c r="Z39" s="248" t="str">
        <f>'JUSTIFICATIVA DE USINA'!L8</f>
        <v>'Principal impacto: - REP02: material granulado da ESC 0901 ocasionando limpeza de grelha; TR 1230-73/REP06: desalinhamento;</v>
      </c>
      <c r="AA39" s="248"/>
      <c r="AB39" s="248"/>
      <c r="AC39" s="248"/>
      <c r="AD39" s="248"/>
      <c r="AE39" s="248"/>
      <c r="AG39" s="48" t="s">
        <v>15</v>
      </c>
      <c r="AH39" s="195">
        <f ca="1">'JUSTIFICATIVA DE USINA'!O8</f>
        <v>-158.75000000000003</v>
      </c>
      <c r="AI39" s="195"/>
      <c r="AJ39" s="248" t="str">
        <f>'JUSTIFICATIVA DE USINA'!P8</f>
        <v>Principal impacto: - REP03/05: Falta de área de estocagem no pátio M;</v>
      </c>
      <c r="AK39" s="248"/>
      <c r="AL39" s="248"/>
      <c r="AM39" s="248"/>
      <c r="AN39" s="248"/>
      <c r="AO39" s="248"/>
      <c r="AP39" s="49"/>
    </row>
    <row r="40" spans="2:42" s="46" customFormat="1" ht="75" customHeight="1">
      <c r="B40" s="47"/>
      <c r="C40" s="48">
        <v>7</v>
      </c>
      <c r="D40" s="195">
        <f ca="1">'JUSTIFICATIVA DE USINA'!C9</f>
        <v>-1417.6254165639393</v>
      </c>
      <c r="E40" s="195"/>
      <c r="F40" s="248" t="str">
        <f>'JUSTIFICATIVA DE USINA'!D9</f>
        <v>Principal impacto: PN II, baixa produtividade devido material úmido e argiloso, operando com taxas mínimas (ESC0903);</v>
      </c>
      <c r="G40" s="248"/>
      <c r="H40" s="248"/>
      <c r="I40" s="248"/>
      <c r="J40" s="248"/>
      <c r="K40" s="248"/>
      <c r="M40" s="48">
        <v>7</v>
      </c>
      <c r="N40" s="195">
        <f ca="1">'JUSTIFICATIVA DE USINA'!G9</f>
        <v>-2696.8</v>
      </c>
      <c r="O40" s="195"/>
      <c r="P40" s="248" t="str">
        <f>'JUSTIFICATIVA DE USINA'!H9</f>
        <v>Principal impacto: - Restrição na classificação devido, DF de britadores, BR 3030-01: Falha hidráulica, BR 3030-03: Manutenção Preventiva, BR 3030-05: Troca do motor;</v>
      </c>
      <c r="Q40" s="248"/>
      <c r="R40" s="248"/>
      <c r="S40" s="248"/>
      <c r="T40" s="248"/>
      <c r="U40" s="248"/>
      <c r="W40" s="48">
        <v>7</v>
      </c>
      <c r="X40" s="195">
        <f ca="1">'JUSTIFICATIVA DE USINA'!K9</f>
        <v>-1600.4984000000004</v>
      </c>
      <c r="Y40" s="195"/>
      <c r="Z40" s="248" t="str">
        <f>'JUSTIFICATIVA DE USINA'!L9</f>
        <v>'Principal impacto: - REP02 e 06: troca de turno;</v>
      </c>
      <c r="AA40" s="248"/>
      <c r="AB40" s="248"/>
      <c r="AC40" s="248"/>
      <c r="AD40" s="248"/>
      <c r="AE40" s="248"/>
      <c r="AG40" s="48">
        <v>7</v>
      </c>
      <c r="AH40" s="195">
        <f ca="1">'JUSTIFICATIVA DE USINA'!O9</f>
        <v>-158.75000000000003</v>
      </c>
      <c r="AI40" s="195"/>
      <c r="AJ40" s="248" t="str">
        <f>'JUSTIFICATIVA DE USINA'!P9</f>
        <v>Principal impacto: - REP03/05: Falta de área de estocagem no pátio M;</v>
      </c>
      <c r="AK40" s="248"/>
      <c r="AL40" s="248"/>
      <c r="AM40" s="248"/>
      <c r="AN40" s="248"/>
      <c r="AO40" s="248"/>
      <c r="AP40" s="49"/>
    </row>
    <row r="41" spans="2:42" s="46" customFormat="1" ht="75" customHeight="1">
      <c r="B41" s="47"/>
      <c r="C41" s="48">
        <v>8</v>
      </c>
      <c r="D41" s="195">
        <f ca="1">'JUSTIFICATIVA DE USINA'!C10</f>
        <v>-1637.4499407134854</v>
      </c>
      <c r="E41" s="195"/>
      <c r="F41" s="248" t="str">
        <f>'JUSTIFICATIVA DE USINA'!D10</f>
        <v>Principal impacto: PN II, baixa produtividade devido material úmido e argiloso, operando com taxas mínimas (ESC0903);</v>
      </c>
      <c r="G41" s="248"/>
      <c r="H41" s="248"/>
      <c r="I41" s="248"/>
      <c r="J41" s="248"/>
      <c r="K41" s="248"/>
      <c r="M41" s="48">
        <v>8</v>
      </c>
      <c r="N41" s="195">
        <f ca="1">'JUSTIFICATIVA DE USINA'!G10</f>
        <v>-2984.76</v>
      </c>
      <c r="O41" s="195"/>
      <c r="P41" s="248" t="str">
        <f>'JUSTIFICATIVA DE USINA'!H10</f>
        <v>Principal impacto: - Restrição na classificação devido, DF de britadores, BR 3030-01: Falha hidráulica, BR 3030-03: Manutenção Preventiva, BR 3030-05: Troca do motor;</v>
      </c>
      <c r="Q41" s="248"/>
      <c r="R41" s="248"/>
      <c r="S41" s="248"/>
      <c r="T41" s="248"/>
      <c r="U41" s="248"/>
      <c r="W41" s="48">
        <v>8</v>
      </c>
      <c r="X41" s="195">
        <f ca="1">'JUSTIFICATIVA DE USINA'!K10</f>
        <v>-962.08439999999973</v>
      </c>
      <c r="Y41" s="195"/>
      <c r="Z41" s="248" t="str">
        <f>'JUSTIFICATIVA DE USINA'!L10</f>
        <v>'Principal impacto: - REP02 e 06: troca de turno;</v>
      </c>
      <c r="AA41" s="248"/>
      <c r="AB41" s="248"/>
      <c r="AC41" s="248"/>
      <c r="AD41" s="248"/>
      <c r="AE41" s="248"/>
      <c r="AG41" s="48">
        <v>8</v>
      </c>
      <c r="AH41" s="195">
        <f ca="1">'JUSTIFICATIVA DE USINA'!O10</f>
        <v>-158.75000000000003</v>
      </c>
      <c r="AI41" s="195"/>
      <c r="AJ41" s="248" t="str">
        <f>'JUSTIFICATIVA DE USINA'!P10</f>
        <v>Principal impacto: - REP03/05: Falta de área de estocagem no pátio M;</v>
      </c>
      <c r="AK41" s="248"/>
      <c r="AL41" s="248"/>
      <c r="AM41" s="248"/>
      <c r="AN41" s="248"/>
      <c r="AO41" s="248"/>
      <c r="AP41" s="49"/>
    </row>
    <row r="42" spans="2:42" s="46" customFormat="1" ht="75" customHeight="1">
      <c r="B42" s="47"/>
      <c r="C42" s="48">
        <v>9</v>
      </c>
      <c r="D42" s="195">
        <f ca="1">'JUSTIFICATIVA DE USINA'!C11</f>
        <v>-1212.8639349696432</v>
      </c>
      <c r="E42" s="195"/>
      <c r="F42" s="248" t="str">
        <f>'JUSTIFICATIVA DE USINA'!D11</f>
        <v>Principal impacto: PN II, baixa produtividade devido material úmido e argiloso, operando com taxas mínimas (ESC0903);</v>
      </c>
      <c r="G42" s="248"/>
      <c r="H42" s="248"/>
      <c r="I42" s="248"/>
      <c r="J42" s="248"/>
      <c r="K42" s="248"/>
      <c r="M42" s="48">
        <v>9</v>
      </c>
      <c r="N42" s="195">
        <f ca="1">'JUSTIFICATIVA DE USINA'!G11</f>
        <v>-1755.2799999999997</v>
      </c>
      <c r="O42" s="195"/>
      <c r="P42" s="248" t="str">
        <f>'JUSTIFICATIVA DE USINA'!H11</f>
        <v>Principal impacto: - Restrição na classificação devido, DF de britadores, BR 3030-01: Falha hidráulica, BR 3030-03: Manutenção Preventiva, BR 3030-05: Troca do motor;</v>
      </c>
      <c r="Q42" s="248"/>
      <c r="R42" s="248"/>
      <c r="S42" s="248"/>
      <c r="T42" s="248"/>
      <c r="U42" s="248"/>
      <c r="W42" s="48">
        <v>9</v>
      </c>
      <c r="X42" s="195">
        <f ca="1">'JUSTIFICATIVA DE USINA'!K11</f>
        <v>-1012.7639999999997</v>
      </c>
      <c r="Y42" s="195"/>
      <c r="Z42" s="248" t="e">
        <f>'JUSTIFICATIVA DE USINA'!#REF!</f>
        <v>#REF!</v>
      </c>
      <c r="AA42" s="248"/>
      <c r="AB42" s="248"/>
      <c r="AC42" s="248"/>
      <c r="AD42" s="248"/>
      <c r="AE42" s="248"/>
      <c r="AG42" s="48">
        <v>9</v>
      </c>
      <c r="AH42" s="195">
        <f ca="1">'JUSTIFICATIVA DE USINA'!O11</f>
        <v>-158.75000000000003</v>
      </c>
      <c r="AI42" s="195"/>
      <c r="AJ42" s="248" t="str">
        <f>'JUSTIFICATIVA DE USINA'!P11</f>
        <v>Principal impacto: - REP03/05: Falta de área de estocagem no pátio M;</v>
      </c>
      <c r="AK42" s="248"/>
      <c r="AL42" s="248"/>
      <c r="AM42" s="248"/>
      <c r="AN42" s="248"/>
      <c r="AO42" s="248"/>
      <c r="AP42" s="49"/>
    </row>
    <row r="43" spans="2:42" s="46" customFormat="1" ht="75" customHeight="1">
      <c r="B43" s="47"/>
      <c r="C43" s="48">
        <v>10</v>
      </c>
      <c r="D43" s="195">
        <f ca="1">'JUSTIFICATIVA DE USINA'!C12</f>
        <v>474.67137891730272</v>
      </c>
      <c r="E43" s="195"/>
      <c r="F43" s="248">
        <f>'JUSTIFICATIVA DE USINA'!D12</f>
        <v>0</v>
      </c>
      <c r="G43" s="248"/>
      <c r="H43" s="248"/>
      <c r="I43" s="248"/>
      <c r="J43" s="248"/>
      <c r="K43" s="248"/>
      <c r="M43" s="48">
        <v>10</v>
      </c>
      <c r="N43" s="195">
        <f ca="1">'JUSTIFICATIVA DE USINA'!G12</f>
        <v>-2751.76</v>
      </c>
      <c r="O43" s="195"/>
      <c r="P43" s="248" t="str">
        <f>'JUSTIFICATIVA DE USINA'!H12</f>
        <v>Principal impacto: - Restrição na classificação devido, DF de britadores, BR 3030-01: Falha hidráulica, BR 3030-03: Manutenção Preventiva, BR 3030-05: Troca do motor;</v>
      </c>
      <c r="Q43" s="248"/>
      <c r="R43" s="248"/>
      <c r="S43" s="248"/>
      <c r="T43" s="248"/>
      <c r="U43" s="248"/>
      <c r="W43" s="48">
        <v>10</v>
      </c>
      <c r="X43" s="195">
        <f ca="1">'JUSTIFICATIVA DE USINA'!K12</f>
        <v>997.64439999999991</v>
      </c>
      <c r="Y43" s="195"/>
      <c r="Z43" s="248">
        <f>'JUSTIFICATIVA DE USINA'!L12</f>
        <v>0</v>
      </c>
      <c r="AA43" s="248"/>
      <c r="AB43" s="248"/>
      <c r="AC43" s="248"/>
      <c r="AD43" s="248"/>
      <c r="AE43" s="248"/>
      <c r="AG43" s="48">
        <v>10</v>
      </c>
      <c r="AH43" s="195">
        <f ca="1">'JUSTIFICATIVA DE USINA'!O12</f>
        <v>-158.75000000000003</v>
      </c>
      <c r="AI43" s="195"/>
      <c r="AJ43" s="248" t="str">
        <f>'JUSTIFICATIVA DE USINA'!P12</f>
        <v>Principal impacto: - REP03/05: Falta de área de estocagem no pátio M;</v>
      </c>
      <c r="AK43" s="248"/>
      <c r="AL43" s="248"/>
      <c r="AM43" s="248"/>
      <c r="AN43" s="248"/>
      <c r="AO43" s="248"/>
      <c r="AP43" s="49"/>
    </row>
    <row r="44" spans="2:42" s="46" customFormat="1" ht="75" customHeight="1">
      <c r="B44" s="47"/>
      <c r="C44" s="48">
        <v>11</v>
      </c>
      <c r="D44" s="195">
        <f ca="1">'JUSTIFICATIVA DE USINA'!C13</f>
        <v>720.62349948808878</v>
      </c>
      <c r="E44" s="195"/>
      <c r="F44" s="248">
        <f>'JUSTIFICATIVA DE USINA'!D13</f>
        <v>0</v>
      </c>
      <c r="G44" s="248"/>
      <c r="H44" s="248"/>
      <c r="I44" s="248"/>
      <c r="J44" s="248"/>
      <c r="K44" s="248"/>
      <c r="M44" s="48">
        <v>11</v>
      </c>
      <c r="N44" s="195">
        <f ca="1">'JUSTIFICATIVA DE USINA'!G13</f>
        <v>-2328.3599999999997</v>
      </c>
      <c r="O44" s="195"/>
      <c r="P44" s="248" t="str">
        <f>'JUSTIFICATIVA DE USINA'!H13</f>
        <v>Principal impacto: - Restrição na classificação devido, DF de britadores, BR 3030-01: Falha hidráulica, BR 3030-03: Manutenção Preventiva, BR 3030-05: Troca do motor;</v>
      </c>
      <c r="Q44" s="248"/>
      <c r="R44" s="248"/>
      <c r="S44" s="248"/>
      <c r="T44" s="248"/>
      <c r="U44" s="248"/>
      <c r="W44" s="48">
        <v>11</v>
      </c>
      <c r="X44" s="195">
        <f ca="1">'JUSTIFICATIVA DE USINA'!K13</f>
        <v>845.7800000000002</v>
      </c>
      <c r="Y44" s="195"/>
      <c r="Z44" s="248" t="str">
        <f>'JUSTIFICATIVA DE USINA'!L11</f>
        <v>'Principal impacto: - REP06: limpeza de tela e DF a LN 26 (tela) / Desc de fino: AL 135-02 desalinhamento;</v>
      </c>
      <c r="AA44" s="248"/>
      <c r="AB44" s="248"/>
      <c r="AC44" s="248"/>
      <c r="AD44" s="248"/>
      <c r="AE44" s="248"/>
      <c r="AG44" s="48">
        <v>11</v>
      </c>
      <c r="AH44" s="195">
        <f ca="1">'JUSTIFICATIVA DE USINA'!O13</f>
        <v>-158.75000000000003</v>
      </c>
      <c r="AI44" s="195"/>
      <c r="AJ44" s="248" t="str">
        <f>'JUSTIFICATIVA DE USINA'!P13</f>
        <v>Principal impacto: - REP03/05: Falta de área de estocagem no pátio M;</v>
      </c>
      <c r="AK44" s="248"/>
      <c r="AL44" s="248"/>
      <c r="AM44" s="248"/>
      <c r="AN44" s="248"/>
      <c r="AO44" s="248"/>
      <c r="AP44" s="49"/>
    </row>
    <row r="45" spans="2:42" s="46" customFormat="1" ht="75" customHeight="1">
      <c r="B45" s="47"/>
      <c r="C45" s="48">
        <v>12</v>
      </c>
      <c r="D45" s="195">
        <f ca="1">'JUSTIFICATIVA DE USINA'!C14</f>
        <v>1167.8334839659547</v>
      </c>
      <c r="E45" s="195"/>
      <c r="F45" s="248">
        <f>'JUSTIFICATIVA DE USINA'!D14</f>
        <v>0</v>
      </c>
      <c r="G45" s="248"/>
      <c r="H45" s="248"/>
      <c r="I45" s="248"/>
      <c r="J45" s="248"/>
      <c r="K45" s="248"/>
      <c r="M45" s="48">
        <v>12</v>
      </c>
      <c r="N45" s="195">
        <f ca="1">'JUSTIFICATIVA DE USINA'!G14</f>
        <v>-1260.6000000000004</v>
      </c>
      <c r="O45" s="195"/>
      <c r="P45" s="248" t="str">
        <f>'JUSTIFICATIVA DE USINA'!H14</f>
        <v>Principal impacto: BSM05: falta de alimentação devido DF de retro e moega cheia de material;</v>
      </c>
      <c r="Q45" s="248"/>
      <c r="R45" s="248"/>
      <c r="S45" s="248"/>
      <c r="T45" s="248"/>
      <c r="U45" s="248"/>
      <c r="W45" s="48">
        <v>12</v>
      </c>
      <c r="X45" s="195">
        <f ca="1">'JUSTIFICATIVA DE USINA'!K14</f>
        <v>1055.7799999999997</v>
      </c>
      <c r="Y45" s="195"/>
      <c r="Z45" s="248">
        <f>'JUSTIFICATIVA DE USINA'!L14</f>
        <v>0</v>
      </c>
      <c r="AA45" s="248"/>
      <c r="AB45" s="248"/>
      <c r="AC45" s="248"/>
      <c r="AD45" s="248"/>
      <c r="AE45" s="248"/>
      <c r="AG45" s="48">
        <v>12</v>
      </c>
      <c r="AH45" s="195">
        <f ca="1">'JUSTIFICATIVA DE USINA'!O14</f>
        <v>-158.75000000000003</v>
      </c>
      <c r="AI45" s="195"/>
      <c r="AJ45" s="248" t="str">
        <f>'JUSTIFICATIVA DE USINA'!P14</f>
        <v>Principal impacto: - REP03/05: Falta de área de estocagem no pátio M;</v>
      </c>
      <c r="AK45" s="248"/>
      <c r="AL45" s="248"/>
      <c r="AM45" s="248"/>
      <c r="AN45" s="248"/>
      <c r="AO45" s="248"/>
      <c r="AP45" s="49"/>
    </row>
    <row r="46" spans="2:42" s="46" customFormat="1" ht="75" customHeight="1">
      <c r="B46" s="47"/>
      <c r="C46" s="48">
        <v>13</v>
      </c>
      <c r="D46" s="195">
        <f ca="1">'JUSTIFICATIVA DE USINA'!C15</f>
        <v>-96.02663043391658</v>
      </c>
      <c r="E46" s="195"/>
      <c r="F46" s="248" t="str">
        <f>'JUSTIFICATIVA DE USINA'!D15</f>
        <v>Principal impacto: PN II, baixa produtividade devido material úmido e argiloso, perda de blend da BSM07 por limpeza de grelha.</v>
      </c>
      <c r="G46" s="248"/>
      <c r="H46" s="248"/>
      <c r="I46" s="248"/>
      <c r="J46" s="248"/>
      <c r="K46" s="248"/>
      <c r="M46" s="48">
        <v>13</v>
      </c>
      <c r="N46" s="195">
        <f ca="1">'JUSTIFICATIVA DE USINA'!G15</f>
        <v>-2262.3199999999997</v>
      </c>
      <c r="O46" s="195"/>
      <c r="P46" s="248" t="e">
        <f>'JUSTIFICATIVA DE USINA'!#REF!</f>
        <v>#REF!</v>
      </c>
      <c r="Q46" s="248"/>
      <c r="R46" s="248"/>
      <c r="S46" s="248"/>
      <c r="T46" s="248"/>
      <c r="U46" s="248"/>
      <c r="W46" s="48">
        <v>13</v>
      </c>
      <c r="X46" s="195">
        <f ca="1">'JUSTIFICATIVA DE USINA'!K15</f>
        <v>-1119.8703999999998</v>
      </c>
      <c r="Y46" s="195"/>
      <c r="Z46" s="248" t="str">
        <f>'JUSTIFICATIVA DE USINA'!L15</f>
        <v>'Principal impacto: Desc de fino: TR 135-04,  nível alto no chute;</v>
      </c>
      <c r="AA46" s="248"/>
      <c r="AB46" s="248"/>
      <c r="AC46" s="248"/>
      <c r="AD46" s="248"/>
      <c r="AE46" s="248"/>
      <c r="AG46" s="48">
        <v>13</v>
      </c>
      <c r="AH46" s="195">
        <f ca="1">'JUSTIFICATIVA DE USINA'!O15</f>
        <v>-158.75000000000003</v>
      </c>
      <c r="AI46" s="195"/>
      <c r="AJ46" s="248" t="str">
        <f>'JUSTIFICATIVA DE USINA'!P15</f>
        <v>Principal impacto: - REP03/05: Falta de área de estocagem no pátio M;</v>
      </c>
      <c r="AK46" s="248"/>
      <c r="AL46" s="248"/>
      <c r="AM46" s="248"/>
      <c r="AN46" s="248"/>
      <c r="AO46" s="248"/>
      <c r="AP46" s="49"/>
    </row>
    <row r="47" spans="2:42" s="46" customFormat="1" ht="75" customHeight="1">
      <c r="B47" s="47"/>
      <c r="C47" s="48">
        <v>14</v>
      </c>
      <c r="D47" s="195">
        <f ca="1">'JUSTIFICATIVA DE USINA'!C16</f>
        <v>5017.7977779879329</v>
      </c>
      <c r="E47" s="195"/>
      <c r="F47" s="248">
        <f>'JUSTIFICATIVA DE USINA'!D16</f>
        <v>0</v>
      </c>
      <c r="G47" s="248"/>
      <c r="H47" s="248"/>
      <c r="I47" s="248"/>
      <c r="J47" s="248"/>
      <c r="K47" s="248"/>
      <c r="M47" s="48">
        <v>14</v>
      </c>
      <c r="N47" s="195">
        <f ca="1">'JUSTIFICATIVA DE USINA'!G16</f>
        <v>-3178.76</v>
      </c>
      <c r="O47" s="195"/>
      <c r="P47" s="248" t="str">
        <f>'JUSTIFICATIVA DE USINA'!H15</f>
        <v>Principal impacto: BSM05: falta de alimentação devido DF de retro e moega cheia de material;</v>
      </c>
      <c r="Q47" s="248"/>
      <c r="R47" s="248"/>
      <c r="S47" s="248"/>
      <c r="T47" s="248"/>
      <c r="U47" s="248"/>
      <c r="W47" s="48">
        <v>14</v>
      </c>
      <c r="X47" s="195">
        <f ca="1">'JUSTIFICATIVA DE USINA'!K16</f>
        <v>163.54719999999998</v>
      </c>
      <c r="Y47" s="195"/>
      <c r="Z47" s="248">
        <f>'JUSTIFICATIVA DE USINA'!L16</f>
        <v>0</v>
      </c>
      <c r="AA47" s="248"/>
      <c r="AB47" s="248"/>
      <c r="AC47" s="248"/>
      <c r="AD47" s="248"/>
      <c r="AE47" s="248"/>
      <c r="AG47" s="48">
        <v>14</v>
      </c>
      <c r="AH47" s="195">
        <f ca="1">'JUSTIFICATIVA DE USINA'!O16</f>
        <v>-158.75000000000003</v>
      </c>
      <c r="AI47" s="195"/>
      <c r="AJ47" s="248" t="str">
        <f>'JUSTIFICATIVA DE USINA'!P17</f>
        <v>Principal impacto: - REP03/05: Falta de área de estocagem no pátio M;</v>
      </c>
      <c r="AK47" s="248"/>
      <c r="AL47" s="248"/>
      <c r="AM47" s="248"/>
      <c r="AN47" s="248"/>
      <c r="AO47" s="248"/>
      <c r="AP47" s="49"/>
    </row>
    <row r="48" spans="2:42" s="46" customFormat="1" ht="75" customHeight="1">
      <c r="B48" s="47"/>
      <c r="C48" s="48">
        <v>15</v>
      </c>
      <c r="D48" s="195">
        <f ca="1">'JUSTIFICATIVA DE USINA'!C17</f>
        <v>3517.6733410853558</v>
      </c>
      <c r="E48" s="195"/>
      <c r="F48" s="248">
        <f>'JUSTIFICATIVA DE USINA'!D19</f>
        <v>0</v>
      </c>
      <c r="G48" s="248"/>
      <c r="H48" s="248"/>
      <c r="I48" s="248"/>
      <c r="J48" s="248"/>
      <c r="K48" s="248"/>
      <c r="M48" s="48">
        <v>15</v>
      </c>
      <c r="N48" s="195">
        <f ca="1">'JUSTIFICATIVA DE USINA'!G17</f>
        <v>-3463.2799999999997</v>
      </c>
      <c r="O48" s="195"/>
      <c r="P48" s="248" t="str">
        <f>'JUSTIFICATIVA DE USINA'!H16</f>
        <v>Principal impacto: BSM05: falta de alimentação devido DF de retro e moega cheia de material;</v>
      </c>
      <c r="Q48" s="248"/>
      <c r="R48" s="248"/>
      <c r="S48" s="248"/>
      <c r="T48" s="248"/>
      <c r="U48" s="248"/>
      <c r="W48" s="48">
        <v>15</v>
      </c>
      <c r="X48" s="195">
        <f ca="1">'JUSTIFICATIVA DE USINA'!K17</f>
        <v>2600</v>
      </c>
      <c r="Y48" s="195"/>
      <c r="Z48" s="248">
        <f>'JUSTIFICATIVA DE USINA'!L17</f>
        <v>0</v>
      </c>
      <c r="AA48" s="248"/>
      <c r="AB48" s="248"/>
      <c r="AC48" s="248"/>
      <c r="AD48" s="248"/>
      <c r="AE48" s="248"/>
      <c r="AG48" s="48">
        <v>15</v>
      </c>
      <c r="AH48" s="195">
        <f ca="1">'JUSTIFICATIVA DE USINA'!O17</f>
        <v>-158.75000000000003</v>
      </c>
      <c r="AI48" s="195"/>
      <c r="AJ48" s="248" t="e">
        <f>'JUSTIFICATIVA DE USINA'!#REF!</f>
        <v>#REF!</v>
      </c>
      <c r="AK48" s="248"/>
      <c r="AL48" s="248"/>
      <c r="AM48" s="248"/>
      <c r="AN48" s="248"/>
      <c r="AO48" s="248"/>
      <c r="AP48" s="49"/>
    </row>
    <row r="49" spans="2:42" s="46" customFormat="1" ht="75" customHeight="1">
      <c r="B49" s="47"/>
      <c r="C49" s="48">
        <v>16</v>
      </c>
      <c r="D49" s="195">
        <f ca="1">'JUSTIFICATIVA DE USINA'!C18</f>
        <v>4077.6644547497708</v>
      </c>
      <c r="E49" s="195"/>
      <c r="F49" s="248" t="e">
        <f>'JUSTIFICATIVA DE USINA'!#REF!</f>
        <v>#REF!</v>
      </c>
      <c r="G49" s="248"/>
      <c r="H49" s="248"/>
      <c r="I49" s="248"/>
      <c r="J49" s="248"/>
      <c r="K49" s="248"/>
      <c r="M49" s="48">
        <v>16</v>
      </c>
      <c r="N49" s="195">
        <f ca="1">'JUSTIFICATIVA DE USINA'!G18</f>
        <v>2791.4</v>
      </c>
      <c r="O49" s="195"/>
      <c r="P49" s="248" t="str">
        <f>'JUSTIFICATIVA DE USINA'!H16</f>
        <v>Principal impacto: BSM05: falta de alimentação devido DF de retro e moega cheia de material;</v>
      </c>
      <c r="Q49" s="248"/>
      <c r="R49" s="248"/>
      <c r="S49" s="248"/>
      <c r="T49" s="248"/>
      <c r="U49" s="248"/>
      <c r="W49" s="48">
        <v>16</v>
      </c>
      <c r="X49" s="195">
        <f ca="1">'JUSTIFICATIVA DE USINA'!K18</f>
        <v>1760</v>
      </c>
      <c r="Y49" s="195"/>
      <c r="Z49" s="248">
        <f>'JUSTIFICATIVA DE USINA'!L18</f>
        <v>0</v>
      </c>
      <c r="AA49" s="248"/>
      <c r="AB49" s="248"/>
      <c r="AC49" s="248"/>
      <c r="AD49" s="248"/>
      <c r="AE49" s="248"/>
      <c r="AG49" s="48">
        <v>16</v>
      </c>
      <c r="AH49" s="195">
        <f ca="1">'JUSTIFICATIVA DE USINA'!O18</f>
        <v>-158.75000000000003</v>
      </c>
      <c r="AI49" s="195"/>
      <c r="AJ49" s="248" t="str">
        <f>'JUSTIFICATIVA DE USINA'!P18</f>
        <v>Principal impacto: - REP03/05: Falta de área de estocagem no pátio M;</v>
      </c>
      <c r="AK49" s="248"/>
      <c r="AL49" s="248"/>
      <c r="AM49" s="248"/>
      <c r="AN49" s="248"/>
      <c r="AO49" s="248"/>
      <c r="AP49" s="49"/>
    </row>
    <row r="50" spans="2:42" s="46" customFormat="1" ht="75" customHeight="1">
      <c r="B50" s="47"/>
      <c r="C50" s="48">
        <v>17</v>
      </c>
      <c r="D50" s="195">
        <f ca="1">'JUSTIFICATIVA DE USINA'!C19</f>
        <v>1657.7021348572034</v>
      </c>
      <c r="E50" s="195"/>
      <c r="F50" s="248" t="e">
        <f>'JUSTIFICATIVA DE USINA'!#REF!</f>
        <v>#REF!</v>
      </c>
      <c r="G50" s="248"/>
      <c r="H50" s="248"/>
      <c r="I50" s="248"/>
      <c r="J50" s="248"/>
      <c r="K50" s="248"/>
      <c r="M50" s="48">
        <v>17</v>
      </c>
      <c r="N50" s="195">
        <f ca="1">'JUSTIFICATIVA DE USINA'!G19</f>
        <v>345.68000000000029</v>
      </c>
      <c r="O50" s="195"/>
      <c r="P50" s="248" t="str">
        <f>'JUSTIFICATIVA DE USINA'!H20</f>
        <v>Principal impacto: TR 3011-19/Bloco B parado devido vazamento no chute</v>
      </c>
      <c r="Q50" s="248"/>
      <c r="R50" s="248"/>
      <c r="S50" s="248"/>
      <c r="T50" s="248"/>
      <c r="U50" s="248"/>
      <c r="W50" s="48">
        <v>17</v>
      </c>
      <c r="X50" s="195">
        <f ca="1">'JUSTIFICATIVA DE USINA'!K19</f>
        <v>1576.5824</v>
      </c>
      <c r="Y50" s="195"/>
      <c r="Z50" s="248">
        <f>'JUSTIFICATIVA DE USINA'!L19</f>
        <v>0</v>
      </c>
      <c r="AA50" s="248"/>
      <c r="AB50" s="248"/>
      <c r="AC50" s="248"/>
      <c r="AD50" s="248"/>
      <c r="AE50" s="248"/>
      <c r="AG50" s="48">
        <v>17</v>
      </c>
      <c r="AH50" s="195">
        <f ca="1">'JUSTIFICATIVA DE USINA'!O19</f>
        <v>-158.75000000000003</v>
      </c>
      <c r="AI50" s="195"/>
      <c r="AJ50" s="248" t="str">
        <f>'JUSTIFICATIVA DE USINA'!P19</f>
        <v>Principal impacto: - REP03/05: Falta de área de estocagem no pátio M;</v>
      </c>
      <c r="AK50" s="248"/>
      <c r="AL50" s="248"/>
      <c r="AM50" s="248"/>
      <c r="AN50" s="248"/>
      <c r="AO50" s="248"/>
      <c r="AP50" s="49"/>
    </row>
    <row r="51" spans="2:42" s="46" customFormat="1" ht="75" customHeight="1">
      <c r="B51" s="47"/>
      <c r="C51" s="48">
        <v>18</v>
      </c>
      <c r="D51" s="195">
        <f ca="1">'JUSTIFICATIVA DE USINA'!C20</f>
        <v>3224.4112525560713</v>
      </c>
      <c r="E51" s="195"/>
      <c r="F51" s="248">
        <f>'JUSTIFICATIVA DE USINA'!D20</f>
        <v>0</v>
      </c>
      <c r="G51" s="248"/>
      <c r="H51" s="248"/>
      <c r="I51" s="248"/>
      <c r="J51" s="248"/>
      <c r="K51" s="248"/>
      <c r="M51" s="48">
        <v>18</v>
      </c>
      <c r="N51" s="195">
        <f ca="1">'JUSTIFICATIVA DE USINA'!G20</f>
        <v>-1841.2799999999997</v>
      </c>
      <c r="O51" s="195"/>
      <c r="P51" s="248" t="e">
        <f>'JUSTIFICATIVA DE USINA'!#REF!</f>
        <v>#REF!</v>
      </c>
      <c r="Q51" s="248"/>
      <c r="R51" s="248"/>
      <c r="S51" s="248"/>
      <c r="T51" s="248"/>
      <c r="U51" s="248"/>
      <c r="W51" s="48">
        <v>18</v>
      </c>
      <c r="X51" s="195">
        <f ca="1">'JUSTIFICATIVA DE USINA'!K20</f>
        <v>1071.4559999999999</v>
      </c>
      <c r="Y51" s="195"/>
      <c r="Z51" s="248">
        <f>'JUSTIFICATIVA DE USINA'!L21</f>
        <v>0</v>
      </c>
      <c r="AA51" s="248"/>
      <c r="AB51" s="248"/>
      <c r="AC51" s="248"/>
      <c r="AD51" s="248"/>
      <c r="AE51" s="248"/>
      <c r="AG51" s="48">
        <v>18</v>
      </c>
      <c r="AH51" s="195">
        <f ca="1">'JUSTIFICATIVA DE USINA'!O20</f>
        <v>-158.75000000000003</v>
      </c>
      <c r="AI51" s="195"/>
      <c r="AJ51" s="248" t="str">
        <f>'JUSTIFICATIVA DE USINA'!P20</f>
        <v>Principal impacto: - REP03/05: Falta de área de estocagem no pátio M;</v>
      </c>
      <c r="AK51" s="248"/>
      <c r="AL51" s="248"/>
      <c r="AM51" s="248"/>
      <c r="AN51" s="248"/>
      <c r="AO51" s="248"/>
      <c r="AP51" s="49"/>
    </row>
    <row r="52" spans="2:42" s="46" customFormat="1" ht="75" customHeight="1">
      <c r="B52" s="47"/>
      <c r="C52" s="48">
        <v>19</v>
      </c>
      <c r="D52" s="195">
        <f ca="1">'JUSTIFICATIVA DE USINA'!C21</f>
        <v>3327.1776107076594</v>
      </c>
      <c r="E52" s="195"/>
      <c r="F52" s="248">
        <f>'JUSTIFICATIVA DE USINA'!D21</f>
        <v>0</v>
      </c>
      <c r="G52" s="248"/>
      <c r="H52" s="248"/>
      <c r="I52" s="248"/>
      <c r="J52" s="248"/>
      <c r="K52" s="248"/>
      <c r="M52" s="48">
        <v>19</v>
      </c>
      <c r="N52" s="195">
        <f ca="1">'JUSTIFICATIVA DE USINA'!G21</f>
        <v>-3758.24</v>
      </c>
      <c r="O52" s="195"/>
      <c r="P52" s="248" t="str">
        <f>'JUSTIFICATIVA DE USINA'!H21</f>
        <v>Principal impacto: TR 3011-19/Bloco B parado devido vazamento no chute</v>
      </c>
      <c r="Q52" s="248"/>
      <c r="R52" s="248"/>
      <c r="S52" s="248"/>
      <c r="T52" s="248"/>
      <c r="U52" s="248"/>
      <c r="W52" s="48">
        <v>19</v>
      </c>
      <c r="X52" s="195">
        <f ca="1">'JUSTIFICATIVA DE USINA'!K21</f>
        <v>146.33680000000004</v>
      </c>
      <c r="Y52" s="195"/>
      <c r="Z52" s="248">
        <f>'JUSTIFICATIVA DE USINA'!L22</f>
        <v>0</v>
      </c>
      <c r="AA52" s="248"/>
      <c r="AB52" s="248"/>
      <c r="AC52" s="248"/>
      <c r="AD52" s="248"/>
      <c r="AE52" s="248"/>
      <c r="AG52" s="48">
        <v>19</v>
      </c>
      <c r="AH52" s="195">
        <f ca="1">'JUSTIFICATIVA DE USINA'!O21</f>
        <v>-158.75000000000003</v>
      </c>
      <c r="AI52" s="195"/>
      <c r="AJ52" s="248" t="str">
        <f>'JUSTIFICATIVA DE USINA'!P21</f>
        <v>Principal impacto: - REP03/05: Falta de área de estocagem no pátio M;</v>
      </c>
      <c r="AK52" s="248"/>
      <c r="AL52" s="248"/>
      <c r="AM52" s="248"/>
      <c r="AN52" s="248"/>
      <c r="AO52" s="248"/>
      <c r="AP52" s="49"/>
    </row>
    <row r="53" spans="2:42" s="46" customFormat="1" ht="75" customHeight="1">
      <c r="B53" s="47"/>
      <c r="C53" s="48">
        <v>20</v>
      </c>
      <c r="D53" s="195">
        <f ca="1">'JUSTIFICATIVA DE USINA'!C22</f>
        <v>790.68107507042896</v>
      </c>
      <c r="E53" s="195"/>
      <c r="F53" s="248">
        <f>'JUSTIFICATIVA DE USINA'!D22</f>
        <v>0</v>
      </c>
      <c r="G53" s="248"/>
      <c r="H53" s="248"/>
      <c r="I53" s="248"/>
      <c r="J53" s="248"/>
      <c r="K53" s="248"/>
      <c r="M53" s="48">
        <v>20</v>
      </c>
      <c r="N53" s="195">
        <f ca="1">'JUSTIFICATIVA DE USINA'!G22</f>
        <v>-2333.2399999999998</v>
      </c>
      <c r="O53" s="195"/>
      <c r="P53" s="248" t="str">
        <f>'JUSTIFICATIVA DE USINA'!H22</f>
        <v>Principal impacto: TR 3011-19/Bloco B parado devido vazamento no chute</v>
      </c>
      <c r="Q53" s="248"/>
      <c r="R53" s="248"/>
      <c r="S53" s="248"/>
      <c r="T53" s="248"/>
      <c r="U53" s="248"/>
      <c r="W53" s="48">
        <v>20</v>
      </c>
      <c r="X53" s="195">
        <f ca="1">'JUSTIFICATIVA DE USINA'!K22</f>
        <v>766.05840000000001</v>
      </c>
      <c r="Y53" s="195"/>
      <c r="Z53" s="248">
        <f>'JUSTIFICATIVA DE USINA'!L23</f>
        <v>0</v>
      </c>
      <c r="AA53" s="248"/>
      <c r="AB53" s="248"/>
      <c r="AC53" s="248"/>
      <c r="AD53" s="248"/>
      <c r="AE53" s="248"/>
      <c r="AG53" s="48">
        <v>20</v>
      </c>
      <c r="AH53" s="195">
        <f ca="1">'JUSTIFICATIVA DE USINA'!O22</f>
        <v>-158.75000000000003</v>
      </c>
      <c r="AI53" s="195"/>
      <c r="AJ53" s="248" t="str">
        <f>'JUSTIFICATIVA DE USINA'!P22</f>
        <v>Principal impacto: - REP03/05: Falta de área de estocagem no pátio M;</v>
      </c>
      <c r="AK53" s="248"/>
      <c r="AL53" s="248"/>
      <c r="AM53" s="248"/>
      <c r="AN53" s="248"/>
      <c r="AO53" s="248"/>
      <c r="AP53" s="49"/>
    </row>
    <row r="54" spans="2:42" s="46" customFormat="1" ht="75" customHeight="1">
      <c r="B54" s="47"/>
      <c r="C54" s="48">
        <v>21</v>
      </c>
      <c r="D54" s="195">
        <f ca="1">'JUSTIFICATIVA DE USINA'!C23</f>
        <v>1061.3776557077563</v>
      </c>
      <c r="E54" s="195"/>
      <c r="F54" s="248">
        <f>'JUSTIFICATIVA DE USINA'!D23</f>
        <v>0</v>
      </c>
      <c r="G54" s="248"/>
      <c r="H54" s="248"/>
      <c r="I54" s="248"/>
      <c r="J54" s="248"/>
      <c r="K54" s="248"/>
      <c r="M54" s="48">
        <v>21</v>
      </c>
      <c r="N54" s="195">
        <f ca="1">'JUSTIFICATIVA DE USINA'!G23</f>
        <v>-2039.2399999999998</v>
      </c>
      <c r="O54" s="195"/>
      <c r="P54" s="248" t="str">
        <f>'JUSTIFICATIVA DE USINA'!H23</f>
        <v>Principal impacto: TR 3011-19/Bloco B parado devido vazamento no chute</v>
      </c>
      <c r="Q54" s="248"/>
      <c r="R54" s="248"/>
      <c r="S54" s="248"/>
      <c r="T54" s="248"/>
      <c r="U54" s="248"/>
      <c r="W54" s="48">
        <v>21</v>
      </c>
      <c r="X54" s="195">
        <f ca="1">'JUSTIFICATIVA DE USINA'!K23</f>
        <v>814.10400000000004</v>
      </c>
      <c r="Y54" s="195"/>
      <c r="Z54" s="248" t="e">
        <f>'JUSTIFICATIVA DE USINA'!#REF!</f>
        <v>#REF!</v>
      </c>
      <c r="AA54" s="248"/>
      <c r="AB54" s="248"/>
      <c r="AC54" s="248"/>
      <c r="AD54" s="248"/>
      <c r="AE54" s="248"/>
      <c r="AG54" s="48">
        <v>21</v>
      </c>
      <c r="AH54" s="195">
        <f ca="1">'JUSTIFICATIVA DE USINA'!O23</f>
        <v>-158.75000000000003</v>
      </c>
      <c r="AI54" s="195"/>
      <c r="AJ54" s="248" t="str">
        <f>'JUSTIFICATIVA DE USINA'!P23</f>
        <v>Principal impacto: - REP03/05: Falta de área de estocagem no pátio M;</v>
      </c>
      <c r="AK54" s="248"/>
      <c r="AL54" s="248"/>
      <c r="AM54" s="248"/>
      <c r="AN54" s="248"/>
      <c r="AO54" s="248"/>
      <c r="AP54" s="49"/>
    </row>
    <row r="55" spans="2:42" s="46" customFormat="1" ht="75" customHeight="1">
      <c r="B55" s="47"/>
      <c r="C55" s="48">
        <v>22</v>
      </c>
      <c r="D55" s="195">
        <f ca="1">'JUSTIFICATIVA DE USINA'!C24</f>
        <v>1198.9995822735309</v>
      </c>
      <c r="E55" s="195"/>
      <c r="F55" s="248">
        <f>'JUSTIFICATIVA DE USINA'!D24</f>
        <v>0</v>
      </c>
      <c r="G55" s="248"/>
      <c r="H55" s="248"/>
      <c r="I55" s="248"/>
      <c r="J55" s="248"/>
      <c r="K55" s="248"/>
      <c r="M55" s="48">
        <v>22</v>
      </c>
      <c r="N55" s="195">
        <f ca="1">'JUSTIFICATIVA DE USINA'!G24</f>
        <v>-1154.08</v>
      </c>
      <c r="O55" s="195"/>
      <c r="P55" s="248" t="str">
        <f>'JUSTIFICATIVA DE USINA'!H24</f>
        <v>Principal impacto: TR 3011-19/Bloco B parado devido vazamento no chute</v>
      </c>
      <c r="Q55" s="248"/>
      <c r="R55" s="248"/>
      <c r="S55" s="248"/>
      <c r="T55" s="248"/>
      <c r="U55" s="248"/>
      <c r="W55" s="48">
        <v>22</v>
      </c>
      <c r="X55" s="195">
        <f ca="1">'JUSTIFICATIVA DE USINA'!K24</f>
        <v>632.23960000000011</v>
      </c>
      <c r="Y55" s="195"/>
      <c r="Z55" s="248">
        <f>'JUSTIFICATIVA DE USINA'!L24</f>
        <v>0</v>
      </c>
      <c r="AA55" s="248"/>
      <c r="AB55" s="248"/>
      <c r="AC55" s="248"/>
      <c r="AD55" s="248"/>
      <c r="AE55" s="248"/>
      <c r="AG55" s="48">
        <v>22</v>
      </c>
      <c r="AH55" s="195">
        <f ca="1">'JUSTIFICATIVA DE USINA'!O24</f>
        <v>-158.75000000000003</v>
      </c>
      <c r="AI55" s="195"/>
      <c r="AJ55" s="248" t="str">
        <f>'JUSTIFICATIVA DE USINA'!P24</f>
        <v>Principal impacto: - REP03/05: Falta de área de estocagem no pátio M;</v>
      </c>
      <c r="AK55" s="248"/>
      <c r="AL55" s="248"/>
      <c r="AM55" s="248"/>
      <c r="AN55" s="248"/>
      <c r="AO55" s="248"/>
      <c r="AP55" s="49"/>
    </row>
    <row r="56" spans="2:42" s="46" customFormat="1" ht="75" customHeight="1">
      <c r="B56" s="47"/>
      <c r="C56" s="48">
        <v>23</v>
      </c>
      <c r="D56" s="195">
        <f ca="1">'JUSTIFICATIVA DE USINA'!C25</f>
        <v>1579.2323738623145</v>
      </c>
      <c r="E56" s="195"/>
      <c r="F56" s="248">
        <f>'JUSTIFICATIVA DE USINA'!D25</f>
        <v>0</v>
      </c>
      <c r="G56" s="248"/>
      <c r="H56" s="248"/>
      <c r="I56" s="248"/>
      <c r="J56" s="248"/>
      <c r="K56" s="248"/>
      <c r="M56" s="48">
        <v>23</v>
      </c>
      <c r="N56" s="195">
        <f ca="1">'JUSTIFICATIVA DE USINA'!G25</f>
        <v>-2273.08</v>
      </c>
      <c r="O56" s="195"/>
      <c r="P56" s="248" t="str">
        <f>'JUSTIFICATIVA DE USINA'!H25</f>
        <v xml:space="preserve">Principal impacto:  Classificação baixa produtividade  DF de britadores, </v>
      </c>
      <c r="Q56" s="248"/>
      <c r="R56" s="248"/>
      <c r="S56" s="248"/>
      <c r="T56" s="248"/>
      <c r="U56" s="248"/>
      <c r="W56" s="48">
        <v>23</v>
      </c>
      <c r="X56" s="195">
        <f ca="1">'JUSTIFICATIVA DE USINA'!K25</f>
        <v>1.0547999999998865</v>
      </c>
      <c r="Y56" s="195"/>
      <c r="Z56" s="248">
        <f>'JUSTIFICATIVA DE USINA'!L25</f>
        <v>0</v>
      </c>
      <c r="AA56" s="248"/>
      <c r="AB56" s="248"/>
      <c r="AC56" s="248"/>
      <c r="AD56" s="248"/>
      <c r="AE56" s="248"/>
      <c r="AG56" s="48">
        <v>23</v>
      </c>
      <c r="AH56" s="195">
        <f ca="1">'JUSTIFICATIVA DE USINA'!O25</f>
        <v>-158.75000000000003</v>
      </c>
      <c r="AI56" s="195"/>
      <c r="AJ56" s="248" t="str">
        <f>'JUSTIFICATIVA DE USINA'!P25</f>
        <v>Principal impacto: - REP03/05: Falta de área de estocagem no pátio M;</v>
      </c>
      <c r="AK56" s="248"/>
      <c r="AL56" s="248"/>
      <c r="AM56" s="248"/>
      <c r="AN56" s="248"/>
      <c r="AO56" s="248"/>
      <c r="AP56" s="49"/>
    </row>
    <row r="57" spans="2:42" s="46" customFormat="1" ht="75" customHeight="1">
      <c r="B57" s="47"/>
      <c r="C57" s="48">
        <v>24</v>
      </c>
      <c r="D57" s="195">
        <f ca="1">'JUSTIFICATIVA DE USINA'!C26</f>
        <v>-569.67877948543173</v>
      </c>
      <c r="E57" s="195"/>
      <c r="F57" s="248" t="str">
        <f>'JUSTIFICATIVA DE USINA'!D26</f>
        <v xml:space="preserve">Principal impacto:  TR 151-25 desalinhamento da correia </v>
      </c>
      <c r="G57" s="248"/>
      <c r="H57" s="248"/>
      <c r="I57" s="248"/>
      <c r="J57" s="248"/>
      <c r="K57" s="248"/>
      <c r="M57" s="48">
        <v>24</v>
      </c>
      <c r="N57" s="195">
        <f ca="1">'JUSTIFICATIVA DE USINA'!G26</f>
        <v>-2140.4800000000005</v>
      </c>
      <c r="O57" s="195"/>
      <c r="P57" s="248" t="str">
        <f>'JUSTIFICATIVA DE USINA'!H26</f>
        <v xml:space="preserve">Principal impacto:  Classificação baixa produtividade  DF de britadores, </v>
      </c>
      <c r="Q57" s="248"/>
      <c r="R57" s="248"/>
      <c r="S57" s="248"/>
      <c r="T57" s="248"/>
      <c r="U57" s="248"/>
      <c r="W57" s="48">
        <v>24</v>
      </c>
      <c r="X57" s="195">
        <f ca="1">'JUSTIFICATIVA DE USINA'!K26</f>
        <v>-96.051600000000008</v>
      </c>
      <c r="Y57" s="195"/>
      <c r="Z57" s="248" t="str">
        <f>'JUSTIFICATIVA DE USINA'!L26</f>
        <v xml:space="preserve">Principal impacto:  TR 151-25 desalinhamento da correia </v>
      </c>
      <c r="AA57" s="248"/>
      <c r="AB57" s="248"/>
      <c r="AC57" s="248"/>
      <c r="AD57" s="248"/>
      <c r="AE57" s="248"/>
      <c r="AG57" s="48">
        <v>24</v>
      </c>
      <c r="AH57" s="195">
        <f ca="1">'JUSTIFICATIVA DE USINA'!O26</f>
        <v>-158.75000000000003</v>
      </c>
      <c r="AI57" s="195"/>
      <c r="AJ57" s="248" t="str">
        <f>'JUSTIFICATIVA DE USINA'!P26</f>
        <v>Principal impacto: - REP03/05: Falta de área de estocagem no pátio M;</v>
      </c>
      <c r="AK57" s="248"/>
      <c r="AL57" s="248"/>
      <c r="AM57" s="248"/>
      <c r="AN57" s="248"/>
      <c r="AO57" s="248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04" t="s">
        <v>1</v>
      </c>
      <c r="AB93" s="205"/>
      <c r="AC93" s="205"/>
      <c r="AD93" s="205"/>
      <c r="AE93" s="205"/>
      <c r="AF93" s="205"/>
      <c r="AG93" s="205"/>
      <c r="AH93" s="205"/>
      <c r="AI93" s="205"/>
      <c r="AJ93" s="205"/>
      <c r="AK93" s="205"/>
      <c r="AL93" s="205"/>
      <c r="AM93" s="205"/>
      <c r="AN93" s="205"/>
      <c r="AO93" s="206"/>
      <c r="AP93" s="24"/>
    </row>
    <row r="94" spans="2:42" ht="19.899999999999999" customHeight="1">
      <c r="B94" s="23"/>
      <c r="AA94" s="207"/>
      <c r="AB94" s="208"/>
      <c r="AC94" s="208"/>
      <c r="AD94" s="208"/>
      <c r="AE94" s="208"/>
      <c r="AF94" s="208"/>
      <c r="AG94" s="208"/>
      <c r="AH94" s="208"/>
      <c r="AI94" s="208"/>
      <c r="AJ94" s="208"/>
      <c r="AK94" s="208"/>
      <c r="AL94" s="208"/>
      <c r="AM94" s="208"/>
      <c r="AN94" s="208"/>
      <c r="AO94" s="209"/>
      <c r="AP94" s="24"/>
    </row>
    <row r="95" spans="2:42" ht="19.899999999999999" customHeight="1">
      <c r="B95" s="23"/>
      <c r="AA95" s="198" t="str">
        <f>'JUSTIFICATIVA DE USINA'!$Z$3</f>
        <v xml:space="preserve">-Aderente ao programa:
Impactos:
Ponto de atenção:*
Nota:
Programação de massa da BSM3 realizado as 04:00h
</v>
      </c>
      <c r="AB95" s="199"/>
      <c r="AC95" s="199"/>
      <c r="AD95" s="199"/>
      <c r="AE95" s="199"/>
      <c r="AF95" s="199"/>
      <c r="AG95" s="199"/>
      <c r="AH95" s="199"/>
      <c r="AI95" s="199"/>
      <c r="AJ95" s="199"/>
      <c r="AK95" s="199"/>
      <c r="AL95" s="199"/>
      <c r="AM95" s="199"/>
      <c r="AN95" s="199"/>
      <c r="AO95" s="200"/>
      <c r="AP95" s="24"/>
    </row>
    <row r="96" spans="2:42" ht="19.899999999999999" customHeight="1">
      <c r="B96" s="23"/>
      <c r="AA96" s="198"/>
      <c r="AB96" s="199"/>
      <c r="AC96" s="199"/>
      <c r="AD96" s="199"/>
      <c r="AE96" s="199"/>
      <c r="AF96" s="199"/>
      <c r="AG96" s="199"/>
      <c r="AH96" s="199"/>
      <c r="AI96" s="199"/>
      <c r="AJ96" s="199"/>
      <c r="AK96" s="199"/>
      <c r="AL96" s="199"/>
      <c r="AM96" s="199"/>
      <c r="AN96" s="199"/>
      <c r="AO96" s="200"/>
      <c r="AP96" s="24"/>
    </row>
    <row r="97" spans="2:42" ht="19.899999999999999" customHeight="1">
      <c r="B97" s="23"/>
      <c r="AA97" s="198"/>
      <c r="AB97" s="199"/>
      <c r="AC97" s="199"/>
      <c r="AD97" s="199"/>
      <c r="AE97" s="199"/>
      <c r="AF97" s="199"/>
      <c r="AG97" s="199"/>
      <c r="AH97" s="199"/>
      <c r="AI97" s="199"/>
      <c r="AJ97" s="199"/>
      <c r="AK97" s="199"/>
      <c r="AL97" s="199"/>
      <c r="AM97" s="199"/>
      <c r="AN97" s="199"/>
      <c r="AO97" s="200"/>
      <c r="AP97" s="24"/>
    </row>
    <row r="98" spans="2:42" ht="19.899999999999999" customHeight="1">
      <c r="B98" s="23"/>
      <c r="AA98" s="198"/>
      <c r="AB98" s="199"/>
      <c r="AC98" s="199"/>
      <c r="AD98" s="199"/>
      <c r="AE98" s="199"/>
      <c r="AF98" s="199"/>
      <c r="AG98" s="199"/>
      <c r="AH98" s="199"/>
      <c r="AI98" s="199"/>
      <c r="AJ98" s="199"/>
      <c r="AK98" s="199"/>
      <c r="AL98" s="199"/>
      <c r="AM98" s="199"/>
      <c r="AN98" s="199"/>
      <c r="AO98" s="200"/>
      <c r="AP98" s="24"/>
    </row>
    <row r="99" spans="2:42" ht="19.899999999999999" customHeight="1">
      <c r="B99" s="23"/>
      <c r="AA99" s="198"/>
      <c r="AB99" s="199"/>
      <c r="AC99" s="199"/>
      <c r="AD99" s="199"/>
      <c r="AE99" s="199"/>
      <c r="AF99" s="199"/>
      <c r="AG99" s="199"/>
      <c r="AH99" s="199"/>
      <c r="AI99" s="199"/>
      <c r="AJ99" s="199"/>
      <c r="AK99" s="199"/>
      <c r="AL99" s="199"/>
      <c r="AM99" s="199"/>
      <c r="AN99" s="199"/>
      <c r="AO99" s="200"/>
      <c r="AP99" s="24"/>
    </row>
    <row r="100" spans="2:42" ht="19.899999999999999" customHeight="1">
      <c r="B100" s="23"/>
      <c r="AA100" s="198"/>
      <c r="AB100" s="199"/>
      <c r="AC100" s="199"/>
      <c r="AD100" s="199"/>
      <c r="AE100" s="199"/>
      <c r="AF100" s="199"/>
      <c r="AG100" s="199"/>
      <c r="AH100" s="199"/>
      <c r="AI100" s="199"/>
      <c r="AJ100" s="199"/>
      <c r="AK100" s="199"/>
      <c r="AL100" s="199"/>
      <c r="AM100" s="199"/>
      <c r="AN100" s="199"/>
      <c r="AO100" s="200"/>
      <c r="AP100" s="24"/>
    </row>
    <row r="101" spans="2:42" ht="19.899999999999999" customHeight="1">
      <c r="B101" s="23"/>
      <c r="AA101" s="198"/>
      <c r="AB101" s="199"/>
      <c r="AC101" s="199"/>
      <c r="AD101" s="199"/>
      <c r="AE101" s="199"/>
      <c r="AF101" s="199"/>
      <c r="AG101" s="199"/>
      <c r="AH101" s="199"/>
      <c r="AI101" s="199"/>
      <c r="AJ101" s="199"/>
      <c r="AK101" s="199"/>
      <c r="AL101" s="199"/>
      <c r="AM101" s="199"/>
      <c r="AN101" s="199"/>
      <c r="AO101" s="200"/>
      <c r="AP101" s="24"/>
    </row>
    <row r="102" spans="2:42" ht="19.899999999999999" customHeight="1">
      <c r="B102" s="23"/>
      <c r="AA102" s="198"/>
      <c r="AB102" s="199"/>
      <c r="AC102" s="199"/>
      <c r="AD102" s="199"/>
      <c r="AE102" s="199"/>
      <c r="AF102" s="199"/>
      <c r="AG102" s="199"/>
      <c r="AH102" s="199"/>
      <c r="AI102" s="199"/>
      <c r="AJ102" s="199"/>
      <c r="AK102" s="199"/>
      <c r="AL102" s="199"/>
      <c r="AM102" s="199"/>
      <c r="AN102" s="199"/>
      <c r="AO102" s="200"/>
      <c r="AP102" s="24"/>
    </row>
    <row r="103" spans="2:42" ht="19.899999999999999" customHeight="1">
      <c r="B103" s="23"/>
      <c r="AA103" s="198"/>
      <c r="AB103" s="199"/>
      <c r="AC103" s="199"/>
      <c r="AD103" s="199"/>
      <c r="AE103" s="199"/>
      <c r="AF103" s="199"/>
      <c r="AG103" s="199"/>
      <c r="AH103" s="199"/>
      <c r="AI103" s="199"/>
      <c r="AJ103" s="199"/>
      <c r="AK103" s="199"/>
      <c r="AL103" s="199"/>
      <c r="AM103" s="199"/>
      <c r="AN103" s="199"/>
      <c r="AO103" s="200"/>
      <c r="AP103" s="24"/>
    </row>
    <row r="104" spans="2:42" ht="19.899999999999999" customHeight="1">
      <c r="B104" s="23"/>
      <c r="AA104" s="198"/>
      <c r="AB104" s="199"/>
      <c r="AC104" s="199"/>
      <c r="AD104" s="199"/>
      <c r="AE104" s="199"/>
      <c r="AF104" s="199"/>
      <c r="AG104" s="199"/>
      <c r="AH104" s="199"/>
      <c r="AI104" s="199"/>
      <c r="AJ104" s="199"/>
      <c r="AK104" s="199"/>
      <c r="AL104" s="199"/>
      <c r="AM104" s="199"/>
      <c r="AN104" s="199"/>
      <c r="AO104" s="200"/>
      <c r="AP104" s="24"/>
    </row>
    <row r="105" spans="2:42" ht="19.899999999999999" customHeight="1">
      <c r="B105" s="23"/>
      <c r="AA105" s="198"/>
      <c r="AB105" s="199"/>
      <c r="AC105" s="199"/>
      <c r="AD105" s="199"/>
      <c r="AE105" s="199"/>
      <c r="AF105" s="199"/>
      <c r="AG105" s="199"/>
      <c r="AH105" s="199"/>
      <c r="AI105" s="199"/>
      <c r="AJ105" s="199"/>
      <c r="AK105" s="199"/>
      <c r="AL105" s="199"/>
      <c r="AM105" s="199"/>
      <c r="AN105" s="199"/>
      <c r="AO105" s="200"/>
      <c r="AP105" s="24"/>
    </row>
    <row r="106" spans="2:42" ht="19.899999999999999" customHeight="1">
      <c r="B106" s="23"/>
      <c r="AA106" s="198"/>
      <c r="AB106" s="199"/>
      <c r="AC106" s="199"/>
      <c r="AD106" s="199"/>
      <c r="AE106" s="199"/>
      <c r="AF106" s="199"/>
      <c r="AG106" s="199"/>
      <c r="AH106" s="199"/>
      <c r="AI106" s="199"/>
      <c r="AJ106" s="199"/>
      <c r="AK106" s="199"/>
      <c r="AL106" s="199"/>
      <c r="AM106" s="199"/>
      <c r="AN106" s="199"/>
      <c r="AO106" s="200"/>
      <c r="AP106" s="24"/>
    </row>
    <row r="107" spans="2:42" ht="19.899999999999999" customHeight="1">
      <c r="B107" s="23"/>
      <c r="AA107" s="198"/>
      <c r="AB107" s="199"/>
      <c r="AC107" s="199"/>
      <c r="AD107" s="199"/>
      <c r="AE107" s="199"/>
      <c r="AF107" s="199"/>
      <c r="AG107" s="199"/>
      <c r="AH107" s="199"/>
      <c r="AI107" s="199"/>
      <c r="AJ107" s="199"/>
      <c r="AK107" s="199"/>
      <c r="AL107" s="199"/>
      <c r="AM107" s="199"/>
      <c r="AN107" s="199"/>
      <c r="AO107" s="200"/>
      <c r="AP107" s="24"/>
    </row>
    <row r="108" spans="2:42" ht="19.899999999999999" customHeight="1" thickBot="1">
      <c r="B108" s="23"/>
      <c r="AA108" s="201"/>
      <c r="AB108" s="202"/>
      <c r="AC108" s="202"/>
      <c r="AD108" s="202"/>
      <c r="AE108" s="202"/>
      <c r="AF108" s="202"/>
      <c r="AG108" s="202"/>
      <c r="AH108" s="202"/>
      <c r="AI108" s="202"/>
      <c r="AJ108" s="202"/>
      <c r="AK108" s="202"/>
      <c r="AL108" s="202"/>
      <c r="AM108" s="202"/>
      <c r="AN108" s="202"/>
      <c r="AO108" s="203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19.899999999999999" customHeight="1">
      <c r="B111" s="23"/>
      <c r="AA111" s="204" t="s">
        <v>2</v>
      </c>
      <c r="AB111" s="205"/>
      <c r="AC111" s="205"/>
      <c r="AD111" s="205"/>
      <c r="AE111" s="205"/>
      <c r="AF111" s="205"/>
      <c r="AG111" s="205"/>
      <c r="AH111" s="205"/>
      <c r="AI111" s="205"/>
      <c r="AJ111" s="205"/>
      <c r="AK111" s="205"/>
      <c r="AL111" s="205"/>
      <c r="AM111" s="205"/>
      <c r="AN111" s="205"/>
      <c r="AO111" s="206"/>
      <c r="AP111" s="24"/>
    </row>
    <row r="112" spans="2:42" ht="19.899999999999999" customHeight="1">
      <c r="B112" s="23"/>
      <c r="AA112" s="207"/>
      <c r="AB112" s="208"/>
      <c r="AC112" s="208"/>
      <c r="AD112" s="208"/>
      <c r="AE112" s="208"/>
      <c r="AF112" s="208"/>
      <c r="AG112" s="208"/>
      <c r="AH112" s="208"/>
      <c r="AI112" s="208"/>
      <c r="AJ112" s="208"/>
      <c r="AK112" s="208"/>
      <c r="AL112" s="208"/>
      <c r="AM112" s="208"/>
      <c r="AN112" s="208"/>
      <c r="AO112" s="209"/>
      <c r="AP112" s="24"/>
    </row>
    <row r="113" spans="2:42" ht="19.899999999999999" customHeight="1">
      <c r="B113" s="23"/>
      <c r="AA113" s="198" t="str">
        <f>'JUSTIFICATIVA DE USINA'!$AL$3</f>
        <v xml:space="preserve">- Abaixo do programa:
Impactos:
-  Classificação e DF de britadores, estamos produzindo o FASN (alta sílica) de 00:00 ás 15:00
- TR 3011-18 parando por chave de desalinhamento, dificultando o processo de zerar os silos,  de 00:00 ás 03:00
- BSM05: falta de alimentação devido DF de retro e moega cheia de material de 12:00 às 15:00
- TR 3011-19/Bloco B parado devido vazamento no chute, de  18:00 às 21:15 
Pontos de atenção:
- TR 3030-02- Desgaste no trilho (vigente);
 </v>
      </c>
      <c r="AB113" s="199"/>
      <c r="AC113" s="199"/>
      <c r="AD113" s="199"/>
      <c r="AE113" s="199"/>
      <c r="AF113" s="199"/>
      <c r="AG113" s="199"/>
      <c r="AH113" s="199"/>
      <c r="AI113" s="199"/>
      <c r="AJ113" s="199"/>
      <c r="AK113" s="199"/>
      <c r="AL113" s="199"/>
      <c r="AM113" s="199"/>
      <c r="AN113" s="199"/>
      <c r="AO113" s="200"/>
      <c r="AP113" s="24"/>
    </row>
    <row r="114" spans="2:42" ht="19.899999999999999" customHeight="1">
      <c r="B114" s="23"/>
      <c r="AA114" s="198"/>
      <c r="AB114" s="199"/>
      <c r="AC114" s="199"/>
      <c r="AD114" s="199"/>
      <c r="AE114" s="199"/>
      <c r="AF114" s="199"/>
      <c r="AG114" s="199"/>
      <c r="AH114" s="199"/>
      <c r="AI114" s="199"/>
      <c r="AJ114" s="199"/>
      <c r="AK114" s="199"/>
      <c r="AL114" s="199"/>
      <c r="AM114" s="199"/>
      <c r="AN114" s="199"/>
      <c r="AO114" s="200"/>
      <c r="AP114" s="24"/>
    </row>
    <row r="115" spans="2:42" ht="19.899999999999999" customHeight="1">
      <c r="B115" s="23"/>
      <c r="AA115" s="198"/>
      <c r="AB115" s="199"/>
      <c r="AC115" s="199"/>
      <c r="AD115" s="199"/>
      <c r="AE115" s="199"/>
      <c r="AF115" s="199"/>
      <c r="AG115" s="199"/>
      <c r="AH115" s="199"/>
      <c r="AI115" s="199"/>
      <c r="AJ115" s="199"/>
      <c r="AK115" s="199"/>
      <c r="AL115" s="199"/>
      <c r="AM115" s="199"/>
      <c r="AN115" s="199"/>
      <c r="AO115" s="200"/>
      <c r="AP115" s="24"/>
    </row>
    <row r="116" spans="2:42" ht="19.899999999999999" customHeight="1">
      <c r="B116" s="23"/>
      <c r="AA116" s="198"/>
      <c r="AB116" s="199"/>
      <c r="AC116" s="199"/>
      <c r="AD116" s="199"/>
      <c r="AE116" s="199"/>
      <c r="AF116" s="199"/>
      <c r="AG116" s="199"/>
      <c r="AH116" s="199"/>
      <c r="AI116" s="199"/>
      <c r="AJ116" s="199"/>
      <c r="AK116" s="199"/>
      <c r="AL116" s="199"/>
      <c r="AM116" s="199"/>
      <c r="AN116" s="199"/>
      <c r="AO116" s="200"/>
      <c r="AP116" s="24"/>
    </row>
    <row r="117" spans="2:42" ht="19.899999999999999" customHeight="1">
      <c r="B117" s="23"/>
      <c r="AA117" s="198"/>
      <c r="AB117" s="199"/>
      <c r="AC117" s="199"/>
      <c r="AD117" s="199"/>
      <c r="AE117" s="199"/>
      <c r="AF117" s="199"/>
      <c r="AG117" s="199"/>
      <c r="AH117" s="199"/>
      <c r="AI117" s="199"/>
      <c r="AJ117" s="199"/>
      <c r="AK117" s="199"/>
      <c r="AL117" s="199"/>
      <c r="AM117" s="199"/>
      <c r="AN117" s="199"/>
      <c r="AO117" s="200"/>
      <c r="AP117" s="24"/>
    </row>
    <row r="118" spans="2:42" ht="19.899999999999999" customHeight="1">
      <c r="B118" s="23"/>
      <c r="AA118" s="198"/>
      <c r="AB118" s="199"/>
      <c r="AC118" s="199"/>
      <c r="AD118" s="199"/>
      <c r="AE118" s="199"/>
      <c r="AF118" s="199"/>
      <c r="AG118" s="199"/>
      <c r="AH118" s="199"/>
      <c r="AI118" s="199"/>
      <c r="AJ118" s="199"/>
      <c r="AK118" s="199"/>
      <c r="AL118" s="199"/>
      <c r="AM118" s="199"/>
      <c r="AN118" s="199"/>
      <c r="AO118" s="200"/>
      <c r="AP118" s="24"/>
    </row>
    <row r="119" spans="2:42" ht="19.899999999999999" customHeight="1">
      <c r="B119" s="23"/>
      <c r="AA119" s="198"/>
      <c r="AB119" s="199"/>
      <c r="AC119" s="199"/>
      <c r="AD119" s="199"/>
      <c r="AE119" s="199"/>
      <c r="AF119" s="199"/>
      <c r="AG119" s="199"/>
      <c r="AH119" s="199"/>
      <c r="AI119" s="199"/>
      <c r="AJ119" s="199"/>
      <c r="AK119" s="199"/>
      <c r="AL119" s="199"/>
      <c r="AM119" s="199"/>
      <c r="AN119" s="199"/>
      <c r="AO119" s="200"/>
      <c r="AP119" s="24"/>
    </row>
    <row r="120" spans="2:42" ht="19.899999999999999" customHeight="1">
      <c r="B120" s="23"/>
      <c r="AA120" s="198"/>
      <c r="AB120" s="199"/>
      <c r="AC120" s="199"/>
      <c r="AD120" s="199"/>
      <c r="AE120" s="199"/>
      <c r="AF120" s="199"/>
      <c r="AG120" s="199"/>
      <c r="AH120" s="199"/>
      <c r="AI120" s="199"/>
      <c r="AJ120" s="199"/>
      <c r="AK120" s="199"/>
      <c r="AL120" s="199"/>
      <c r="AM120" s="199"/>
      <c r="AN120" s="199"/>
      <c r="AO120" s="200"/>
      <c r="AP120" s="24"/>
    </row>
    <row r="121" spans="2:42" ht="19.899999999999999" customHeight="1">
      <c r="B121" s="23"/>
      <c r="AA121" s="198"/>
      <c r="AB121" s="199"/>
      <c r="AC121" s="199"/>
      <c r="AD121" s="199"/>
      <c r="AE121" s="199"/>
      <c r="AF121" s="199"/>
      <c r="AG121" s="199"/>
      <c r="AH121" s="199"/>
      <c r="AI121" s="199"/>
      <c r="AJ121" s="199"/>
      <c r="AK121" s="199"/>
      <c r="AL121" s="199"/>
      <c r="AM121" s="199"/>
      <c r="AN121" s="199"/>
      <c r="AO121" s="200"/>
      <c r="AP121" s="24"/>
    </row>
    <row r="122" spans="2:42" ht="19.899999999999999" customHeight="1">
      <c r="B122" s="23"/>
      <c r="AA122" s="198"/>
      <c r="AB122" s="199"/>
      <c r="AC122" s="199"/>
      <c r="AD122" s="199"/>
      <c r="AE122" s="199"/>
      <c r="AF122" s="199"/>
      <c r="AG122" s="199"/>
      <c r="AH122" s="199"/>
      <c r="AI122" s="199"/>
      <c r="AJ122" s="199"/>
      <c r="AK122" s="199"/>
      <c r="AL122" s="199"/>
      <c r="AM122" s="199"/>
      <c r="AN122" s="199"/>
      <c r="AO122" s="200"/>
      <c r="AP122" s="24"/>
    </row>
    <row r="123" spans="2:42" ht="19.899999999999999" customHeight="1">
      <c r="B123" s="23"/>
      <c r="AA123" s="198"/>
      <c r="AB123" s="199"/>
      <c r="AC123" s="199"/>
      <c r="AD123" s="199"/>
      <c r="AE123" s="199"/>
      <c r="AF123" s="199"/>
      <c r="AG123" s="199"/>
      <c r="AH123" s="199"/>
      <c r="AI123" s="199"/>
      <c r="AJ123" s="199"/>
      <c r="AK123" s="199"/>
      <c r="AL123" s="199"/>
      <c r="AM123" s="199"/>
      <c r="AN123" s="199"/>
      <c r="AO123" s="200"/>
      <c r="AP123" s="24"/>
    </row>
    <row r="124" spans="2:42" ht="19.899999999999999" customHeight="1">
      <c r="B124" s="23"/>
      <c r="AA124" s="198"/>
      <c r="AB124" s="199"/>
      <c r="AC124" s="199"/>
      <c r="AD124" s="199"/>
      <c r="AE124" s="199"/>
      <c r="AF124" s="199"/>
      <c r="AG124" s="199"/>
      <c r="AH124" s="199"/>
      <c r="AI124" s="199"/>
      <c r="AJ124" s="199"/>
      <c r="AK124" s="199"/>
      <c r="AL124" s="199"/>
      <c r="AM124" s="199"/>
      <c r="AN124" s="199"/>
      <c r="AO124" s="200"/>
      <c r="AP124" s="24"/>
    </row>
    <row r="125" spans="2:42" ht="19.899999999999999" customHeight="1">
      <c r="B125" s="23"/>
      <c r="AA125" s="198"/>
      <c r="AB125" s="199"/>
      <c r="AC125" s="199"/>
      <c r="AD125" s="199"/>
      <c r="AE125" s="199"/>
      <c r="AF125" s="199"/>
      <c r="AG125" s="199"/>
      <c r="AH125" s="199"/>
      <c r="AI125" s="199"/>
      <c r="AJ125" s="199"/>
      <c r="AK125" s="199"/>
      <c r="AL125" s="199"/>
      <c r="AM125" s="199"/>
      <c r="AN125" s="199"/>
      <c r="AO125" s="200"/>
      <c r="AP125" s="24"/>
    </row>
    <row r="126" spans="2:42" ht="19.899999999999999" customHeight="1" thickBot="1">
      <c r="B126" s="23"/>
      <c r="AA126" s="201"/>
      <c r="AB126" s="202"/>
      <c r="AC126" s="202"/>
      <c r="AD126" s="202"/>
      <c r="AE126" s="202"/>
      <c r="AF126" s="202"/>
      <c r="AG126" s="202"/>
      <c r="AH126" s="202"/>
      <c r="AI126" s="202"/>
      <c r="AJ126" s="202"/>
      <c r="AK126" s="202"/>
      <c r="AL126" s="202"/>
      <c r="AM126" s="202"/>
      <c r="AN126" s="202"/>
      <c r="AO126" s="203"/>
      <c r="AP126" s="24"/>
    </row>
    <row r="127" spans="2:42" ht="16.5" customHeight="1">
      <c r="B127" s="23"/>
      <c r="AP127" s="24"/>
    </row>
    <row r="128" spans="2:42" ht="16.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04" t="s">
        <v>3</v>
      </c>
      <c r="AB129" s="205"/>
      <c r="AC129" s="205"/>
      <c r="AD129" s="205"/>
      <c r="AE129" s="205"/>
      <c r="AF129" s="205"/>
      <c r="AG129" s="205"/>
      <c r="AH129" s="205"/>
      <c r="AI129" s="205"/>
      <c r="AJ129" s="205"/>
      <c r="AK129" s="205"/>
      <c r="AL129" s="205"/>
      <c r="AM129" s="205"/>
      <c r="AN129" s="205"/>
      <c r="AO129" s="206"/>
      <c r="AP129" s="24"/>
    </row>
    <row r="130" spans="2:42" ht="19.899999999999999" customHeight="1">
      <c r="B130" s="23"/>
      <c r="AA130" s="207"/>
      <c r="AB130" s="208"/>
      <c r="AC130" s="208"/>
      <c r="AD130" s="208"/>
      <c r="AE130" s="208"/>
      <c r="AF130" s="208"/>
      <c r="AG130" s="208"/>
      <c r="AH130" s="208"/>
      <c r="AI130" s="208"/>
      <c r="AJ130" s="208"/>
      <c r="AK130" s="208"/>
      <c r="AL130" s="208"/>
      <c r="AM130" s="208"/>
      <c r="AN130" s="208"/>
      <c r="AO130" s="209"/>
      <c r="AP130" s="24"/>
    </row>
    <row r="131" spans="2:42" ht="19.899999999999999" customHeight="1">
      <c r="B131" s="23"/>
      <c r="AA131" s="198" t="str">
        <f>'JUSTIFICATIVA DE USINA'!$AX$3</f>
        <v xml:space="preserve">-Aderente ao programa:
Impactos:
</v>
      </c>
      <c r="AB131" s="199"/>
      <c r="AC131" s="199"/>
      <c r="AD131" s="199"/>
      <c r="AE131" s="199"/>
      <c r="AF131" s="199"/>
      <c r="AG131" s="199"/>
      <c r="AH131" s="199"/>
      <c r="AI131" s="199"/>
      <c r="AJ131" s="199"/>
      <c r="AK131" s="199"/>
      <c r="AL131" s="199"/>
      <c r="AM131" s="199"/>
      <c r="AN131" s="199"/>
      <c r="AO131" s="200"/>
      <c r="AP131" s="24"/>
    </row>
    <row r="132" spans="2:42" ht="19.899999999999999" customHeight="1">
      <c r="B132" s="23"/>
      <c r="AA132" s="198"/>
      <c r="AB132" s="199"/>
      <c r="AC132" s="199"/>
      <c r="AD132" s="199"/>
      <c r="AE132" s="199"/>
      <c r="AF132" s="199"/>
      <c r="AG132" s="199"/>
      <c r="AH132" s="199"/>
      <c r="AI132" s="199"/>
      <c r="AJ132" s="199"/>
      <c r="AK132" s="199"/>
      <c r="AL132" s="199"/>
      <c r="AM132" s="199"/>
      <c r="AN132" s="199"/>
      <c r="AO132" s="200"/>
      <c r="AP132" s="24"/>
    </row>
    <row r="133" spans="2:42" ht="19.899999999999999" customHeight="1">
      <c r="B133" s="23"/>
      <c r="AA133" s="198"/>
      <c r="AB133" s="199"/>
      <c r="AC133" s="199"/>
      <c r="AD133" s="199"/>
      <c r="AE133" s="199"/>
      <c r="AF133" s="199"/>
      <c r="AG133" s="199"/>
      <c r="AH133" s="199"/>
      <c r="AI133" s="199"/>
      <c r="AJ133" s="199"/>
      <c r="AK133" s="199"/>
      <c r="AL133" s="199"/>
      <c r="AM133" s="199"/>
      <c r="AN133" s="199"/>
      <c r="AO133" s="200"/>
      <c r="AP133" s="24"/>
    </row>
    <row r="134" spans="2:42" ht="19.899999999999999" customHeight="1">
      <c r="B134" s="23"/>
      <c r="AA134" s="198"/>
      <c r="AB134" s="199"/>
      <c r="AC134" s="199"/>
      <c r="AD134" s="199"/>
      <c r="AE134" s="199"/>
      <c r="AF134" s="199"/>
      <c r="AG134" s="199"/>
      <c r="AH134" s="199"/>
      <c r="AI134" s="199"/>
      <c r="AJ134" s="199"/>
      <c r="AK134" s="199"/>
      <c r="AL134" s="199"/>
      <c r="AM134" s="199"/>
      <c r="AN134" s="199"/>
      <c r="AO134" s="200"/>
      <c r="AP134" s="24"/>
    </row>
    <row r="135" spans="2:42" ht="19.899999999999999" customHeight="1">
      <c r="B135" s="23"/>
      <c r="AA135" s="198"/>
      <c r="AB135" s="199"/>
      <c r="AC135" s="199"/>
      <c r="AD135" s="199"/>
      <c r="AE135" s="199"/>
      <c r="AF135" s="199"/>
      <c r="AG135" s="199"/>
      <c r="AH135" s="199"/>
      <c r="AI135" s="199"/>
      <c r="AJ135" s="199"/>
      <c r="AK135" s="199"/>
      <c r="AL135" s="199"/>
      <c r="AM135" s="199"/>
      <c r="AN135" s="199"/>
      <c r="AO135" s="200"/>
      <c r="AP135" s="24"/>
    </row>
    <row r="136" spans="2:42" ht="19.899999999999999" customHeight="1">
      <c r="B136" s="23"/>
      <c r="AA136" s="198"/>
      <c r="AB136" s="199"/>
      <c r="AC136" s="199"/>
      <c r="AD136" s="199"/>
      <c r="AE136" s="199"/>
      <c r="AF136" s="199"/>
      <c r="AG136" s="199"/>
      <c r="AH136" s="199"/>
      <c r="AI136" s="199"/>
      <c r="AJ136" s="199"/>
      <c r="AK136" s="199"/>
      <c r="AL136" s="199"/>
      <c r="AM136" s="199"/>
      <c r="AN136" s="199"/>
      <c r="AO136" s="200"/>
      <c r="AP136" s="24"/>
    </row>
    <row r="137" spans="2:42" ht="19.899999999999999" customHeight="1">
      <c r="B137" s="23"/>
      <c r="AA137" s="198"/>
      <c r="AB137" s="199"/>
      <c r="AC137" s="199"/>
      <c r="AD137" s="199"/>
      <c r="AE137" s="199"/>
      <c r="AF137" s="199"/>
      <c r="AG137" s="199"/>
      <c r="AH137" s="199"/>
      <c r="AI137" s="199"/>
      <c r="AJ137" s="199"/>
      <c r="AK137" s="199"/>
      <c r="AL137" s="199"/>
      <c r="AM137" s="199"/>
      <c r="AN137" s="199"/>
      <c r="AO137" s="200"/>
      <c r="AP137" s="24"/>
    </row>
    <row r="138" spans="2:42" ht="19.899999999999999" customHeight="1">
      <c r="B138" s="23"/>
      <c r="AA138" s="198"/>
      <c r="AB138" s="199"/>
      <c r="AC138" s="199"/>
      <c r="AD138" s="199"/>
      <c r="AE138" s="199"/>
      <c r="AF138" s="199"/>
      <c r="AG138" s="199"/>
      <c r="AH138" s="199"/>
      <c r="AI138" s="199"/>
      <c r="AJ138" s="199"/>
      <c r="AK138" s="199"/>
      <c r="AL138" s="199"/>
      <c r="AM138" s="199"/>
      <c r="AN138" s="199"/>
      <c r="AO138" s="200"/>
      <c r="AP138" s="24"/>
    </row>
    <row r="139" spans="2:42" ht="19.899999999999999" customHeight="1">
      <c r="B139" s="23"/>
      <c r="AA139" s="198"/>
      <c r="AB139" s="199"/>
      <c r="AC139" s="199"/>
      <c r="AD139" s="199"/>
      <c r="AE139" s="199"/>
      <c r="AF139" s="199"/>
      <c r="AG139" s="199"/>
      <c r="AH139" s="199"/>
      <c r="AI139" s="199"/>
      <c r="AJ139" s="199"/>
      <c r="AK139" s="199"/>
      <c r="AL139" s="199"/>
      <c r="AM139" s="199"/>
      <c r="AN139" s="199"/>
      <c r="AO139" s="200"/>
      <c r="AP139" s="24"/>
    </row>
    <row r="140" spans="2:42" ht="19.899999999999999" customHeight="1">
      <c r="B140" s="23"/>
      <c r="AA140" s="198"/>
      <c r="AB140" s="199"/>
      <c r="AC140" s="199"/>
      <c r="AD140" s="199"/>
      <c r="AE140" s="199"/>
      <c r="AF140" s="199"/>
      <c r="AG140" s="199"/>
      <c r="AH140" s="199"/>
      <c r="AI140" s="199"/>
      <c r="AJ140" s="199"/>
      <c r="AK140" s="199"/>
      <c r="AL140" s="199"/>
      <c r="AM140" s="199"/>
      <c r="AN140" s="199"/>
      <c r="AO140" s="200"/>
      <c r="AP140" s="24"/>
    </row>
    <row r="141" spans="2:42" ht="19.899999999999999" customHeight="1">
      <c r="B141" s="23"/>
      <c r="AA141" s="198"/>
      <c r="AB141" s="199"/>
      <c r="AC141" s="199"/>
      <c r="AD141" s="199"/>
      <c r="AE141" s="199"/>
      <c r="AF141" s="199"/>
      <c r="AG141" s="199"/>
      <c r="AH141" s="199"/>
      <c r="AI141" s="199"/>
      <c r="AJ141" s="199"/>
      <c r="AK141" s="199"/>
      <c r="AL141" s="199"/>
      <c r="AM141" s="199"/>
      <c r="AN141" s="199"/>
      <c r="AO141" s="200"/>
      <c r="AP141" s="24"/>
    </row>
    <row r="142" spans="2:42" ht="19.899999999999999" customHeight="1">
      <c r="B142" s="23"/>
      <c r="AA142" s="198"/>
      <c r="AB142" s="199"/>
      <c r="AC142" s="199"/>
      <c r="AD142" s="199"/>
      <c r="AE142" s="199"/>
      <c r="AF142" s="199"/>
      <c r="AG142" s="199"/>
      <c r="AH142" s="199"/>
      <c r="AI142" s="199"/>
      <c r="AJ142" s="199"/>
      <c r="AK142" s="199"/>
      <c r="AL142" s="199"/>
      <c r="AM142" s="199"/>
      <c r="AN142" s="199"/>
      <c r="AO142" s="200"/>
      <c r="AP142" s="24"/>
    </row>
    <row r="143" spans="2:42" ht="19.899999999999999" customHeight="1">
      <c r="B143" s="23"/>
      <c r="AA143" s="198"/>
      <c r="AB143" s="199"/>
      <c r="AC143" s="199"/>
      <c r="AD143" s="199"/>
      <c r="AE143" s="199"/>
      <c r="AF143" s="199"/>
      <c r="AG143" s="199"/>
      <c r="AH143" s="199"/>
      <c r="AI143" s="199"/>
      <c r="AJ143" s="199"/>
      <c r="AK143" s="199"/>
      <c r="AL143" s="199"/>
      <c r="AM143" s="199"/>
      <c r="AN143" s="199"/>
      <c r="AO143" s="200"/>
      <c r="AP143" s="24"/>
    </row>
    <row r="144" spans="2:42" ht="19.899999999999999" customHeight="1" thickBot="1">
      <c r="B144" s="23"/>
      <c r="AA144" s="201"/>
      <c r="AB144" s="202"/>
      <c r="AC144" s="202"/>
      <c r="AD144" s="202"/>
      <c r="AE144" s="202"/>
      <c r="AF144" s="202"/>
      <c r="AG144" s="202"/>
      <c r="AH144" s="202"/>
      <c r="AI144" s="202"/>
      <c r="AJ144" s="202"/>
      <c r="AK144" s="202"/>
      <c r="AL144" s="202"/>
      <c r="AM144" s="202"/>
      <c r="AN144" s="202"/>
      <c r="AO144" s="203"/>
      <c r="AP144" s="24"/>
    </row>
    <row r="145" spans="2:42" ht="16.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16.5" customHeight="1" thickBot="1">
      <c r="B146" s="23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24"/>
    </row>
    <row r="147" spans="2:42" ht="19.899999999999999" customHeight="1">
      <c r="B147" s="23"/>
      <c r="AA147" s="204" t="s">
        <v>4</v>
      </c>
      <c r="AB147" s="205"/>
      <c r="AC147" s="205"/>
      <c r="AD147" s="205"/>
      <c r="AE147" s="205"/>
      <c r="AF147" s="205"/>
      <c r="AG147" s="205"/>
      <c r="AH147" s="205"/>
      <c r="AI147" s="205"/>
      <c r="AJ147" s="205"/>
      <c r="AK147" s="205"/>
      <c r="AL147" s="205"/>
      <c r="AM147" s="205"/>
      <c r="AN147" s="205"/>
      <c r="AO147" s="206"/>
      <c r="AP147" s="24"/>
    </row>
    <row r="148" spans="2:42" ht="19.899999999999999" customHeight="1">
      <c r="B148" s="23"/>
      <c r="AA148" s="207"/>
      <c r="AB148" s="208"/>
      <c r="AC148" s="208"/>
      <c r="AD148" s="208"/>
      <c r="AE148" s="208"/>
      <c r="AF148" s="208"/>
      <c r="AG148" s="208"/>
      <c r="AH148" s="208"/>
      <c r="AI148" s="208"/>
      <c r="AJ148" s="208"/>
      <c r="AK148" s="208"/>
      <c r="AL148" s="208"/>
      <c r="AM148" s="208"/>
      <c r="AN148" s="208"/>
      <c r="AO148" s="209"/>
      <c r="AP148" s="24"/>
    </row>
    <row r="149" spans="2:42" ht="19.899999999999999" customHeight="1">
      <c r="B149" s="23"/>
      <c r="AA149" s="198" t="str">
        <f>'JUSTIFICATIVA DE USINA'!$BJ$3</f>
        <v>-Abaixo do programa
Impactos:
- REP03/05: parados devido falta de área de estocagem no pátio M;</v>
      </c>
      <c r="AB149" s="199"/>
      <c r="AC149" s="199"/>
      <c r="AD149" s="199"/>
      <c r="AE149" s="199"/>
      <c r="AF149" s="199"/>
      <c r="AG149" s="199"/>
      <c r="AH149" s="199"/>
      <c r="AI149" s="199"/>
      <c r="AJ149" s="199"/>
      <c r="AK149" s="199"/>
      <c r="AL149" s="199"/>
      <c r="AM149" s="199"/>
      <c r="AN149" s="199"/>
      <c r="AO149" s="200"/>
      <c r="AP149" s="24"/>
    </row>
    <row r="150" spans="2:42" ht="19.899999999999999" customHeight="1">
      <c r="B150" s="23"/>
      <c r="AA150" s="198"/>
      <c r="AB150" s="199"/>
      <c r="AC150" s="199"/>
      <c r="AD150" s="199"/>
      <c r="AE150" s="199"/>
      <c r="AF150" s="199"/>
      <c r="AG150" s="199"/>
      <c r="AH150" s="199"/>
      <c r="AI150" s="199"/>
      <c r="AJ150" s="199"/>
      <c r="AK150" s="199"/>
      <c r="AL150" s="199"/>
      <c r="AM150" s="199"/>
      <c r="AN150" s="199"/>
      <c r="AO150" s="200"/>
      <c r="AP150" s="24"/>
    </row>
    <row r="151" spans="2:42" ht="19.899999999999999" customHeight="1">
      <c r="B151" s="23"/>
      <c r="AA151" s="198"/>
      <c r="AB151" s="199"/>
      <c r="AC151" s="199"/>
      <c r="AD151" s="199"/>
      <c r="AE151" s="199"/>
      <c r="AF151" s="199"/>
      <c r="AG151" s="199"/>
      <c r="AH151" s="199"/>
      <c r="AI151" s="199"/>
      <c r="AJ151" s="199"/>
      <c r="AK151" s="199"/>
      <c r="AL151" s="199"/>
      <c r="AM151" s="199"/>
      <c r="AN151" s="199"/>
      <c r="AO151" s="200"/>
      <c r="AP151" s="24"/>
    </row>
    <row r="152" spans="2:42" ht="19.899999999999999" customHeight="1">
      <c r="B152" s="23"/>
      <c r="AA152" s="198"/>
      <c r="AB152" s="199"/>
      <c r="AC152" s="199"/>
      <c r="AD152" s="199"/>
      <c r="AE152" s="199"/>
      <c r="AF152" s="199"/>
      <c r="AG152" s="199"/>
      <c r="AH152" s="199"/>
      <c r="AI152" s="199"/>
      <c r="AJ152" s="199"/>
      <c r="AK152" s="199"/>
      <c r="AL152" s="199"/>
      <c r="AM152" s="199"/>
      <c r="AN152" s="199"/>
      <c r="AO152" s="200"/>
      <c r="AP152" s="24"/>
    </row>
    <row r="153" spans="2:42" ht="19.899999999999999" customHeight="1">
      <c r="B153" s="23"/>
      <c r="AA153" s="198"/>
      <c r="AB153" s="199"/>
      <c r="AC153" s="199"/>
      <c r="AD153" s="199"/>
      <c r="AE153" s="199"/>
      <c r="AF153" s="199"/>
      <c r="AG153" s="199"/>
      <c r="AH153" s="199"/>
      <c r="AI153" s="199"/>
      <c r="AJ153" s="199"/>
      <c r="AK153" s="199"/>
      <c r="AL153" s="199"/>
      <c r="AM153" s="199"/>
      <c r="AN153" s="199"/>
      <c r="AO153" s="200"/>
      <c r="AP153" s="24"/>
    </row>
    <row r="154" spans="2:42" ht="19.899999999999999" customHeight="1">
      <c r="B154" s="23"/>
      <c r="AA154" s="198"/>
      <c r="AB154" s="199"/>
      <c r="AC154" s="199"/>
      <c r="AD154" s="199"/>
      <c r="AE154" s="199"/>
      <c r="AF154" s="199"/>
      <c r="AG154" s="199"/>
      <c r="AH154" s="199"/>
      <c r="AI154" s="199"/>
      <c r="AJ154" s="199"/>
      <c r="AK154" s="199"/>
      <c r="AL154" s="199"/>
      <c r="AM154" s="199"/>
      <c r="AN154" s="199"/>
      <c r="AO154" s="200"/>
      <c r="AP154" s="24"/>
    </row>
    <row r="155" spans="2:42" ht="19.899999999999999" customHeight="1">
      <c r="B155" s="23"/>
      <c r="AA155" s="198"/>
      <c r="AB155" s="199"/>
      <c r="AC155" s="199"/>
      <c r="AD155" s="199"/>
      <c r="AE155" s="199"/>
      <c r="AF155" s="199"/>
      <c r="AG155" s="199"/>
      <c r="AH155" s="199"/>
      <c r="AI155" s="199"/>
      <c r="AJ155" s="199"/>
      <c r="AK155" s="199"/>
      <c r="AL155" s="199"/>
      <c r="AM155" s="199"/>
      <c r="AN155" s="199"/>
      <c r="AO155" s="200"/>
      <c r="AP155" s="24"/>
    </row>
    <row r="156" spans="2:42" ht="19.899999999999999" customHeight="1">
      <c r="B156" s="23"/>
      <c r="AA156" s="198"/>
      <c r="AB156" s="199"/>
      <c r="AC156" s="199"/>
      <c r="AD156" s="199"/>
      <c r="AE156" s="199"/>
      <c r="AF156" s="199"/>
      <c r="AG156" s="199"/>
      <c r="AH156" s="199"/>
      <c r="AI156" s="199"/>
      <c r="AJ156" s="199"/>
      <c r="AK156" s="199"/>
      <c r="AL156" s="199"/>
      <c r="AM156" s="199"/>
      <c r="AN156" s="199"/>
      <c r="AO156" s="200"/>
      <c r="AP156" s="24"/>
    </row>
    <row r="157" spans="2:42" ht="19.899999999999999" customHeight="1">
      <c r="B157" s="23"/>
      <c r="AA157" s="198"/>
      <c r="AB157" s="199"/>
      <c r="AC157" s="199"/>
      <c r="AD157" s="199"/>
      <c r="AE157" s="199"/>
      <c r="AF157" s="199"/>
      <c r="AG157" s="199"/>
      <c r="AH157" s="199"/>
      <c r="AI157" s="199"/>
      <c r="AJ157" s="199"/>
      <c r="AK157" s="199"/>
      <c r="AL157" s="199"/>
      <c r="AM157" s="199"/>
      <c r="AN157" s="199"/>
      <c r="AO157" s="200"/>
      <c r="AP157" s="24"/>
    </row>
    <row r="158" spans="2:42" ht="19.899999999999999" customHeight="1">
      <c r="B158" s="23"/>
      <c r="AA158" s="198"/>
      <c r="AB158" s="199"/>
      <c r="AC158" s="199"/>
      <c r="AD158" s="199"/>
      <c r="AE158" s="199"/>
      <c r="AF158" s="199"/>
      <c r="AG158" s="199"/>
      <c r="AH158" s="199"/>
      <c r="AI158" s="199"/>
      <c r="AJ158" s="199"/>
      <c r="AK158" s="199"/>
      <c r="AL158" s="199"/>
      <c r="AM158" s="199"/>
      <c r="AN158" s="199"/>
      <c r="AO158" s="200"/>
      <c r="AP158" s="24"/>
    </row>
    <row r="159" spans="2:42" ht="19.899999999999999" customHeight="1">
      <c r="B159" s="23"/>
      <c r="AA159" s="198"/>
      <c r="AB159" s="199"/>
      <c r="AC159" s="199"/>
      <c r="AD159" s="199"/>
      <c r="AE159" s="199"/>
      <c r="AF159" s="199"/>
      <c r="AG159" s="199"/>
      <c r="AH159" s="199"/>
      <c r="AI159" s="199"/>
      <c r="AJ159" s="199"/>
      <c r="AK159" s="199"/>
      <c r="AL159" s="199"/>
      <c r="AM159" s="199"/>
      <c r="AN159" s="199"/>
      <c r="AO159" s="200"/>
      <c r="AP159" s="24"/>
    </row>
    <row r="160" spans="2:42" ht="19.899999999999999" customHeight="1">
      <c r="B160" s="23"/>
      <c r="AA160" s="198"/>
      <c r="AB160" s="199"/>
      <c r="AC160" s="199"/>
      <c r="AD160" s="199"/>
      <c r="AE160" s="199"/>
      <c r="AF160" s="199"/>
      <c r="AG160" s="199"/>
      <c r="AH160" s="199"/>
      <c r="AI160" s="199"/>
      <c r="AJ160" s="199"/>
      <c r="AK160" s="199"/>
      <c r="AL160" s="199"/>
      <c r="AM160" s="199"/>
      <c r="AN160" s="199"/>
      <c r="AO160" s="200"/>
      <c r="AP160" s="24"/>
    </row>
    <row r="161" spans="2:42" ht="19.899999999999999" customHeight="1">
      <c r="B161" s="23"/>
      <c r="AA161" s="198"/>
      <c r="AB161" s="199"/>
      <c r="AC161" s="199"/>
      <c r="AD161" s="199"/>
      <c r="AE161" s="199"/>
      <c r="AF161" s="199"/>
      <c r="AG161" s="199"/>
      <c r="AH161" s="199"/>
      <c r="AI161" s="199"/>
      <c r="AJ161" s="199"/>
      <c r="AK161" s="199"/>
      <c r="AL161" s="199"/>
      <c r="AM161" s="199"/>
      <c r="AN161" s="199"/>
      <c r="AO161" s="200"/>
      <c r="AP161" s="24"/>
    </row>
    <row r="162" spans="2:42" ht="19.899999999999999" customHeight="1" thickBot="1">
      <c r="B162" s="23"/>
      <c r="AA162" s="201"/>
      <c r="AB162" s="202"/>
      <c r="AC162" s="202"/>
      <c r="AD162" s="202"/>
      <c r="AE162" s="202"/>
      <c r="AF162" s="202"/>
      <c r="AG162" s="202"/>
      <c r="AH162" s="202"/>
      <c r="AI162" s="202"/>
      <c r="AJ162" s="202"/>
      <c r="AK162" s="202"/>
      <c r="AL162" s="202"/>
      <c r="AM162" s="202"/>
      <c r="AN162" s="202"/>
      <c r="AO162" s="203"/>
      <c r="AP162" s="24"/>
    </row>
    <row r="163" spans="2:42" ht="16.5" customHeight="1">
      <c r="B163" s="23"/>
      <c r="AP163" s="24"/>
    </row>
    <row r="164" spans="2:42" ht="16.5" customHeight="1" thickBot="1">
      <c r="B164" s="34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6"/>
    </row>
  </sheetData>
  <dataConsolidate/>
  <mergeCells count="218">
    <mergeCell ref="EG3:EI3"/>
    <mergeCell ref="EJ3:EL3"/>
    <mergeCell ref="EM3:EO3"/>
    <mergeCell ref="BF2:BJ5"/>
    <mergeCell ref="P4:R4"/>
    <mergeCell ref="S4:T4"/>
    <mergeCell ref="D33:E33"/>
    <mergeCell ref="F33:K33"/>
    <mergeCell ref="N33:O33"/>
    <mergeCell ref="P33:U33"/>
    <mergeCell ref="AH3:AJ3"/>
    <mergeCell ref="AK3:AM3"/>
    <mergeCell ref="AN3:AP3"/>
    <mergeCell ref="X33:Y33"/>
    <mergeCell ref="Z33:AE33"/>
    <mergeCell ref="AH33:AI33"/>
    <mergeCell ref="AJ33:AO33"/>
    <mergeCell ref="AL2:AP2"/>
    <mergeCell ref="D34:E34"/>
    <mergeCell ref="F34:K34"/>
    <mergeCell ref="N34:O34"/>
    <mergeCell ref="P34:U34"/>
    <mergeCell ref="X34:Y34"/>
    <mergeCell ref="Z34:AE34"/>
    <mergeCell ref="AH34:AI34"/>
    <mergeCell ref="AJ34:AO34"/>
    <mergeCell ref="D35:E35"/>
    <mergeCell ref="F35:K35"/>
    <mergeCell ref="N35:O35"/>
    <mergeCell ref="P35:U35"/>
    <mergeCell ref="X35:Y35"/>
    <mergeCell ref="Z35:AE35"/>
    <mergeCell ref="AH35:AI35"/>
    <mergeCell ref="AJ35:AO35"/>
    <mergeCell ref="AH36:AI36"/>
    <mergeCell ref="AJ36:AO36"/>
    <mergeCell ref="D37:E37"/>
    <mergeCell ref="F37:K37"/>
    <mergeCell ref="N37:O37"/>
    <mergeCell ref="P37:U37"/>
    <mergeCell ref="X37:Y37"/>
    <mergeCell ref="Z37:AE37"/>
    <mergeCell ref="AH37:AI37"/>
    <mergeCell ref="AJ37:AO37"/>
    <mergeCell ref="D36:E36"/>
    <mergeCell ref="F36:K36"/>
    <mergeCell ref="N36:O36"/>
    <mergeCell ref="P36:U36"/>
    <mergeCell ref="X36:Y36"/>
    <mergeCell ref="Z36:AE36"/>
    <mergeCell ref="AH38:AI38"/>
    <mergeCell ref="AJ38:AO38"/>
    <mergeCell ref="D39:E39"/>
    <mergeCell ref="F39:K39"/>
    <mergeCell ref="N39:O39"/>
    <mergeCell ref="P39:U39"/>
    <mergeCell ref="X39:Y39"/>
    <mergeCell ref="Z39:AE39"/>
    <mergeCell ref="AH39:AI39"/>
    <mergeCell ref="AJ39:AO39"/>
    <mergeCell ref="D38:E38"/>
    <mergeCell ref="F38:K38"/>
    <mergeCell ref="N38:O38"/>
    <mergeCell ref="P38:U38"/>
    <mergeCell ref="X38:Y38"/>
    <mergeCell ref="Z38:AE38"/>
    <mergeCell ref="AH40:AI40"/>
    <mergeCell ref="AJ40:AO40"/>
    <mergeCell ref="D41:E41"/>
    <mergeCell ref="F41:K41"/>
    <mergeCell ref="N41:O41"/>
    <mergeCell ref="P41:U41"/>
    <mergeCell ref="X41:Y41"/>
    <mergeCell ref="Z41:AE41"/>
    <mergeCell ref="AH41:AI41"/>
    <mergeCell ref="AJ41:AO41"/>
    <mergeCell ref="D40:E40"/>
    <mergeCell ref="F40:K40"/>
    <mergeCell ref="N40:O40"/>
    <mergeCell ref="P40:U40"/>
    <mergeCell ref="X40:Y40"/>
    <mergeCell ref="Z40:AE40"/>
    <mergeCell ref="AJ42:AO42"/>
    <mergeCell ref="D43:E43"/>
    <mergeCell ref="F43:K43"/>
    <mergeCell ref="N43:O43"/>
    <mergeCell ref="P43:U43"/>
    <mergeCell ref="X43:Y43"/>
    <mergeCell ref="Z43:AE43"/>
    <mergeCell ref="AH43:AI43"/>
    <mergeCell ref="AJ43:AO43"/>
    <mergeCell ref="D42:E42"/>
    <mergeCell ref="F42:K42"/>
    <mergeCell ref="N42:O42"/>
    <mergeCell ref="P42:U42"/>
    <mergeCell ref="X42:Y42"/>
    <mergeCell ref="Z42:AE42"/>
    <mergeCell ref="AH42:AI42"/>
    <mergeCell ref="D45:E45"/>
    <mergeCell ref="F45:K45"/>
    <mergeCell ref="N45:O45"/>
    <mergeCell ref="P45:U45"/>
    <mergeCell ref="X45:Y45"/>
    <mergeCell ref="Z45:AE45"/>
    <mergeCell ref="AH45:AI45"/>
    <mergeCell ref="AJ45:AO45"/>
    <mergeCell ref="D44:E44"/>
    <mergeCell ref="F44:K44"/>
    <mergeCell ref="N44:O44"/>
    <mergeCell ref="P44:U44"/>
    <mergeCell ref="X44:Y44"/>
    <mergeCell ref="Z44:AE44"/>
    <mergeCell ref="AH44:AI44"/>
    <mergeCell ref="AJ44:AO44"/>
    <mergeCell ref="D47:E47"/>
    <mergeCell ref="F47:K47"/>
    <mergeCell ref="N47:O47"/>
    <mergeCell ref="P47:U47"/>
    <mergeCell ref="X47:Y47"/>
    <mergeCell ref="Z47:AE47"/>
    <mergeCell ref="AH47:AI47"/>
    <mergeCell ref="AJ47:AO47"/>
    <mergeCell ref="D46:E46"/>
    <mergeCell ref="F46:K46"/>
    <mergeCell ref="N46:O46"/>
    <mergeCell ref="P46:U46"/>
    <mergeCell ref="X46:Y46"/>
    <mergeCell ref="Z46:AE46"/>
    <mergeCell ref="AH46:AI46"/>
    <mergeCell ref="AJ46:AO46"/>
    <mergeCell ref="D49:E49"/>
    <mergeCell ref="F49:K49"/>
    <mergeCell ref="N49:O49"/>
    <mergeCell ref="P49:U49"/>
    <mergeCell ref="X49:Y49"/>
    <mergeCell ref="Z49:AE49"/>
    <mergeCell ref="AH49:AI49"/>
    <mergeCell ref="AJ49:AO49"/>
    <mergeCell ref="D48:E48"/>
    <mergeCell ref="F48:K48"/>
    <mergeCell ref="N48:O48"/>
    <mergeCell ref="P48:U48"/>
    <mergeCell ref="X48:Y48"/>
    <mergeCell ref="Z48:AE48"/>
    <mergeCell ref="AH48:AI48"/>
    <mergeCell ref="AJ48:AO48"/>
    <mergeCell ref="D51:E51"/>
    <mergeCell ref="F51:K51"/>
    <mergeCell ref="N51:O51"/>
    <mergeCell ref="P51:U51"/>
    <mergeCell ref="X51:Y51"/>
    <mergeCell ref="Z51:AE51"/>
    <mergeCell ref="AH51:AI51"/>
    <mergeCell ref="AJ51:AO51"/>
    <mergeCell ref="D50:E50"/>
    <mergeCell ref="F50:K50"/>
    <mergeCell ref="N50:O50"/>
    <mergeCell ref="P50:U50"/>
    <mergeCell ref="X50:Y50"/>
    <mergeCell ref="Z50:AE50"/>
    <mergeCell ref="AH50:AI50"/>
    <mergeCell ref="AJ50:AO50"/>
    <mergeCell ref="D53:E53"/>
    <mergeCell ref="F53:K53"/>
    <mergeCell ref="N53:O53"/>
    <mergeCell ref="P53:U53"/>
    <mergeCell ref="X53:Y53"/>
    <mergeCell ref="Z53:AE53"/>
    <mergeCell ref="AH53:AI53"/>
    <mergeCell ref="AJ53:AO53"/>
    <mergeCell ref="D52:E52"/>
    <mergeCell ref="F52:K52"/>
    <mergeCell ref="N52:O52"/>
    <mergeCell ref="P52:U52"/>
    <mergeCell ref="X52:Y52"/>
    <mergeCell ref="Z52:AE52"/>
    <mergeCell ref="AH52:AI52"/>
    <mergeCell ref="AJ52:AO52"/>
    <mergeCell ref="D55:E55"/>
    <mergeCell ref="F55:K55"/>
    <mergeCell ref="N55:O55"/>
    <mergeCell ref="P55:U55"/>
    <mergeCell ref="X55:Y55"/>
    <mergeCell ref="Z55:AE55"/>
    <mergeCell ref="AH55:AI55"/>
    <mergeCell ref="AJ55:AO55"/>
    <mergeCell ref="D54:E54"/>
    <mergeCell ref="F54:K54"/>
    <mergeCell ref="N54:O54"/>
    <mergeCell ref="P54:U54"/>
    <mergeCell ref="X54:Y54"/>
    <mergeCell ref="Z54:AE54"/>
    <mergeCell ref="AH54:AI54"/>
    <mergeCell ref="AJ54:AO54"/>
    <mergeCell ref="D57:E57"/>
    <mergeCell ref="F57:K57"/>
    <mergeCell ref="N57:O57"/>
    <mergeCell ref="P57:U57"/>
    <mergeCell ref="X57:Y57"/>
    <mergeCell ref="Z57:AE57"/>
    <mergeCell ref="AH57:AI57"/>
    <mergeCell ref="AJ57:AO57"/>
    <mergeCell ref="D56:E56"/>
    <mergeCell ref="F56:K56"/>
    <mergeCell ref="N56:O56"/>
    <mergeCell ref="P56:U56"/>
    <mergeCell ref="X56:Y56"/>
    <mergeCell ref="Z56:AE56"/>
    <mergeCell ref="AA147:AO148"/>
    <mergeCell ref="AA149:AO162"/>
    <mergeCell ref="AA93:AO94"/>
    <mergeCell ref="AA95:AO108"/>
    <mergeCell ref="AA111:AO112"/>
    <mergeCell ref="AA113:AO126"/>
    <mergeCell ref="AA129:AO130"/>
    <mergeCell ref="AA131:AO144"/>
    <mergeCell ref="AH56:AI56"/>
    <mergeCell ref="AJ56:AO56"/>
  </mergeCells>
  <conditionalFormatting sqref="D34">
    <cfRule type="cellIs" dxfId="95" priority="96" operator="lessThan">
      <formula>0</formula>
    </cfRule>
  </conditionalFormatting>
  <conditionalFormatting sqref="D35">
    <cfRule type="cellIs" dxfId="94" priority="95" operator="lessThan">
      <formula>0</formula>
    </cfRule>
  </conditionalFormatting>
  <conditionalFormatting sqref="D36">
    <cfRule type="cellIs" dxfId="93" priority="94" operator="lessThan">
      <formula>0</formula>
    </cfRule>
  </conditionalFormatting>
  <conditionalFormatting sqref="D37">
    <cfRule type="cellIs" dxfId="92" priority="93" operator="lessThan">
      <formula>0</formula>
    </cfRule>
  </conditionalFormatting>
  <conditionalFormatting sqref="D38">
    <cfRule type="cellIs" dxfId="91" priority="92" operator="lessThan">
      <formula>0</formula>
    </cfRule>
  </conditionalFormatting>
  <conditionalFormatting sqref="D39">
    <cfRule type="cellIs" dxfId="90" priority="91" operator="lessThan">
      <formula>0</formula>
    </cfRule>
  </conditionalFormatting>
  <conditionalFormatting sqref="D40">
    <cfRule type="cellIs" dxfId="89" priority="90" operator="lessThan">
      <formula>0</formula>
    </cfRule>
  </conditionalFormatting>
  <conditionalFormatting sqref="D41">
    <cfRule type="cellIs" dxfId="88" priority="89" operator="lessThan">
      <formula>0</formula>
    </cfRule>
  </conditionalFormatting>
  <conditionalFormatting sqref="D42">
    <cfRule type="cellIs" dxfId="87" priority="88" operator="lessThan">
      <formula>0</formula>
    </cfRule>
  </conditionalFormatting>
  <conditionalFormatting sqref="D43">
    <cfRule type="cellIs" dxfId="86" priority="87" operator="lessThan">
      <formula>0</formula>
    </cfRule>
  </conditionalFormatting>
  <conditionalFormatting sqref="D44">
    <cfRule type="cellIs" dxfId="85" priority="86" operator="lessThan">
      <formula>0</formula>
    </cfRule>
  </conditionalFormatting>
  <conditionalFormatting sqref="D45">
    <cfRule type="cellIs" dxfId="84" priority="85" operator="lessThan">
      <formula>0</formula>
    </cfRule>
  </conditionalFormatting>
  <conditionalFormatting sqref="D46">
    <cfRule type="cellIs" dxfId="83" priority="84" operator="lessThan">
      <formula>0</formula>
    </cfRule>
  </conditionalFormatting>
  <conditionalFormatting sqref="D47">
    <cfRule type="cellIs" dxfId="82" priority="83" operator="lessThan">
      <formula>0</formula>
    </cfRule>
  </conditionalFormatting>
  <conditionalFormatting sqref="D48">
    <cfRule type="cellIs" dxfId="81" priority="82" operator="lessThan">
      <formula>0</formula>
    </cfRule>
  </conditionalFormatting>
  <conditionalFormatting sqref="D49">
    <cfRule type="cellIs" dxfId="80" priority="81" operator="lessThan">
      <formula>0</formula>
    </cfRule>
  </conditionalFormatting>
  <conditionalFormatting sqref="D50">
    <cfRule type="cellIs" dxfId="79" priority="80" operator="lessThan">
      <formula>0</formula>
    </cfRule>
  </conditionalFormatting>
  <conditionalFormatting sqref="D51">
    <cfRule type="cellIs" dxfId="78" priority="79" operator="lessThan">
      <formula>0</formula>
    </cfRule>
  </conditionalFormatting>
  <conditionalFormatting sqref="D52">
    <cfRule type="cellIs" dxfId="77" priority="78" operator="lessThan">
      <formula>0</formula>
    </cfRule>
  </conditionalFormatting>
  <conditionalFormatting sqref="D53">
    <cfRule type="cellIs" dxfId="76" priority="77" operator="lessThan">
      <formula>0</formula>
    </cfRule>
  </conditionalFormatting>
  <conditionalFormatting sqref="D54">
    <cfRule type="cellIs" dxfId="75" priority="76" operator="lessThan">
      <formula>0</formula>
    </cfRule>
  </conditionalFormatting>
  <conditionalFormatting sqref="D55">
    <cfRule type="cellIs" dxfId="74" priority="75" operator="lessThan">
      <formula>0</formula>
    </cfRule>
  </conditionalFormatting>
  <conditionalFormatting sqref="D56">
    <cfRule type="cellIs" dxfId="73" priority="74" operator="lessThan">
      <formula>0</formula>
    </cfRule>
  </conditionalFormatting>
  <conditionalFormatting sqref="D57">
    <cfRule type="cellIs" dxfId="72" priority="73" operator="lessThan">
      <formula>0</formula>
    </cfRule>
  </conditionalFormatting>
  <conditionalFormatting sqref="N34">
    <cfRule type="cellIs" dxfId="71" priority="72" operator="lessThan">
      <formula>0</formula>
    </cfRule>
  </conditionalFormatting>
  <conditionalFormatting sqref="N35">
    <cfRule type="cellIs" dxfId="70" priority="71" operator="lessThan">
      <formula>0</formula>
    </cfRule>
  </conditionalFormatting>
  <conditionalFormatting sqref="N36">
    <cfRule type="cellIs" dxfId="69" priority="70" operator="lessThan">
      <formula>0</formula>
    </cfRule>
  </conditionalFormatting>
  <conditionalFormatting sqref="N37">
    <cfRule type="cellIs" dxfId="68" priority="69" operator="lessThan">
      <formula>0</formula>
    </cfRule>
  </conditionalFormatting>
  <conditionalFormatting sqref="N38">
    <cfRule type="cellIs" dxfId="67" priority="68" operator="lessThan">
      <formula>0</formula>
    </cfRule>
  </conditionalFormatting>
  <conditionalFormatting sqref="N39">
    <cfRule type="cellIs" dxfId="66" priority="67" operator="lessThan">
      <formula>0</formula>
    </cfRule>
  </conditionalFormatting>
  <conditionalFormatting sqref="N40">
    <cfRule type="cellIs" dxfId="65" priority="66" operator="lessThan">
      <formula>0</formula>
    </cfRule>
  </conditionalFormatting>
  <conditionalFormatting sqref="N41">
    <cfRule type="cellIs" dxfId="64" priority="65" operator="lessThan">
      <formula>0</formula>
    </cfRule>
  </conditionalFormatting>
  <conditionalFormatting sqref="N42">
    <cfRule type="cellIs" dxfId="63" priority="64" operator="lessThan">
      <formula>0</formula>
    </cfRule>
  </conditionalFormatting>
  <conditionalFormatting sqref="N43">
    <cfRule type="cellIs" dxfId="62" priority="63" operator="lessThan">
      <formula>0</formula>
    </cfRule>
  </conditionalFormatting>
  <conditionalFormatting sqref="N44">
    <cfRule type="cellIs" dxfId="61" priority="62" operator="lessThan">
      <formula>0</formula>
    </cfRule>
  </conditionalFormatting>
  <conditionalFormatting sqref="N45">
    <cfRule type="cellIs" dxfId="60" priority="61" operator="lessThan">
      <formula>0</formula>
    </cfRule>
  </conditionalFormatting>
  <conditionalFormatting sqref="N46">
    <cfRule type="cellIs" dxfId="59" priority="60" operator="lessThan">
      <formula>0</formula>
    </cfRule>
  </conditionalFormatting>
  <conditionalFormatting sqref="N47">
    <cfRule type="cellIs" dxfId="58" priority="59" operator="lessThan">
      <formula>0</formula>
    </cfRule>
  </conditionalFormatting>
  <conditionalFormatting sqref="N48">
    <cfRule type="cellIs" dxfId="57" priority="58" operator="lessThan">
      <formula>0</formula>
    </cfRule>
  </conditionalFormatting>
  <conditionalFormatting sqref="N49">
    <cfRule type="cellIs" dxfId="56" priority="57" operator="lessThan">
      <formula>0</formula>
    </cfRule>
  </conditionalFormatting>
  <conditionalFormatting sqref="N50">
    <cfRule type="cellIs" dxfId="55" priority="56" operator="lessThan">
      <formula>0</formula>
    </cfRule>
  </conditionalFormatting>
  <conditionalFormatting sqref="N51">
    <cfRule type="cellIs" dxfId="54" priority="55" operator="lessThan">
      <formula>0</formula>
    </cfRule>
  </conditionalFormatting>
  <conditionalFormatting sqref="N52">
    <cfRule type="cellIs" dxfId="53" priority="54" operator="lessThan">
      <formula>0</formula>
    </cfRule>
  </conditionalFormatting>
  <conditionalFormatting sqref="N53">
    <cfRule type="cellIs" dxfId="52" priority="53" operator="lessThan">
      <formula>0</formula>
    </cfRule>
  </conditionalFormatting>
  <conditionalFormatting sqref="N54">
    <cfRule type="cellIs" dxfId="51" priority="52" operator="lessThan">
      <formula>0</formula>
    </cfRule>
  </conditionalFormatting>
  <conditionalFormatting sqref="N55">
    <cfRule type="cellIs" dxfId="50" priority="51" operator="lessThan">
      <formula>0</formula>
    </cfRule>
  </conditionalFormatting>
  <conditionalFormatting sqref="N56">
    <cfRule type="cellIs" dxfId="49" priority="50" operator="lessThan">
      <formula>0</formula>
    </cfRule>
  </conditionalFormatting>
  <conditionalFormatting sqref="N57">
    <cfRule type="cellIs" dxfId="48" priority="49" operator="lessThan">
      <formula>0</formula>
    </cfRule>
  </conditionalFormatting>
  <conditionalFormatting sqref="X34">
    <cfRule type="cellIs" dxfId="47" priority="48" operator="lessThan">
      <formula>0</formula>
    </cfRule>
  </conditionalFormatting>
  <conditionalFormatting sqref="X35">
    <cfRule type="cellIs" dxfId="46" priority="47" operator="lessThan">
      <formula>0</formula>
    </cfRule>
  </conditionalFormatting>
  <conditionalFormatting sqref="X36">
    <cfRule type="cellIs" dxfId="45" priority="46" operator="lessThan">
      <formula>0</formula>
    </cfRule>
  </conditionalFormatting>
  <conditionalFormatting sqref="X37">
    <cfRule type="cellIs" dxfId="44" priority="45" operator="lessThan">
      <formula>0</formula>
    </cfRule>
  </conditionalFormatting>
  <conditionalFormatting sqref="X38">
    <cfRule type="cellIs" dxfId="43" priority="44" operator="lessThan">
      <formula>0</formula>
    </cfRule>
  </conditionalFormatting>
  <conditionalFormatting sqref="X39">
    <cfRule type="cellIs" dxfId="42" priority="43" operator="lessThan">
      <formula>0</formula>
    </cfRule>
  </conditionalFormatting>
  <conditionalFormatting sqref="X40">
    <cfRule type="cellIs" dxfId="41" priority="42" operator="lessThan">
      <formula>0</formula>
    </cfRule>
  </conditionalFormatting>
  <conditionalFormatting sqref="X41">
    <cfRule type="cellIs" dxfId="40" priority="41" operator="lessThan">
      <formula>0</formula>
    </cfRule>
  </conditionalFormatting>
  <conditionalFormatting sqref="X42">
    <cfRule type="cellIs" dxfId="39" priority="40" operator="lessThan">
      <formula>0</formula>
    </cfRule>
  </conditionalFormatting>
  <conditionalFormatting sqref="X43">
    <cfRule type="cellIs" dxfId="38" priority="39" operator="lessThan">
      <formula>0</formula>
    </cfRule>
  </conditionalFormatting>
  <conditionalFormatting sqref="X44">
    <cfRule type="cellIs" dxfId="37" priority="38" operator="lessThan">
      <formula>0</formula>
    </cfRule>
  </conditionalFormatting>
  <conditionalFormatting sqref="X45">
    <cfRule type="cellIs" dxfId="36" priority="37" operator="lessThan">
      <formula>0</formula>
    </cfRule>
  </conditionalFormatting>
  <conditionalFormatting sqref="X46">
    <cfRule type="cellIs" dxfId="35" priority="36" operator="lessThan">
      <formula>0</formula>
    </cfRule>
  </conditionalFormatting>
  <conditionalFormatting sqref="X47">
    <cfRule type="cellIs" dxfId="34" priority="35" operator="lessThan">
      <formula>0</formula>
    </cfRule>
  </conditionalFormatting>
  <conditionalFormatting sqref="X48">
    <cfRule type="cellIs" dxfId="33" priority="34" operator="lessThan">
      <formula>0</formula>
    </cfRule>
  </conditionalFormatting>
  <conditionalFormatting sqref="X49">
    <cfRule type="cellIs" dxfId="32" priority="33" operator="lessThan">
      <formula>0</formula>
    </cfRule>
  </conditionalFormatting>
  <conditionalFormatting sqref="X50">
    <cfRule type="cellIs" dxfId="31" priority="32" operator="lessThan">
      <formula>0</formula>
    </cfRule>
  </conditionalFormatting>
  <conditionalFormatting sqref="X51">
    <cfRule type="cellIs" dxfId="30" priority="31" operator="lessThan">
      <formula>0</formula>
    </cfRule>
  </conditionalFormatting>
  <conditionalFormatting sqref="X52">
    <cfRule type="cellIs" dxfId="29" priority="30" operator="lessThan">
      <formula>0</formula>
    </cfRule>
  </conditionalFormatting>
  <conditionalFormatting sqref="X53">
    <cfRule type="cellIs" dxfId="28" priority="29" operator="lessThan">
      <formula>0</formula>
    </cfRule>
  </conditionalFormatting>
  <conditionalFormatting sqref="X54">
    <cfRule type="cellIs" dxfId="27" priority="28" operator="lessThan">
      <formula>0</formula>
    </cfRule>
  </conditionalFormatting>
  <conditionalFormatting sqref="X55">
    <cfRule type="cellIs" dxfId="26" priority="27" operator="lessThan">
      <formula>0</formula>
    </cfRule>
  </conditionalFormatting>
  <conditionalFormatting sqref="X56">
    <cfRule type="cellIs" dxfId="25" priority="26" operator="lessThan">
      <formula>0</formula>
    </cfRule>
  </conditionalFormatting>
  <conditionalFormatting sqref="X57">
    <cfRule type="cellIs" dxfId="24" priority="25" operator="lessThan">
      <formula>0</formula>
    </cfRule>
  </conditionalFormatting>
  <conditionalFormatting sqref="AH34">
    <cfRule type="cellIs" dxfId="23" priority="24" operator="lessThan">
      <formula>0</formula>
    </cfRule>
  </conditionalFormatting>
  <conditionalFormatting sqref="AH35">
    <cfRule type="cellIs" dxfId="22" priority="23" operator="lessThan">
      <formula>0</formula>
    </cfRule>
  </conditionalFormatting>
  <conditionalFormatting sqref="AH36">
    <cfRule type="cellIs" dxfId="21" priority="22" operator="lessThan">
      <formula>0</formula>
    </cfRule>
  </conditionalFormatting>
  <conditionalFormatting sqref="AH37">
    <cfRule type="cellIs" dxfId="20" priority="21" operator="lessThan">
      <formula>0</formula>
    </cfRule>
  </conditionalFormatting>
  <conditionalFormatting sqref="AH38">
    <cfRule type="cellIs" dxfId="19" priority="20" operator="lessThan">
      <formula>0</formula>
    </cfRule>
  </conditionalFormatting>
  <conditionalFormatting sqref="AH39">
    <cfRule type="cellIs" dxfId="18" priority="19" operator="lessThan">
      <formula>0</formula>
    </cfRule>
  </conditionalFormatting>
  <conditionalFormatting sqref="AH40">
    <cfRule type="cellIs" dxfId="17" priority="18" operator="lessThan">
      <formula>0</formula>
    </cfRule>
  </conditionalFormatting>
  <conditionalFormatting sqref="AH41">
    <cfRule type="cellIs" dxfId="16" priority="17" operator="lessThan">
      <formula>0</formula>
    </cfRule>
  </conditionalFormatting>
  <conditionalFormatting sqref="AH42">
    <cfRule type="cellIs" dxfId="15" priority="16" operator="lessThan">
      <formula>0</formula>
    </cfRule>
  </conditionalFormatting>
  <conditionalFormatting sqref="AH43">
    <cfRule type="cellIs" dxfId="14" priority="15" operator="lessThan">
      <formula>0</formula>
    </cfRule>
  </conditionalFormatting>
  <conditionalFormatting sqref="AH44">
    <cfRule type="cellIs" dxfId="13" priority="14" operator="lessThan">
      <formula>0</formula>
    </cfRule>
  </conditionalFormatting>
  <conditionalFormatting sqref="AH45">
    <cfRule type="cellIs" dxfId="12" priority="13" operator="lessThan">
      <formula>0</formula>
    </cfRule>
  </conditionalFormatting>
  <conditionalFormatting sqref="AH46">
    <cfRule type="cellIs" dxfId="11" priority="12" operator="lessThan">
      <formula>0</formula>
    </cfRule>
  </conditionalFormatting>
  <conditionalFormatting sqref="AH47">
    <cfRule type="cellIs" dxfId="10" priority="11" operator="lessThan">
      <formula>0</formula>
    </cfRule>
  </conditionalFormatting>
  <conditionalFormatting sqref="AH48">
    <cfRule type="cellIs" dxfId="9" priority="10" operator="lessThan">
      <formula>0</formula>
    </cfRule>
  </conditionalFormatting>
  <conditionalFormatting sqref="AH49">
    <cfRule type="cellIs" dxfId="8" priority="9" operator="lessThan">
      <formula>0</formula>
    </cfRule>
  </conditionalFormatting>
  <conditionalFormatting sqref="AH50">
    <cfRule type="cellIs" dxfId="7" priority="8" operator="lessThan">
      <formula>0</formula>
    </cfRule>
  </conditionalFormatting>
  <conditionalFormatting sqref="AH51">
    <cfRule type="cellIs" dxfId="6" priority="7" operator="lessThan">
      <formula>0</formula>
    </cfRule>
  </conditionalFormatting>
  <conditionalFormatting sqref="AH52">
    <cfRule type="cellIs" dxfId="5" priority="6" operator="lessThan">
      <formula>0</formula>
    </cfRule>
  </conditionalFormatting>
  <conditionalFormatting sqref="AH53">
    <cfRule type="cellIs" dxfId="4" priority="5" operator="lessThan">
      <formula>0</formula>
    </cfRule>
  </conditionalFormatting>
  <conditionalFormatting sqref="AH54">
    <cfRule type="cellIs" dxfId="3" priority="4" operator="lessThan">
      <formula>0</formula>
    </cfRule>
  </conditionalFormatting>
  <conditionalFormatting sqref="AH55">
    <cfRule type="cellIs" dxfId="2" priority="3" operator="lessThan">
      <formula>0</formula>
    </cfRule>
  </conditionalFormatting>
  <conditionalFormatting sqref="AH56">
    <cfRule type="cellIs" dxfId="1" priority="2" operator="lessThan">
      <formula>0</formula>
    </cfRule>
  </conditionalFormatting>
  <conditionalFormatting sqref="AH57">
    <cfRule type="cellIs" dxfId="0" priority="1" operator="lessThan">
      <formula>0</formula>
    </cfRule>
  </conditionalFormatting>
  <pageMargins left="0.511811024" right="0.33" top="0.52" bottom="0.34" header="0.31496062000000002" footer="0.18"/>
  <pageSetup paperSize="9" scale="28" fitToHeight="2" orientation="portrait" horizontalDpi="360" verticalDpi="360" r:id="rId1"/>
  <rowBreaks count="1" manualBreakCount="1">
    <brk id="72" max="41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29E079E9F5084BB2F044B783FDA6E6" ma:contentTypeVersion="21" ma:contentTypeDescription="Crie um novo documento." ma:contentTypeScope="" ma:versionID="4bcc44ecb8f0eea1b4f81e6979d9aed3">
  <xsd:schema xmlns:xsd="http://www.w3.org/2001/XMLSchema" xmlns:xs="http://www.w3.org/2001/XMLSchema" xmlns:p="http://schemas.microsoft.com/office/2006/metadata/properties" xmlns:ns2="aeb33b5f-5f61-415b-8043-6c30ca4c72e5" xmlns:ns3="816a65da-4e0a-4a32-a9fc-a44bc48102d2" xmlns:ns4="0e56c044-f2f6-4825-ae61-b726c90d87ff" targetNamespace="http://schemas.microsoft.com/office/2006/metadata/properties" ma:root="true" ma:fieldsID="bc5c7c31eb6101b4c1ac8f4d9378a381" ns2:_="" ns3:_="" ns4:_="">
    <xsd:import namespace="aeb33b5f-5f61-415b-8043-6c30ca4c72e5"/>
    <xsd:import namespace="816a65da-4e0a-4a32-a9fc-a44bc48102d2"/>
    <xsd:import namespace="0e56c044-f2f6-4825-ae61-b726c90d87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TranslatedLang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33b5f-5f61-415b-8043-6c30ca4c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Marcações de imagem" ma:readOnly="false" ma:fieldId="{5cf76f15-5ced-4ddc-b409-7134ff3c332f}" ma:taxonomyMulti="true" ma:sspId="1217ff2e-1616-4146-8372-4640400776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  <xsd:element name="TranslatedLang" ma:index="28" nillable="true" ma:displayName="Translated Language" ma:internalName="TranslatedLang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6a65da-4e0a-4a32-a9fc-a44bc48102d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6c044-f2f6-4825-ae61-b726c90d87ff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e109b252-3f1a-4ed3-9511-25983749967d}" ma:internalName="TaxCatchAll" ma:showField="CatchAllData" ma:web="816a65da-4e0a-4a32-a9fc-a44bc48102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IP21ConfigWorkBook xmlns:xsd="http://www.w3.org/2001/XMLSchema" xmlns:xsi="http://www.w3.org/2001/XMLSchema-instance" xmlns="http://www.aspentech.com/ProcessData/ExcelAddIn/IP21ConfigWorkBook">
  <WorkBookName>Informações COI - Usina.xlsm</WorkBookName>
  <MappingTemplateName/>
  <ColumnMaps/>
  <IP21DatabaseSchema>
    <SchemaName>carajas</SchemaName>
    <DefinitionRecords/>
  </IP21DatabaseSchema>
</IP21ConfigWorkBook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e56c044-f2f6-4825-ae61-b726c90d87ff" xsi:nil="true"/>
    <lcf76f155ced4ddcb4097134ff3c332f xmlns="aeb33b5f-5f61-415b-8043-6c30ca4c72e5">
      <Terms xmlns="http://schemas.microsoft.com/office/infopath/2007/PartnerControls"/>
    </lcf76f155ced4ddcb4097134ff3c332f>
    <_Flow_SignoffStatus xmlns="aeb33b5f-5f61-415b-8043-6c30ca4c72e5" xsi:nil="true"/>
    <TranslatedLang xmlns="aeb33b5f-5f61-415b-8043-6c30ca4c72e5" xsi:nil="true"/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71DA71-4173-4DED-B1CB-C6536C7536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b33b5f-5f61-415b-8043-6c30ca4c72e5"/>
    <ds:schemaRef ds:uri="816a65da-4e0a-4a32-a9fc-a44bc48102d2"/>
    <ds:schemaRef ds:uri="0e56c044-f2f6-4825-ae61-b726c90d87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79F5C37-8407-42FD-A813-E985F1926DEF}">
  <ds:schemaRefs>
    <ds:schemaRef ds:uri="http://www.w3.org/2001/XMLSchema"/>
    <ds:schemaRef ds:uri="http://www.aspentech.com/ProcessData/ExcelAddIn/IP21ConfigWorkBook"/>
  </ds:schemaRefs>
</ds:datastoreItem>
</file>

<file path=customXml/itemProps3.xml><?xml version="1.0" encoding="utf-8"?>
<ds:datastoreItem xmlns:ds="http://schemas.openxmlformats.org/officeDocument/2006/customXml" ds:itemID="{267C7FD7-CE4B-44A3-9B31-2945E6FB341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79B3EFF-2EFE-48E0-A08D-3A52953C32A9}">
  <ds:schemaRefs>
    <ds:schemaRef ds:uri="7bdd9492-9499-4339-afbe-1a61fbb6d408"/>
    <ds:schemaRef ds:uri="http://schemas.microsoft.com/office/2006/documentManagement/types"/>
    <ds:schemaRef ds:uri="http://schemas.microsoft.com/sharepoint/v3"/>
    <ds:schemaRef ds:uri="http://schemas.microsoft.com/office/infopath/2007/PartnerControls"/>
    <ds:schemaRef ds:uri="http://www.w3.org/XML/1998/namespace"/>
    <ds:schemaRef ds:uri="http://purl.org/dc/elements/1.1/"/>
    <ds:schemaRef ds:uri="http://purl.org/dc/dcmitype/"/>
    <ds:schemaRef ds:uri="http://purl.org/dc/terms/"/>
    <ds:schemaRef ds:uri="http://schemas.openxmlformats.org/package/2006/metadata/core-properties"/>
    <ds:schemaRef ds:uri="8a5d8c6f-dde9-445b-b0d6-d4b912837274"/>
    <ds:schemaRef ds:uri="http://schemas.microsoft.com/office/2006/metadata/properties"/>
    <ds:schemaRef ds:uri="0e56c044-f2f6-4825-ae61-b726c90d87ff"/>
    <ds:schemaRef ds:uri="aeb33b5f-5f61-415b-8043-6c30ca4c72e5"/>
  </ds:schemaRefs>
</ds:datastoreItem>
</file>

<file path=customXml/itemProps5.xml><?xml version="1.0" encoding="utf-8"?>
<ds:datastoreItem xmlns:ds="http://schemas.openxmlformats.org/officeDocument/2006/customXml" ds:itemID="{E565A7CD-91CA-4EC9-8D4C-978D19461325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5fae8262-b78e-4366-8929-a5d6aac95320}" enabled="1" method="Standard" siteId="{cf36141c-ddd7-45a7-b073-111f66d0b30c}" contentBits="0" removed="0"/>
  <clbl:label id="{7893571b-6c2c-4cef-b4da-7d4b266a0626}" enabled="0" method="" siteId="{7893571b-6c2c-4cef-b4da-7d4b266a06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JUSTIFICATIVA DE USINA</vt:lpstr>
      <vt:lpstr>ACOMPANHAMENTO USINA</vt:lpstr>
      <vt:lpstr>MSG USINA</vt:lpstr>
      <vt:lpstr>Planilha1</vt:lpstr>
      <vt:lpstr>Gesão de Entradas Protótipo</vt:lpstr>
      <vt:lpstr>GESTÃO DAS ENTRADAS</vt:lpstr>
      <vt:lpstr>PRODUÇÃO TOTAL USINA</vt:lpstr>
      <vt:lpstr>Perfil de perdas</vt:lpstr>
      <vt:lpstr>USE PARA FECHAMENTO DO DIA</vt:lpstr>
      <vt:lpstr>'JUSTIFICATIVA DE USINA'!_MailOriginal</vt:lpstr>
      <vt:lpstr>'ACOMPANHAMENTO USINA'!Print_Area</vt:lpstr>
      <vt:lpstr>'MSG USINA'!Print_Area</vt:lpstr>
      <vt:lpstr>'USE PARA FECHAMENTO DO DIA'!Print_Area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Edycarlos Teixeira</dc:creator>
  <cp:keywords/>
  <dc:description/>
  <cp:lastModifiedBy>Raul Teles Conceição Silva</cp:lastModifiedBy>
  <cp:revision/>
  <cp:lastPrinted>2024-06-06T05:50:04Z</cp:lastPrinted>
  <dcterms:created xsi:type="dcterms:W3CDTF">2015-03-17T16:33:08Z</dcterms:created>
  <dcterms:modified xsi:type="dcterms:W3CDTF">2025-06-28T14:38:01Z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0x0101003929E079E9F5084BB2F044B783FDA6E6</vt:lpwstr>
  </property>
  <property fmtid="{D5CDD505-2E9C-101B-9397-08002B2CF9AE}" pid="3" name="MediaServiceImageTags">
    <vt:lpwstr/>
  </property>
</Properties>
</file>