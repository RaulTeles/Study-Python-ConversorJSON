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7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8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9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10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372AB895-14C1-FC20-EB20-F1B4BCFD95AE}"/>
  <workbookPr showInkAnnotation="0" codeName="EstaPasta_de_trabalho"/>
  <mc:AlternateContent xmlns:mc="http://schemas.openxmlformats.org/markup-compatibility/2006">
    <mc:Choice Requires="x15">
      <x15ac:absPath xmlns:x15ac="http://schemas.microsoft.com/office/spreadsheetml/2010/11/ac" url="https://globalvale-my.sharepoint.com/personal/elifaz_silva_vale_com/Documents/Documents/Projetos/"/>
    </mc:Choice>
  </mc:AlternateContent>
  <xr:revisionPtr revIDLastSave="0" documentId="8_{9B5E7481-B61B-42BE-A52E-2F9C68441092}" xr6:coauthVersionLast="47" xr6:coauthVersionMax="47" xr10:uidLastSave="{00000000-0000-0000-0000-000000000000}"/>
  <bookViews>
    <workbookView xWindow="-28920" yWindow="-120" windowWidth="29040" windowHeight="15720" tabRatio="706" xr2:uid="{00000000-000D-0000-FFFF-FFFF00000000}"/>
  </bookViews>
  <sheets>
    <sheet name="ACOMPANHAMENTO USINA" sheetId="18" r:id="rId1"/>
    <sheet name="JUSTIFICATIVA DE USINA" sheetId="19" r:id="rId2"/>
    <sheet name="PRODUÇÃO TOTAL USINA" sheetId="17" r:id="rId3"/>
  </sheets>
  <functionGroups builtInGroupCount="19"/>
  <definedNames>
    <definedName name="_______r" hidden="1">{#N/A,#N/A,FALSE,"PCOL"}</definedName>
    <definedName name="______n2" hidden="1">{#N/A,#N/A,FALSE,"PCOL"}</definedName>
    <definedName name="______r" hidden="1">{#N/A,#N/A,FALSE,"PCOL"}</definedName>
    <definedName name="_____n2" hidden="1">{#N/A,#N/A,FALSE,"PCOL"}</definedName>
    <definedName name="_____r" hidden="1">{#N/A,#N/A,FALSE,"PCOL"}</definedName>
    <definedName name="____n2" hidden="1">{#N/A,#N/A,FALSE,"PCOL"}</definedName>
    <definedName name="____r" hidden="1">{#N/A,#N/A,FALSE,"PCOL"}</definedName>
    <definedName name="___n2" hidden="1">{#N/A,#N/A,FALSE,"PCOL"}</definedName>
    <definedName name="___r" hidden="1">{#N/A,#N/A,FALSE,"PCOL"}</definedName>
    <definedName name="__ago07" hidden="1">{"'gráf jan00'!$A$1:$AK$41"}</definedName>
    <definedName name="__ago1" hidden="1">{"'gráf jan00'!$A$1:$AK$41"}</definedName>
    <definedName name="__ago10" hidden="1">{"'gráf jan00'!$A$1:$AK$41"}</definedName>
    <definedName name="__ago2" hidden="1">{"'gráf jan00'!$A$1:$AK$41"}</definedName>
    <definedName name="__ago2004" hidden="1">{"'gráf jan00'!$A$1:$AK$41"}</definedName>
    <definedName name="__ago3" hidden="1">{"'gráf jan00'!$A$1:$AK$41"}</definedName>
    <definedName name="__ago4" hidden="1">{"'gráf jan00'!$A$1:$AK$41"}</definedName>
    <definedName name="__ago5" hidden="1">{"'gráf jan00'!$A$1:$AK$41"}</definedName>
    <definedName name="__ago6" hidden="1">{"'gráf jan00'!$A$1:$AK$41"}</definedName>
    <definedName name="__ago7" hidden="1">{"'gráf jan00'!$A$1:$AK$41"}</definedName>
    <definedName name="__ago8" hidden="1">{"'gráf jan00'!$A$1:$AK$41"}</definedName>
    <definedName name="__ago9" hidden="1">{"'gráf jan00'!$A$1:$AK$41"}</definedName>
    <definedName name="__BSM02" hidden="1">{#N/A,#N/A,FALSE,"PCOL"}</definedName>
    <definedName name="__EFC2" hidden="1">{"'RR'!$A$2:$E$81"}</definedName>
    <definedName name="__EFC3" hidden="1">{"'RR'!$A$2:$E$81"}</definedName>
    <definedName name="__fca2" hidden="1">{"'Quadro'!$A$4:$BG$78"}</definedName>
    <definedName name="__mm1">#N/A</definedName>
    <definedName name="__n2" hidden="1">{#N/A,#N/A,FALSE,"PCOL"}</definedName>
    <definedName name="__PA01" hidden="1">{"'teste'!$B$2:$R$49"}</definedName>
    <definedName name="__r" hidden="1">{#N/A,#N/A,FALSE,"PCOL"}</definedName>
    <definedName name="__WX2" hidden="1">{#N/A,#N/A,FALSE,"EXPORTAC";#N/A,#N/A,FALSE,"SUPEL94"}</definedName>
    <definedName name="__x1" hidden="1">{#N/A,#N/A,FALSE,"EXPORTAC";#N/A,#N/A,FALSE,"SUPEL94"}</definedName>
    <definedName name="__x2" hidden="1">{#N/A,#N/A,FALSE,"GQGEMPRE"}</definedName>
    <definedName name="_1__123Graph_ACHART_1" hidden="1">#REF!</definedName>
    <definedName name="_10__123Graph_CCHART_1" hidden="1">#REF!</definedName>
    <definedName name="_11__123Graph_BCHART_1" hidden="1">#REF!</definedName>
    <definedName name="_13__123Graph_DCHART_1" hidden="1">#REF!</definedName>
    <definedName name="_16__123Graph_CCHART_1" hidden="1">#REF!</definedName>
    <definedName name="_16__123Graph_ECHART_1" hidden="1">#REF!</definedName>
    <definedName name="_19__123Graph_FCHART_1" hidden="1">#REF!</definedName>
    <definedName name="_2__123Graph_ACHART_3" hidden="1">#REF!</definedName>
    <definedName name="_21__123Graph_DCHART_1" hidden="1">#REF!</definedName>
    <definedName name="_22__123Graph_XCHART_3" hidden="1">#REF!</definedName>
    <definedName name="_26__123Graph_ECHART_1" hidden="1">#REF!</definedName>
    <definedName name="_3__123Graph_ACHART_1" hidden="1">#REF!</definedName>
    <definedName name="_3__123Graph_BCHART_1" hidden="1">#REF!</definedName>
    <definedName name="_31__123Graph_FCHART_1" hidden="1">#REF!</definedName>
    <definedName name="_36__123Graph_XCHART_3" hidden="1">#REF!</definedName>
    <definedName name="_4__123Graph_ACHART_3" hidden="1">#REF!</definedName>
    <definedName name="_4__123Graph_CCHART_1" hidden="1">#REF!</definedName>
    <definedName name="_5__123Graph_ACHART_1" hidden="1">#REF!</definedName>
    <definedName name="_5__123Graph_DCHART_1" hidden="1">#REF!</definedName>
    <definedName name="_6__123Graph_ACHART_3" hidden="1">#REF!</definedName>
    <definedName name="_6__123Graph_ECHART_1" hidden="1">#REF!</definedName>
    <definedName name="_7__123Graph_BCHART_1" hidden="1">#REF!</definedName>
    <definedName name="_7__123Graph_FCHART_1" hidden="1">#REF!</definedName>
    <definedName name="_8__123Graph_XCHART_3" hidden="1">#REF!</definedName>
    <definedName name="_a18000">#REF!</definedName>
    <definedName name="_a21000">#REF!</definedName>
    <definedName name="_A99999">#REF!</definedName>
    <definedName name="_AAA2006">#N/A</definedName>
    <definedName name="_ago07" hidden="1">{"'gráf jan00'!$A$1:$AK$41"}</definedName>
    <definedName name="_ago1" hidden="1">{"'gráf jan00'!$A$1:$AK$41"}</definedName>
    <definedName name="_ago10" hidden="1">{"'gráf jan00'!$A$1:$AK$41"}</definedName>
    <definedName name="_ago2" hidden="1">{"'gráf jan00'!$A$1:$AK$41"}</definedName>
    <definedName name="_ago2004" hidden="1">{"'gráf jan00'!$A$1:$AK$41"}</definedName>
    <definedName name="_ago3" hidden="1">{"'gráf jan00'!$A$1:$AK$41"}</definedName>
    <definedName name="_ago4" hidden="1">{"'gráf jan00'!$A$1:$AK$41"}</definedName>
    <definedName name="_ago5" hidden="1">{"'gráf jan00'!$A$1:$AK$41"}</definedName>
    <definedName name="_ago6" hidden="1">{"'gráf jan00'!$A$1:$AK$41"}</definedName>
    <definedName name="_ago7" hidden="1">{"'gráf jan00'!$A$1:$AK$41"}</definedName>
    <definedName name="_ago8" hidden="1">{"'gráf jan00'!$A$1:$AK$41"}</definedName>
    <definedName name="_ago9" hidden="1">{"'gráf jan00'!$A$1:$AK$41"}</definedName>
    <definedName name="_ANS1" hidden="1">{#N/A,#N/A,FALSE,"PCOL"}</definedName>
    <definedName name="_AtRisk_SimSetting_AutomaticallyGenerateReports" hidden="1">FALSE</definedName>
    <definedName name="_AtRisk_SimSetting_AutomaticResultsDisplayMode" hidden="1">0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LiveUpdate" hidden="1">TRUE</definedName>
    <definedName name="_AtRisk_SimSetting_LiveUpdatePeriod" hidden="1">-1</definedName>
    <definedName name="_AtRisk_SimSetting_RandomNumberGenerator" hidden="1">0</definedName>
    <definedName name="_AtRisk_SimSetting_ReportsList" hidden="1">0</definedName>
    <definedName name="_AtRisk_SimSetting_SimNameCount" hidden="1">0</definedName>
    <definedName name="_AtRisk_SimSetting_SmartSensitivityAnalysisEnabled" hidden="1">TRUE</definedName>
    <definedName name="_AtRisk_SimSetting_StatisticFunctionUpdating" hidden="1">1</definedName>
    <definedName name="_AtRisk_SimSetting_StdRecalcBehavior" hidden="1">0</definedName>
    <definedName name="_AtRisk_SimSetting_StdRecalcWithoutRiskStatic" hidden="1">0</definedName>
    <definedName name="_AtRisk_SimSetting_StdRecalcWithoutRiskStaticPercentile" hidden="1">0.5</definedName>
    <definedName name="_BSM01" hidden="1">{#N/A,#N/A,FALSE,"PCOL"}</definedName>
    <definedName name="_BSM02" hidden="1">{#N/A,#N/A,FALSE,"PCOL"}</definedName>
    <definedName name="_EFC2" hidden="1">{"'RR'!$A$2:$E$81"}</definedName>
    <definedName name="_EFC3" hidden="1">{"'RR'!$A$2:$E$81"}</definedName>
    <definedName name="_fca2" hidden="1">{"'Quadro'!$A$4:$BG$78"}</definedName>
    <definedName name="_Fill" hidden="1">#REF!</definedName>
    <definedName name="_xlnm._FilterDatabase" localSheetId="1" hidden="1">'JUSTIFICATIVA DE USINA'!$F$2:$H$26</definedName>
    <definedName name="_xlnm._FilterDatabase" hidden="1">#REF!</definedName>
    <definedName name="_gdp98">#REF!</definedName>
    <definedName name="_gdp99">#REF!</definedName>
    <definedName name="_K001">#N/A</definedName>
    <definedName name="_Key1" hidden="1">#REF!</definedName>
    <definedName name="_MAI50">#REF!</definedName>
    <definedName name="_MailOriginal" localSheetId="1">'JUSTIFICATIVA DE USINA'!$L$9</definedName>
    <definedName name="_mm1">#N/A</definedName>
    <definedName name="_n2" hidden="1">{#N/A,#N/A,FALSE,"PCOL"}</definedName>
    <definedName name="_np1">#REF!</definedName>
    <definedName name="_Order1" hidden="1">255</definedName>
    <definedName name="_Order2" hidden="1">0</definedName>
    <definedName name="_PA01" hidden="1">{"'teste'!$B$2:$R$49"}</definedName>
    <definedName name="_r" hidden="1">{#N/A,#N/A,FALSE,"PCOL"}</definedName>
    <definedName name="_Regression_Out" hidden="1">#REF!</definedName>
    <definedName name="_Regression_X" hidden="1">#REF!</definedName>
    <definedName name="_Regression_Y" hidden="1">#REF!</definedName>
    <definedName name="_Sort" hidden="1">#REF!</definedName>
    <definedName name="_Table2_In1" hidden="1">#REF!</definedName>
    <definedName name="_Table2_In2" hidden="1">#REF!</definedName>
    <definedName name="_Table2_Out" hidden="1">#REF!</definedName>
    <definedName name="_Table3_In2" hidden="1">#REF!</definedName>
    <definedName name="_UA43">#REF!</definedName>
    <definedName name="_WX2" hidden="1">{#N/A,#N/A,FALSE,"EXPORTAC";#N/A,#N/A,FALSE,"SUPEL94"}</definedName>
    <definedName name="_x1" hidden="1">{#N/A,#N/A,FALSE,"EXPORTAC";#N/A,#N/A,FALSE,"SUPEL94"}</definedName>
    <definedName name="_x2" hidden="1">{#N/A,#N/A,FALSE,"GQGEMPRE"}</definedName>
    <definedName name="_xlcn.WorksheetConnection_ProgramaçãoC3M9751" hidden="1">#REF!</definedName>
    <definedName name="_xlcn.WorksheetConnection_ProgramaçãoC3P11741" hidden="1">#REF!</definedName>
    <definedName name="a" hidden="1">{#N/A,#N/A,FALSE,"PCOL"}</definedName>
    <definedName name="A.23" hidden="1">{#N/A,#N/A,FALSE,"SITUAÇÃO DIÁRIA ";#N/A,#N/A,FALSE,"7 à 7"}</definedName>
    <definedName name="aa" hidden="1">{"'Quadro'!$A$4:$BG$78"}</definedName>
    <definedName name="aaa" hidden="1">{"'gráf jan00'!$A$1:$AK$41"}</definedName>
    <definedName name="aaaa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aaaaa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aaaaaa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AAAAAAAAAAAAAAAAAAAAA" hidden="1">{"'gráf jan00'!$A$1:$AK$41"}</definedName>
    <definedName name="AABB" hidden="1">{"'gráf jan00'!$A$1:$AK$41"}</definedName>
    <definedName name="aasaasas" hidden="1">{#N/A,#N/A,TRUE,"indice";#N/A,#N/A,TRUE,"indicadores";#N/A,#N/A,TRUE,"comentarios"}</definedName>
    <definedName name="aasaasas1" hidden="1">{#N/A,#N/A,TRUE,"indice";#N/A,#N/A,TRUE,"indicadores";#N/A,#N/A,TRUE,"comentarios"}</definedName>
    <definedName name="aasasa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bc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abcd" hidden="1">{#N/A,#N/A,FALSE,"PCOL"}</definedName>
    <definedName name="aberto">#REF!</definedName>
    <definedName name="abs" hidden="1">{"'Quadro'!$A$4:$BG$78"}</definedName>
    <definedName name="AC">#REF!</definedName>
    <definedName name="acao" hidden="1">{"'Quadro'!$A$4:$BG$78"}</definedName>
    <definedName name="Acidente" hidden="1">{"'gráf jan00'!$A$1:$AK$41"}</definedName>
    <definedName name="acompanhamentodois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acompanhamentodoisdois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acompanhemento">#REF!</definedName>
    <definedName name="Acumul">#N/A</definedName>
    <definedName name="adas">#REF!</definedName>
    <definedName name="adfdf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ditivo" hidden="1">{#N/A,#N/A,FALSE,"PCOL"}</definedName>
    <definedName name="adsf" hidden="1">{"'gráf jan00'!$A$1:$AK$41"}</definedName>
    <definedName name="adsretrrujnhg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afdfd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fds" hidden="1">{"'gráf jan00'!$A$1:$AK$41"}</definedName>
    <definedName name="ag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dadf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dagdad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fggfdfd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g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o" hidden="1">{"'gráf jan00'!$A$1:$AK$41"}</definedName>
    <definedName name="Agosto" hidden="1">{#N/A,#N/A,FALSE,"SITUAÇÃO DIÁRIA ";#N/A,#N/A,FALSE,"7 à 7"}</definedName>
    <definedName name="aina" hidden="1">{#N/A,#N/A,FALSE,"PCOL"}</definedName>
    <definedName name="aliq_ir_antes">#REF!</definedName>
    <definedName name="aliq_ir_depois">#REF!</definedName>
    <definedName name="amanha">#REF!</definedName>
    <definedName name="amort">#REF!</definedName>
    <definedName name="AN">#REF!</definedName>
    <definedName name="ANEXO1" hidden="1">{"'teste'!$B$2:$R$49"}</definedName>
    <definedName name="Anoant">#REF!</definedName>
    <definedName name="Anoprop">#REF!</definedName>
    <definedName name="ans" hidden="1">{#N/A,#N/A,FALSE,"PCOL"}</definedName>
    <definedName name="anscount" hidden="1">45</definedName>
    <definedName name="Apoio2">#REF!</definedName>
    <definedName name="aq" hidden="1">{"'Quadro'!$A$4:$BG$78"}</definedName>
    <definedName name="Arara" hidden="1">{#N/A,#N/A,FALSE,"PCOL"}</definedName>
    <definedName name="Área">#REF!</definedName>
    <definedName name="_xlnm.Extract">#REF!</definedName>
    <definedName name="_xlnm.Print_Area" localSheetId="0">'ACOMPANHAMENTO USINA'!$A$1:$AZ$177</definedName>
    <definedName name="_xlnm.Print_Area" localSheetId="1">'JUSTIFICATIVA DE USINA'!$B$1:$CJ$49</definedName>
    <definedName name="_xlnm.Print_Area">#REF!</definedName>
    <definedName name="Area_Executante">#REF!</definedName>
    <definedName name="area_limpar">#REF!,#REF!,#REF!,#REF!,#REF!,#REF!,#REF!</definedName>
    <definedName name="area_limpar2">#REF!,#REF!,#REF!,#REF!,#REF!,#REF!,#REF!,#REF!,#REF!,#REF!</definedName>
    <definedName name="Area_Solicitante">#REF!</definedName>
    <definedName name="Área1">#REF!</definedName>
    <definedName name="Área2">#REF!</definedName>
    <definedName name="Área3">#REF!</definedName>
    <definedName name="AREA4">#REF!</definedName>
    <definedName name="AREA5">#REF!</definedName>
    <definedName name="AREA6">#REF!</definedName>
    <definedName name="AREAS">#REF!</definedName>
    <definedName name="as" hidden="1">{"'RR'!$A$2:$E$81"}</definedName>
    <definedName name="AS2DocOpenMode" hidden="1">"AS2DocumentEdit"</definedName>
    <definedName name="AS2NamedRange" hidden="1">18</definedName>
    <definedName name="as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asaas" hidden="1">{#N/A,#N/A,TRUE,"indice";#N/A,#N/A,TRUE,"indicadores";#N/A,#N/A,TRUE,"comentarios"}</definedName>
    <definedName name="asaasas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ASAS" hidden="1">{"'Resumo'!$A$4:$N$60"}</definedName>
    <definedName name="asas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a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as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as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saa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sas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d" hidden="1">#REF!</definedName>
    <definedName name="asdryhsdfh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asdsdfagf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ervg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asf">#N/A</definedName>
    <definedName name="ASPEP">#REF!</definedName>
    <definedName name="asrgadg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assaass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saassas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sa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sas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WEFGQ3" hidden="1">{"'gráf jan00'!$A$1:$AK$41"}</definedName>
    <definedName name="AtivaMétricasGVA">#REF!</definedName>
    <definedName name="ATIVOS">#REF!</definedName>
    <definedName name="awdasda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az" hidden="1">{"'Quadro'!$A$4:$BG$78"}</definedName>
    <definedName name="b" hidden="1">{"'CptDifn'!$AA$32:$AG$32"}</definedName>
    <definedName name="BALANCO">#REF!</definedName>
    <definedName name="_xlnm.Database">#REF!</definedName>
    <definedName name="basedf">#REF!</definedName>
    <definedName name="baseuf">#REF!</definedName>
    <definedName name="bb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bbbb" hidden="1">{#N/A,#N/A,FALSE,"PCOL"}</definedName>
    <definedName name="bbbbbbbbbbbbb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bd" hidden="1">{"'IndicadoresRH'!$AA$50:$AP$67"}</definedName>
    <definedName name="BE">#REF!</definedName>
    <definedName name="Beneficio_Custo">#REF!</definedName>
    <definedName name="bk">#REF!</definedName>
    <definedName name="BL">#REF!</definedName>
    <definedName name="BLPH10" hidden="1">#REF!</definedName>
    <definedName name="BLPH23" hidden="1">#REF!</definedName>
    <definedName name="BLPH24" hidden="1">#REF!</definedName>
    <definedName name="BLPH25" hidden="1">#REF!</definedName>
    <definedName name="BLPH6" hidden="1">#REF!</definedName>
    <definedName name="BLPH7" hidden="1">#REF!</definedName>
    <definedName name="BS">#REF!</definedName>
    <definedName name="BSM0" hidden="1">{#N/A,#N/A,FALSE,"PCOL"}</definedName>
    <definedName name="BSM01_">#REF!</definedName>
    <definedName name="BVZ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VZB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ZCZC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_c" hidden="1">{"'REL CUSTODIF'!$B$1:$H$72"}</definedName>
    <definedName name="CA">#REF!</definedName>
    <definedName name="cacro120">#N/A</definedName>
    <definedName name="CALBUMMEDIDAACUM2">#REF!</definedName>
    <definedName name="cambio">#REF!</definedName>
    <definedName name="Categoria">#REF!</definedName>
    <definedName name="CAUSA">#REF!</definedName>
    <definedName name="causas">#REF!</definedName>
    <definedName name="causas_raiz">#REF!</definedName>
    <definedName name="cc">#REF!</definedName>
    <definedName name="cccc" hidden="1">{#N/A,#N/A,FALSE,"GQGEMPRE"}</definedName>
    <definedName name="cccccc" hidden="1">{#N/A,#N/A,FALSE,"EXPORTAC";#N/A,#N/A,FALSE,"SUPEL94"}</definedName>
    <definedName name="ccccccccc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Cenário">#REF!</definedName>
    <definedName name="Cenário_1">#REF!</definedName>
    <definedName name="Cenário_4">#REF!</definedName>
    <definedName name="CF">#REF!</definedName>
    <definedName name="ciclos" hidden="1">{"'RR'!$A$2:$E$81"}</definedName>
    <definedName name="cida" hidden="1">{#N/A,#N/A,FALSE,"PCOL"}</definedName>
    <definedName name="claro">#REF!</definedName>
    <definedName name="Clschv">#REF!</definedName>
    <definedName name="CMC" hidden="1">{"'Quadro'!$A$4:$BG$78"}</definedName>
    <definedName name="çmç">#REF!</definedName>
    <definedName name="Cobra" hidden="1">{#N/A,#N/A,FALSE,"PCOL"}</definedName>
    <definedName name="Cobre" hidden="1">{"'CptDifn'!$AA$32:$AG$32"}</definedName>
    <definedName name="COMAN" hidden="1">{"'REL CUSTODIF'!$B$1:$H$72"}</definedName>
    <definedName name="comissao">#REF!</definedName>
    <definedName name="COMP_CLI">#N/A</definedName>
    <definedName name="complex_alta">#REF!</definedName>
    <definedName name="complex_baixa">#REF!</definedName>
    <definedName name="complex_media">#REF!</definedName>
    <definedName name="Concentrado_Cobre" hidden="1">{"'CptDifn'!$AA$32:$AG$32"}</definedName>
    <definedName name="conex">#REF!</definedName>
    <definedName name="cons_energ_elet">#REF!</definedName>
    <definedName name="Consulta5">#REF!</definedName>
    <definedName name="contas">#REF!</definedName>
    <definedName name="Copia" hidden="1">{#N/A,#N/A,FALSE,"PCOL"}</definedName>
    <definedName name="cópia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copiaranch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copiaranch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cost_of_debt">#REF!</definedName>
    <definedName name="coucou" hidden="1">{#N/A,#N/A,TRUE,"Cover sheet";#N/A,#N/A,TRUE,"INPUTS";#N/A,#N/A,TRUE,"OUTPUTS";#N/A,#N/A,TRUE,"VALUATION"}</definedName>
    <definedName name="counter_trade">#REF!</definedName>
    <definedName name="CP">#REF!</definedName>
    <definedName name="_xlnm.Criteria">#REF!</definedName>
    <definedName name="cs_fase1">#REF!</definedName>
    <definedName name="Custeio" hidden="1">{"'IndicadoresRH'!$AA$50:$AP$67"}</definedName>
    <definedName name="custo_debt">#REF!</definedName>
    <definedName name="custo_equity">#REF!</definedName>
    <definedName name="custo_fixo_fe">#REF!</definedName>
    <definedName name="custo_fixo_mn">#REF!</definedName>
    <definedName name="custo_var_fe">#REF!</definedName>
    <definedName name="custo_var_mn">#REF!</definedName>
    <definedName name="CV">#REF!</definedName>
    <definedName name="CY">#REF!</definedName>
    <definedName name="d" hidden="1">#REF!</definedName>
    <definedName name="dada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dadaa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dadadada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dados">#REF!</definedName>
    <definedName name="DadosExternos_1" localSheetId="2" hidden="1">'PRODUÇÃO TOTAL USINA'!$AY$1:$BJ$25</definedName>
    <definedName name="data">#REF!</definedName>
    <definedName name="DB">#REF!</definedName>
    <definedName name="dd">#N/A</definedName>
    <definedName name="ddd" hidden="1">#REF!</definedName>
    <definedName name="dddd" hidden="1">{#N/A,#N/A,FALSE,"PCOL"}</definedName>
    <definedName name="ddddd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dddddd">#N/A</definedName>
    <definedName name="ddddddddd">#N/A</definedName>
    <definedName name="DDDDDDDDDDDDDDDDD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Ddos_Bco">#REF!</definedName>
    <definedName name="de">#REF!</definedName>
    <definedName name="DEAM" hidden="1">{"'CptDifn'!$AA$32:$AG$32"}</definedName>
    <definedName name="DEAS" hidden="1">{"'CptDifn'!$AA$32:$AG$32"}</definedName>
    <definedName name="debt">#REF!</definedName>
    <definedName name="DECG" hidden="1">{"'CptDifn'!$AA$32:$AG$32"}</definedName>
    <definedName name="DEF" hidden="1">{"'RR'!$A$2:$E$81"}</definedName>
    <definedName name="DEFB">#REF!</definedName>
    <definedName name="DEGL" hidden="1">{"'CptDifn'!$AA$32:$AG$32"}</definedName>
    <definedName name="DEGS">#REF!</definedName>
    <definedName name="DEJL">#REF!</definedName>
    <definedName name="DEJM">#REF!</definedName>
    <definedName name="demanda">#REF!</definedName>
    <definedName name="depre">#REF!</definedName>
    <definedName name="depre_princ">#REF!</definedName>
    <definedName name="deprec_linear">#REF!</definedName>
    <definedName name="DERF" hidden="1">{"'RR'!$A$2:$E$81"}</definedName>
    <definedName name="de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SCRIÇÃO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scricao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SE" hidden="1">{"'RR'!$A$2:$E$81"}</definedName>
    <definedName name="despesa">#REF!</definedName>
    <definedName name="DESR" hidden="1">{"'RR'!$A$2:$E$81"}</definedName>
    <definedName name="DEST_0901">#REF!</definedName>
    <definedName name="DEST_0902">#REF!</definedName>
    <definedName name="DEST_0903">#REF!</definedName>
    <definedName name="DEST_0904">#REF!</definedName>
    <definedName name="DEST_0905">#REF!</definedName>
    <definedName name="DEST_0906">#REF!</definedName>
    <definedName name="DEST_0907">#REF!</definedName>
    <definedName name="DEST_1001">#REF!</definedName>
    <definedName name="DEST_1302">#REF!</definedName>
    <definedName name="DEST_2003">#REF!</definedName>
    <definedName name="DEST_2005">#REF!</definedName>
    <definedName name="DEST_2006">#REF!</definedName>
    <definedName name="DEST_2007">#REF!</definedName>
    <definedName name="DEST_2008">#REF!</definedName>
    <definedName name="DEST_2009">#REF!</definedName>
    <definedName name="DEST_2010">#REF!</definedName>
    <definedName name="DEST_7707">#REF!</definedName>
    <definedName name="DEST_7708">#REF!</definedName>
    <definedName name="DEST_8102">#REF!</definedName>
    <definedName name="DEST_8104">#REF!</definedName>
    <definedName name="DEST_8105">#REF!</definedName>
    <definedName name="DEST_8106">#REF!</definedName>
    <definedName name="DEST_8108">#REF!</definedName>
    <definedName name="DEST_8109">#REF!</definedName>
    <definedName name="DEST_8111">#REF!</definedName>
    <definedName name="DEST_8112">#REF!</definedName>
    <definedName name="DEST_8113">#REF!</definedName>
    <definedName name="DEST_8114">#REF!</definedName>
    <definedName name="DEST_8115">#REF!</definedName>
    <definedName name="Destino_N4E">OFFSET(#REF!,0,0,COUNTA(#REF!)-1,1)</definedName>
    <definedName name="Destino_N4W">OFFSET(#REF!,0,0,COUNTA(#REF!)-1,1)</definedName>
    <definedName name="Destino_N5">OFFSET(#REF!,0,0,COUNTA(#REF!)-1,1)</definedName>
    <definedName name="DET_CLI">#N/A</definedName>
    <definedName name="DET_PROD">#N/A</definedName>
    <definedName name="Detalhe" hidden="1">{"'Resumo'!$A$4:$N$60"}</definedName>
    <definedName name="DEWS" hidden="1">{"'RR'!$A$2:$E$81"}</definedName>
    <definedName name="DEZ" hidden="1">{"'280700'!$A$7:$L$37"}</definedName>
    <definedName name="df">#REF!</definedName>
    <definedName name="dfadsfsadf" hidden="1">{"'gráf jan00'!$A$1:$AK$41"}</definedName>
    <definedName name="dfdf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DFDFDF" hidden="1">{"'gráf jan00'!$A$1:$AK$41"}</definedName>
    <definedName name="dffasf" hidden="1">{#N/A,#N/A,TRUE,"indice";#N/A,#N/A,TRUE,"indicadores";#N/A,#N/A,TRUE,"comentarios"}</definedName>
    <definedName name="dfhgdf" hidden="1">{#N/A,#N/A,TRUE,"indice";#N/A,#N/A,TRUE,"indicadores";#N/A,#N/A,TRUE,"comentarios"}</definedName>
    <definedName name="dfr" hidden="1">{"'RR'!$A$2:$E$81"}</definedName>
    <definedName name="DFSDSFD" hidden="1">{"'Quadro'!$A$4:$BG$78"}</definedName>
    <definedName name="dft" hidden="1">{"'RR'!$A$2:$E$81"}</definedName>
    <definedName name="dfuil" hidden="1">{"'RR'!$A$2:$E$81"}</definedName>
    <definedName name="DI">#REF!</definedName>
    <definedName name="Diadasemana">#REF!</definedName>
    <definedName name="Diadomes">#REF!</definedName>
    <definedName name="diagrama">#REF!</definedName>
    <definedName name="Dificuldade">#REF!</definedName>
    <definedName name="DILO_Ferrovia" hidden="1">{"'Quadro'!$A$4:$BG$78"}</definedName>
    <definedName name="DispTelGASAG" hidden="1">{"'teste'!$B$2:$R$49"}</definedName>
    <definedName name="dksojd" hidden="1">{#N/A,#N/A,FALSE,"PCOL"}</definedName>
    <definedName name="DO">#REF!</definedName>
    <definedName name="dolar">#REF!</definedName>
    <definedName name="drf" hidden="1">{"'RR'!$A$2:$E$81"}</definedName>
    <definedName name="dsda" hidden="1">{#N/A,#N/A,TRUE,"indice";#N/A,#N/A,TRUE,"indicadores";#N/A,#N/A,TRUE,"comentarios"}</definedName>
    <definedName name="dsda1" hidden="1">{#N/A,#N/A,TRUE,"indice";#N/A,#N/A,TRUE,"indicadores";#N/A,#N/A,TRUE,"comentarios"}</definedName>
    <definedName name="dsfadf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tHoje">'ACOMPANHAMENTO USINA'!$AL$2</definedName>
    <definedName name="dtInicial">#REF!</definedName>
    <definedName name="duvidoso">#REF!</definedName>
    <definedName name="dv">#REF!</definedName>
    <definedName name="dwsdad" hidden="1">{"'ReceitaLiquidaME'!$AA$25:$AN$32"}</definedName>
    <definedName name="e" hidden="1">{#N/A,#N/A,FALSE,"PCOL"}</definedName>
    <definedName name="EB">#REF!</definedName>
    <definedName name="ECRNAT">#REF!</definedName>
    <definedName name="ECRNATDT">#REF!</definedName>
    <definedName name="EDU">#REF!</definedName>
    <definedName name="ee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eeeeeeeeeeeee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EFATRL">#REF!</definedName>
    <definedName name="EFATURA">#REF!</definedName>
    <definedName name="EFC" hidden="1">{"'RR'!$A$2:$E$81"}</definedName>
    <definedName name="EFVM" hidden="1">{"'RR'!$A$2:$E$81"}</definedName>
    <definedName name="EFVM2" hidden="1">{"'RR'!$A$2:$E$81"}</definedName>
    <definedName name="EFVM3" hidden="1">{"'RR'!$A$2:$E$81"}</definedName>
    <definedName name="eGasAacu">#REF!</definedName>
    <definedName name="eGasAacuUS">#REF!</definedName>
    <definedName name="eGasAcu">#REF!</definedName>
    <definedName name="eGasAcuUS">#REF!</definedName>
    <definedName name="eGasmes">#REF!</definedName>
    <definedName name="eGasmesus">#REF!</definedName>
    <definedName name="EM">#REF!</definedName>
    <definedName name="Empregados_lotados_no_DPPS">#REF!</definedName>
    <definedName name="ENTRADAS">#REF!</definedName>
    <definedName name="equip">#REF!</definedName>
    <definedName name="Equipamento">#REF!</definedName>
    <definedName name="equipamentos">#REF!</definedName>
    <definedName name="Equipe">#REF!</definedName>
    <definedName name="equity">#REF!</definedName>
    <definedName name="EQUPS">#REF!</definedName>
    <definedName name="ERI" hidden="1">#REF!</definedName>
    <definedName name="ERRO" hidden="1">{"'CptDifn'!$AA$32:$AG$32"}</definedName>
    <definedName name="ERRO1" hidden="1">{"'CptDifn'!$AA$32:$AG$32"}</definedName>
    <definedName name="ERRO3" hidden="1">{"'CptDifn'!$AA$32:$AG$32"}</definedName>
    <definedName name="ERRO4" hidden="1">{"'CptDifn'!$AA$32:$AG$32"}</definedName>
    <definedName name="ERRO5" hidden="1">{"'CptDifn'!$AA$32:$AG$32"}</definedName>
    <definedName name="ERRO6" hidden="1">{"'CptDifn'!$AA$32:$AG$32"}</definedName>
    <definedName name="ERRRRRRRRRRRRRRRO" hidden="1">{"'CptDifn'!$AA$32:$AG$32"}</definedName>
    <definedName name="ESCTURMA">#REF!</definedName>
    <definedName name="ESEQ">#REF!</definedName>
    <definedName name="ESEQ1">#REF!</definedName>
    <definedName name="Est_0901">#REF!</definedName>
    <definedName name="Est_0902">#REF!</definedName>
    <definedName name="Est_0903">#REF!</definedName>
    <definedName name="Est_0904">#REF!</definedName>
    <definedName name="Est_0905">#REF!</definedName>
    <definedName name="Est_0906">#REF!</definedName>
    <definedName name="Est_0907">#REF!</definedName>
    <definedName name="Est_1001">#REF!</definedName>
    <definedName name="Est_1302">#REF!</definedName>
    <definedName name="Est_2003">#REF!</definedName>
    <definedName name="Est_2005">#REF!</definedName>
    <definedName name="Est_2006">#REF!</definedName>
    <definedName name="Est_2007">#REF!</definedName>
    <definedName name="Est_2008">#REF!</definedName>
    <definedName name="Est_2009">#REF!</definedName>
    <definedName name="Est_2010">#REF!</definedName>
    <definedName name="Est_7707">#REF!</definedName>
    <definedName name="Est_7708">#REF!</definedName>
    <definedName name="Est_8102">#REF!</definedName>
    <definedName name="Est_8104">#REF!</definedName>
    <definedName name="Est_8105">#REF!</definedName>
    <definedName name="Est_8106">#REF!</definedName>
    <definedName name="Est_8108">#REF!</definedName>
    <definedName name="Est_8109">#REF!</definedName>
    <definedName name="Est_8111">#REF!</definedName>
    <definedName name="Est_8112">#REF!</definedName>
    <definedName name="Est_8113">#REF!</definedName>
    <definedName name="Est_8114">#REF!</definedName>
    <definedName name="Est_8115">#REF!</definedName>
    <definedName name="est_B" hidden="1">{#N/A,#N/A,FALSE,"PCOL"}</definedName>
    <definedName name="Etapas">#REF!</definedName>
    <definedName name="eU" hidden="1">{#N/A,#N/A,FALSE,"PCOL"}</definedName>
    <definedName name="ev.Calculation" hidden="1">-4135</definedName>
    <definedName name="ev.Initialized" hidden="1">FALSE</definedName>
    <definedName name="Evalmov">#REF!</definedName>
    <definedName name="Evalmov1">#REF!</definedName>
    <definedName name="eVolChv">#REF!</definedName>
    <definedName name="EVolFat">#REF!</definedName>
    <definedName name="Evolmov">#REF!</definedName>
    <definedName name="Evolmov1">#REF!</definedName>
    <definedName name="ewew">#REF!</definedName>
    <definedName name="ExecPess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eytuetyueyueytu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FA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fasdfasfdadsf" hidden="1">{"'gráf jan00'!$A$1:$AK$41"}</definedName>
    <definedName name="fatorconv">#REF!</definedName>
    <definedName name="FCA" hidden="1">{"'Quadro'!$A$4:$BG$78"}</definedName>
    <definedName name="fdafd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DFDFDFDF" hidden="1">{"'gráf jan00'!$A$1:$AK$41"}</definedName>
    <definedName name="FEE">#REF!</definedName>
    <definedName name="FEE_asis">#REF!</definedName>
    <definedName name="fees">#REF!</definedName>
    <definedName name="fegregtrtg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femn">#REF!</definedName>
    <definedName name="FeMnAC50">#REF!</definedName>
    <definedName name="FeMnAC76">#REF!</definedName>
    <definedName name="femnex">#REF!</definedName>
    <definedName name="Fer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Fernanda" hidden="1">{#N/A,#N/A,TRUE,"indice";#N/A,#N/A,TRUE,"indicadores";#N/A,#N/A,TRUE,"comentarios"}</definedName>
    <definedName name="FeSiMn16">#REF!</definedName>
    <definedName name="ff" hidden="1">{"'gráf jan00'!$A$1:$AK$41"}</definedName>
    <definedName name="FFF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fff">#N/A</definedName>
    <definedName name="ffre" hidden="1">{"'RR'!$A$2:$E$81"}</definedName>
    <definedName name="FFVP" hidden="1">{"'gráf jan00'!$A$1:$AK$41"}</definedName>
    <definedName name="FFVP1" hidden="1">{"'gráf jan00'!$A$1:$AK$41"}</definedName>
    <definedName name="FFVP10" hidden="1">{"'gráf jan00'!$A$1:$AK$41"}</definedName>
    <definedName name="FFVP11" hidden="1">{"'gráf jan00'!$A$1:$AK$41"}</definedName>
    <definedName name="FFVP12" hidden="1">{"'gráf jan00'!$A$1:$AK$41"}</definedName>
    <definedName name="FFVP13" hidden="1">{"'gráf jan00'!$A$1:$AK$41"}</definedName>
    <definedName name="FFVP14" hidden="1">{"'gráf jan00'!$A$1:$AK$41"}</definedName>
    <definedName name="FFVP15" hidden="1">{"'gráf jan00'!$A$1:$AK$41"}</definedName>
    <definedName name="FFVP16" hidden="1">{"'gráf jan00'!$A$1:$AK$41"}</definedName>
    <definedName name="FFVP2" hidden="1">{"'gráf jan00'!$A$1:$AK$41"}</definedName>
    <definedName name="FFVP3" hidden="1">{"'gráf jan00'!$A$1:$AK$41"}</definedName>
    <definedName name="FFVP4" hidden="1">{"'gráf jan00'!$A$1:$AK$41"}</definedName>
    <definedName name="FFVP5" hidden="1">{"'gráf jan00'!$A$1:$AK$41"}</definedName>
    <definedName name="FFVP6" hidden="1">{"'gráf jan00'!$A$1:$AK$41"}</definedName>
    <definedName name="FFVP7" hidden="1">{"'gráf jan00'!$A$1:$AK$41"}</definedName>
    <definedName name="FFVP8" hidden="1">{"'gráf jan00'!$A$1:$AK$41"}</definedName>
    <definedName name="FFVP9" hidden="1">{"'gráf jan00'!$A$1:$AK$41"}</definedName>
    <definedName name="fhh" hidden="1">#REF!</definedName>
    <definedName name="fi">#REF!</definedName>
    <definedName name="figura1">#REF!</definedName>
    <definedName name="Fila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fill1" hidden="1">#REF!</definedName>
    <definedName name="fim">#REF!</definedName>
    <definedName name="fjrjrjrtj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Flump">#REF!</definedName>
    <definedName name="Fluxogram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oi" hidden="1">{"'Quadro'!$A$4:$BG$78"}</definedName>
    <definedName name="forno">#REF!</definedName>
    <definedName name="franco">#REF!</definedName>
    <definedName name="Frank" hidden="1">{#N/A,#N/A,TRUE,"Cover sheet";#N/A,#N/A,TRUE,"DCF analysis";#N/A,#N/A,TRUE,"WACC calculation"}</definedName>
    <definedName name="FRDdia">#REF!</definedName>
    <definedName name="frde" hidden="1">{"'RR'!$A$2:$E$81"}</definedName>
    <definedName name="FRDEFT" hidden="1">{"'RR'!$A$2:$E$81"}</definedName>
    <definedName name="fre" hidden="1">{"'RR'!$A$2:$E$81"}</definedName>
    <definedName name="fred" hidden="1">{"'RR'!$A$2:$E$81"}</definedName>
    <definedName name="FROTA" hidden="1">{"'Quadro'!$A$4:$BG$78"}</definedName>
    <definedName name="fsadfasd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fsd" hidden="1">{"'gráf jan00'!$A$1:$AK$41"}</definedName>
    <definedName name="FTG" hidden="1">{"'RR'!$A$2:$E$81"}</definedName>
    <definedName name="ftr" hidden="1">{"'RR'!$A$2:$E$81"}</definedName>
    <definedName name="FU">#REF!</definedName>
    <definedName name="FU_asis">#REF!</definedName>
    <definedName name="fx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afdgad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agadgffg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agagd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AMAN" hidden="1">{#N/A,#N/A,FALSE,"PCOL"}</definedName>
    <definedName name="gamen" hidden="1">{#N/A,#N/A,FALSE,"PCOL"}</definedName>
    <definedName name="GAMON" hidden="1">{#N/A,#N/A,FALSE,"PCOL"}</definedName>
    <definedName name="Ganhos_intangiveis">#REF!</definedName>
    <definedName name="Ganhos_Tangiveis">#REF!</definedName>
    <definedName name="GASGEMIS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Gasgepos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GAVTG" hidden="1">{"'gráf jan00'!$A$1:$AK$41"}</definedName>
    <definedName name="GC">#REF!</definedName>
    <definedName name="geaga" hidden="1">{"'Quadro'!$A$4:$BG$78"}</definedName>
    <definedName name="gemin" hidden="1">{#N/A,#N/A,FALSE,"PCOL"}</definedName>
    <definedName name="Gemop" hidden="1">{#N/A,#N/A,TRUE,"indice";#N/A,#N/A,TRUE,"indicadores";#N/A,#N/A,TRUE,"comentarios"}</definedName>
    <definedName name="getep" hidden="1">{#N/A,#N/A,TRUE,"indice";#N/A,#N/A,TRUE,"indicadores";#N/A,#N/A,TRUE,"comentarios"}</definedName>
    <definedName name="gg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ggad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ggggg" hidden="1">{"'ReceitaLiquidaME'!$AA$25:$AN$32"}</definedName>
    <definedName name="ggtggg" hidden="1">{#N/A,#N/A,FALSE,"DEF1";#N/A,#N/A,FALSE,"DEF2";#N/A,#N/A,FALSE,"DEF3"}</definedName>
    <definedName name="gogo" hidden="1">{#N/A,#N/A,TRUE,"Cover sheet";#N/A,#N/A,TRUE,"INPUTS";#N/A,#N/A,TRUE,"OUTPUTS";#N/A,#N/A,TRUE,"VALUATION"}</definedName>
    <definedName name="GQ">#REF!</definedName>
    <definedName name="GRAF_10A" hidden="1">{#N/A,#N/A,FALSE,"SITUAÇÃO DIÁRIA ";#N/A,#N/A,FALSE,"7 à 7"}</definedName>
    <definedName name="GRAF_11A" hidden="1">{#N/A,#N/A,FALSE,"SITUAÇÃO DIÁRIA ";#N/A,#N/A,FALSE,"7 à 7"}</definedName>
    <definedName name="GRAF_12A" hidden="1">{#N/A,#N/A,FALSE,"SITUAÇÃO DIÁRIA ";#N/A,#N/A,FALSE,"7 à 7"}</definedName>
    <definedName name="GRAF_21" hidden="1">{#N/A,#N/A,FALSE,"SITUAÇÃO DIÁRIA ";#N/A,#N/A,FALSE,"7 à 7"}</definedName>
    <definedName name="graf_3" hidden="1">{#N/A,#N/A,FALSE,"SITUAÇÃO DIÁRIA ";#N/A,#N/A,FALSE,"7 à 7"}</definedName>
    <definedName name="Grafico">#N/A</definedName>
    <definedName name="GráficoICD" hidden="1">#N/A</definedName>
    <definedName name="_xlnm.Recorder">#REF!</definedName>
    <definedName name="GRF" hidden="1">{"'RR'!$A$2:$E$81"}</definedName>
    <definedName name="grtgert" hidden="1">{#N/A,#N/A,TRUE,"indice";#N/A,#N/A,TRUE,"indicadores";#N/A,#N/A,TRUE,"comentarios"}</definedName>
    <definedName name="gsdag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upob01Real" hidden="1">{#N/A,#N/A,FALSE,"Suprimentos";#N/A,#N/A,FALSE,"Medicina e Segurança";#N/A,#N/A,FALSE,"Administração";#N/A,#N/A,FALSE,"Meio Ambiente";#N/A,#N/A,FALSE,"Operação (Mina)";#N/A,#N/A,FALSE,"Operação (Porto)"}</definedName>
    <definedName name="gvgg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GYHU6J">#N/A</definedName>
    <definedName name="GYU" hidden="1">{"'ReceitaLiquidaME'!$AA$25:$AN$32"}</definedName>
    <definedName name="h" hidden="1">#REF!</definedName>
    <definedName name="hbfghfgh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hfh" hidden="1">{"'REL CUSTODIF'!$B$1:$H$72"}</definedName>
    <definedName name="hhgfgfg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hhhhhh" hidden="1">{"'ReceitaLiquidaME'!$AA$25:$AN$32"}</definedName>
    <definedName name="HISPANOBRAS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hjlhl">#REF!</definedName>
    <definedName name="HK">#REF!</definedName>
    <definedName name="hoje">#REF!</definedName>
    <definedName name="horas">#REF!</definedName>
    <definedName name="hrfghre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Html" hidden="1">{"'Rend_Op'!$A$41:$AG$43"}</definedName>
    <definedName name="HTML_CodePage" hidden="1">1252</definedName>
    <definedName name="HTML_Control" hidden="1">{"'ReceitaLiquidaME'!$AA$25:$AN$32"}</definedName>
    <definedName name="HTML_Control_2" hidden="1">{"'ReceitaLiquidaME'!$AA$25:$AN$32"}</definedName>
    <definedName name="HTML_Control1" hidden="1">{"'Placar Intranet'!$A$2:$K$24"}</definedName>
    <definedName name="HTML_Description" hidden="1">""</definedName>
    <definedName name="HTML_Email" hidden="1">""</definedName>
    <definedName name="HTML_Header" hidden="1">""</definedName>
    <definedName name="HTML_LastUpdate" hidden="1">"15/08/2000 (Atualização Mensal)"</definedName>
    <definedName name="HTML_LineAfter" hidden="1">FALSE</definedName>
    <definedName name="HTML_LineBefore" hidden="1">FALSE</definedName>
    <definedName name="HTML_Name" hidden="1">"GACON (866-4325)"</definedName>
    <definedName name="HTML_OBDlg2" hidden="1">TRUE</definedName>
    <definedName name="HTML_OBDlg3" hidden="1">TRUE</definedName>
    <definedName name="HTML_OBDlg4" hidden="1">TRUE</definedName>
    <definedName name="HTML_OS" hidden="1">0</definedName>
    <definedName name="HTML_PathFile" hidden="1">"C:\Performance_Intranet\outrosindicadores\indicadoresrh.htm"</definedName>
    <definedName name="HTML_PathTemplate" hidden="1">"C:\WINDOWS\Desktop\HTMLTemp.htm"</definedName>
    <definedName name="HTML_Title" hidden="1">""</definedName>
    <definedName name="HU" hidden="1">{"'gráf jan00'!$A$1:$AK$41"}</definedName>
    <definedName name="i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ID_UGCCATDT">#REF!</definedName>
    <definedName name="Identificação_EFVM" hidden="1">{"'RR'!$A$2:$E$81"}</definedName>
    <definedName name="im">#REF!</definedName>
    <definedName name="imp">#REF!</definedName>
    <definedName name="import_alta">#REF!</definedName>
    <definedName name="import_baixa">#REF!</definedName>
    <definedName name="import_media">#REF!</definedName>
    <definedName name="Importação">#REF!</definedName>
    <definedName name="imposto">#REF!</definedName>
    <definedName name="imposto_depois">#REF!</definedName>
    <definedName name="impressão">#REF!</definedName>
    <definedName name="in" hidden="1">{#N/A,#N/A,FALSE,"DEF1";#N/A,#N/A,FALSE,"DEF2";#N/A,#N/A,FALSE,"DEF3"}</definedName>
    <definedName name="incluir" hidden="1">TRUE</definedName>
    <definedName name="Indicador_Desempenho">#REF!</definedName>
    <definedName name="Inicio">#N/A</definedName>
    <definedName name="Intran" hidden="1">{"'teste'!$B$2:$R$49"}</definedName>
    <definedName name="Inv_aprovado">#REF!</definedName>
    <definedName name="INV_ECON_MENSAL" hidden="1">{#N/A,#N/A,FALSE,"DEF1";#N/A,#N/A,FALSE,"DEF2";#N/A,#N/A,FALSE,"DEF3"}</definedName>
    <definedName name="inv_financ_Mensal_desemb" hidden="1">{#N/A,#N/A,FALSE,"DEF1";#N/A,#N/A,FALSE,"DEF2";#N/A,#N/A,FALSE,"DEF3"}</definedName>
    <definedName name="investimento">#REF!</definedName>
    <definedName name="Investimento_Ano_Anterior">#REF!</definedName>
    <definedName name="Investimento_Ano0">#REF!</definedName>
    <definedName name="Investimento_Ano1">#REF!</definedName>
    <definedName name="Investimento_Ano2">#REF!</definedName>
    <definedName name="Investimento_Ano3">#REF!</definedName>
    <definedName name="Investimento_Ano4">#REF!</definedName>
    <definedName name="Investimento_Ano5">#REF!</definedName>
    <definedName name="Investimento_Ano6">#REF!</definedName>
    <definedName name="Investimento_Total_RS">#REF!</definedName>
    <definedName name="Investimento_Total_US">#REF!</definedName>
    <definedName name="Investir">#REF!</definedName>
    <definedName name="Investir_04">#REF!</definedName>
    <definedName name="Investir_4">#REF!</definedName>
    <definedName name="IS">#REF!</definedName>
    <definedName name="ise">#REF!</definedName>
    <definedName name="iueyiewijksjdkjksa">#REF!</definedName>
    <definedName name="ivan" hidden="1">{"'gráf jan00'!$A$1:$AK$41"}</definedName>
    <definedName name="j" hidden="1">{"'CptDifn'!$AA$32:$AG$32"}</definedName>
    <definedName name="JAJA">#N/A</definedName>
    <definedName name="Jan_Al">#REF!</definedName>
    <definedName name="Jan_Fe">#REF!</definedName>
    <definedName name="Jan_Mn">#REF!</definedName>
    <definedName name="Jan_P">#REF!</definedName>
    <definedName name="Jan_Si">#REF!</definedName>
    <definedName name="janal">#REF!</definedName>
    <definedName name="jryhjtry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jujk" hidden="1">{#N/A,#N/A,FALSE,"PCOL"}</definedName>
    <definedName name="JUL" hidden="1">{"'280700'!$A$7:$L$37"}</definedName>
    <definedName name="Justificativa" hidden="1">{"'Complexo Itabira'!$D$1:$N$95"}</definedName>
    <definedName name="Justificativa_estrategia">#REF!</definedName>
    <definedName name="JUSTIFICATIVAS" hidden="1">{"'Complexo Itabira'!$D$1:$N$95"}</definedName>
    <definedName name="jythjty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k" hidden="1">{#N/A,#N/A,FALSE,"PCOL"}</definedName>
    <definedName name="Kd">#REF!</definedName>
    <definedName name="khtykfh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KI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kiuy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kjhl">#REF!</definedName>
    <definedName name="kmh" hidden="1">{#N/A,#N/A,TRUE,"Cover sheet";#N/A,#N/A,TRUE,"DCF analysis";#N/A,#N/A,TRUE,"WACC calculation"}</definedName>
    <definedName name="ko" hidden="1">{#N/A,#N/A,FALSE,"PCOL"}</definedName>
    <definedName name="kskjiwuie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LBA">#REF!</definedName>
    <definedName name="LDFMTPISEGO">#REF!</definedName>
    <definedName name="LEASING">#REF!</definedName>
    <definedName name="LES">#REF!</definedName>
    <definedName name="let" hidden="1">"Quadro Logistico Maio"</definedName>
    <definedName name="LI">#REF!</definedName>
    <definedName name="LILIAN">#REF!</definedName>
    <definedName name="Limite_reduc">#REF!</definedName>
    <definedName name="LIT_0901">#REF!</definedName>
    <definedName name="LIT_0902">#REF!</definedName>
    <definedName name="LIT_0903">#REF!</definedName>
    <definedName name="LIT_0904">#REF!</definedName>
    <definedName name="LIT_0905">#REF!</definedName>
    <definedName name="LIT_0906">#REF!</definedName>
    <definedName name="LIT_0907">#REF!</definedName>
    <definedName name="LIT_1001">#REF!</definedName>
    <definedName name="LIT_1302">#REF!</definedName>
    <definedName name="LIT_2003">#REF!</definedName>
    <definedName name="LIT_2005">#REF!</definedName>
    <definedName name="LIT_2006">#REF!</definedName>
    <definedName name="LIT_2007">#REF!</definedName>
    <definedName name="LIT_2008">#REF!</definedName>
    <definedName name="LIT_2009">#REF!</definedName>
    <definedName name="LIT_2010">#REF!</definedName>
    <definedName name="LIT_7707">#REF!</definedName>
    <definedName name="LIT_7708">#REF!</definedName>
    <definedName name="LIT_8102">#REF!</definedName>
    <definedName name="LIT_8104">#REF!</definedName>
    <definedName name="LIT_8105">#REF!</definedName>
    <definedName name="LIT_8106">#REF!</definedName>
    <definedName name="LIT_8108">#REF!</definedName>
    <definedName name="LIT_8109">#REF!</definedName>
    <definedName name="LIT_8111">#REF!</definedName>
    <definedName name="LIT_8112">#REF!</definedName>
    <definedName name="LIT_8113">#REF!</definedName>
    <definedName name="LIT_8114">#REF!</definedName>
    <definedName name="LIT_8115">#REF!</definedName>
    <definedName name="LLL">#REF!</definedName>
    <definedName name="LMA">#REF!</definedName>
    <definedName name="LMG">#REF!</definedName>
    <definedName name="lmlm">#REF!</definedName>
    <definedName name="Localidade">#REF!</definedName>
    <definedName name="Lote">#N/A</definedName>
    <definedName name="LoteBolota">#N/A</definedName>
    <definedName name="LoteBonito2" hidden="1">{"'Resumo2'!$B$2:$J$23"}</definedName>
    <definedName name="LPA">#REF!</definedName>
    <definedName name="LRJ">#REF!</definedName>
    <definedName name="LS01Maior">#REF!</definedName>
    <definedName name="LS01Menor">#REF!</definedName>
    <definedName name="LS02Maior">#REF!</definedName>
    <definedName name="LS02Menor">#REF!</definedName>
    <definedName name="LS03Maior">#REF!</definedName>
    <definedName name="LS03Menor">#REF!</definedName>
    <definedName name="LSP">#REF!</definedName>
    <definedName name="Macro1">#REF!</definedName>
    <definedName name="Macro10">#N/A</definedName>
    <definedName name="macro100">#N/A</definedName>
    <definedName name="Macro11">#N/A</definedName>
    <definedName name="macro1111">#N/A</definedName>
    <definedName name="Macro12">#REF!</definedName>
    <definedName name="Macro13">#REF!</definedName>
    <definedName name="Macro14">#REF!</definedName>
    <definedName name="Macro15">#REF!</definedName>
    <definedName name="MACRO150">#N/A</definedName>
    <definedName name="Macro16">#REF!</definedName>
    <definedName name="Macro17">#REF!</definedName>
    <definedName name="Macro18">#REF!</definedName>
    <definedName name="Macro19">#REF!</definedName>
    <definedName name="Macro2">#REF!</definedName>
    <definedName name="Macro20">#REF!</definedName>
    <definedName name="Macro21">#REF!</definedName>
    <definedName name="Macro22">#REF!</definedName>
    <definedName name="Macro23">#REF!</definedName>
    <definedName name="Macro24">#REF!</definedName>
    <definedName name="Macro25">#REF!</definedName>
    <definedName name="Macro26">#REF!</definedName>
    <definedName name="Macro27">#REF!</definedName>
    <definedName name="Macro28">#REF!</definedName>
    <definedName name="MACRO29">#REF!</definedName>
    <definedName name="Macro3">#N/A</definedName>
    <definedName name="Macro30">#N/A</definedName>
    <definedName name="Macro32">#REF!</definedName>
    <definedName name="Macro33">#REF!</definedName>
    <definedName name="Macro34">#REF!</definedName>
    <definedName name="Macro35">#REF!</definedName>
    <definedName name="Macro37">#REF!</definedName>
    <definedName name="Macro38">#REF!</definedName>
    <definedName name="Macro39">#REF!</definedName>
    <definedName name="Macro40">#REF!</definedName>
    <definedName name="Macro41">#REF!</definedName>
    <definedName name="Macro43">#REF!</definedName>
    <definedName name="Macro44">#REF!</definedName>
    <definedName name="MACRO45">#REF!</definedName>
    <definedName name="Macro46">#REF!</definedName>
    <definedName name="Macro47">#REF!</definedName>
    <definedName name="Macro48">#REF!</definedName>
    <definedName name="Macro49">#REF!</definedName>
    <definedName name="Macro5">#N/A</definedName>
    <definedName name="Macro50">#REF!</definedName>
    <definedName name="Macro51">#REF!</definedName>
    <definedName name="Macro52">#REF!</definedName>
    <definedName name="Macro53">#REF!</definedName>
    <definedName name="Macro54">#REF!</definedName>
    <definedName name="MACRO55">#REF!</definedName>
    <definedName name="Macro56">#REF!</definedName>
    <definedName name="Macro57">#REF!</definedName>
    <definedName name="Macro6">#REF!</definedName>
    <definedName name="Macro63">#REF!</definedName>
    <definedName name="MACRO65">#REF!</definedName>
    <definedName name="Macro7">#REF!</definedName>
    <definedName name="Macro70">#REF!</definedName>
    <definedName name="Macro71">#REF!</definedName>
    <definedName name="Macro72">#REF!</definedName>
    <definedName name="Macro73">#REF!</definedName>
    <definedName name="Macro74">#REF!</definedName>
    <definedName name="Macro75">#REF!</definedName>
    <definedName name="Macro76">#REF!</definedName>
    <definedName name="Macro77">#REF!</definedName>
    <definedName name="Macro78">#REF!</definedName>
    <definedName name="Macro79">#REF!</definedName>
    <definedName name="Macro8">#REF!</definedName>
    <definedName name="Macro80">#REF!</definedName>
    <definedName name="MACRO85">#REF!</definedName>
    <definedName name="Macro9">#REF!</definedName>
    <definedName name="MACRO95">#REF!</definedName>
    <definedName name="mal" hidden="1">{"'Quadro'!$A$4:$BG$78"}</definedName>
    <definedName name="MANGANES">#REF!</definedName>
    <definedName name="MANU" hidden="1">{"'Placar Intranet'!$A$2:$K$24"}</definedName>
    <definedName name="Manutencao">#REF!</definedName>
    <definedName name="Manutenções">#REF!</definedName>
    <definedName name="MAR" hidden="1">{"'RR'!$A$2:$E$81"}</definedName>
    <definedName name="margem_ct">#REF!</definedName>
    <definedName name="MARIA" hidden="1">{"'gráf jan00'!$A$1:$AK$41"}</definedName>
    <definedName name="MATPRI">#REF!</definedName>
    <definedName name="MatrizCorrel2003">#REF!</definedName>
    <definedName name="MáxPFCJ">#REF!</definedName>
    <definedName name="MáxPPLX">#REF!</definedName>
    <definedName name="mercia" hidden="1">{"'REL CUSTODIF'!$B$1:$H$72"}</definedName>
    <definedName name="MES">#REF!</definedName>
    <definedName name="Mesant">#REF!</definedName>
    <definedName name="META">#REF!</definedName>
    <definedName name="metasantigas" hidden="1">{"'gráf jan00'!$A$1:$AK$41"}</definedName>
    <definedName name="min_0901">#REF!</definedName>
    <definedName name="min_0902">#REF!</definedName>
    <definedName name="min_0903">#REF!</definedName>
    <definedName name="min_0904">#REF!</definedName>
    <definedName name="min_0905">#REF!</definedName>
    <definedName name="min_0906">#REF!</definedName>
    <definedName name="min_0907">#REF!</definedName>
    <definedName name="min_1001">#REF!</definedName>
    <definedName name="min_1302">#REF!</definedName>
    <definedName name="min_2003">#REF!</definedName>
    <definedName name="min_2005">#REF!</definedName>
    <definedName name="min_2006">#REF!</definedName>
    <definedName name="min_2007">#REF!</definedName>
    <definedName name="min_2008">#REF!</definedName>
    <definedName name="min_2009">#REF!</definedName>
    <definedName name="min_2010">#REF!</definedName>
    <definedName name="min_7707">#REF!</definedName>
    <definedName name="min_7708">#REF!</definedName>
    <definedName name="min_8102">#REF!</definedName>
    <definedName name="min_8104">#REF!</definedName>
    <definedName name="min_8105">#REF!</definedName>
    <definedName name="min_8106">#REF!</definedName>
    <definedName name="min_8108">#REF!</definedName>
    <definedName name="min_8109">#REF!</definedName>
    <definedName name="min_8111">#REF!</definedName>
    <definedName name="min_8112">#REF!</definedName>
    <definedName name="min_8113">#REF!</definedName>
    <definedName name="min_8114">#REF!</definedName>
    <definedName name="min_8115">#REF!</definedName>
    <definedName name="MINA_RELATÓRIO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MínPFCJ">#REF!</definedName>
    <definedName name="MínPPLX">#REF!</definedName>
    <definedName name="mm">#REF!</definedName>
    <definedName name="mmm" hidden="1">#REF!</definedName>
    <definedName name="mmmm" hidden="1">{"'Quadro'!$A$4:$BG$78"}</definedName>
    <definedName name="MOA" hidden="1">{#N/A,#N/A,FALSE,"DEF1";#N/A,#N/A,FALSE,"DEF2";#N/A,#N/A,FALSE,"DEF3"}</definedName>
    <definedName name="MODELO" hidden="1">{#N/A,#N/A,FALSE,"SITUAÇÃO DIÁRIA ";#N/A,#N/A,FALSE,"7 à 7"}</definedName>
    <definedName name="Módulo1.Macro1">#REF!</definedName>
    <definedName name="Módulo1.Macro2">#REF!</definedName>
    <definedName name="Módulo1.Macro3">#REF!</definedName>
    <definedName name="Módulo1.Macro4">#REF!</definedName>
    <definedName name="Módulo1.Macro5">#REF!</definedName>
    <definedName name="Módulo1.Macro6">#REF!</definedName>
    <definedName name="mshare">#REF!</definedName>
    <definedName name="MULHRT" hidden="1">{"'gráf jan00'!$A$1:$AK$41"}</definedName>
    <definedName name="n" hidden="1">{"'CptDifn'!$AA$32:$AG$32"}</definedName>
    <definedName name="N.Ferrosos" hidden="1">{"'CptDifn'!$AA$32:$AG$32"}</definedName>
    <definedName name="N4E">#REF!</definedName>
    <definedName name="N4WC">#REF!</definedName>
    <definedName name="N4WN">#REF!</definedName>
    <definedName name="N5E">#REF!</definedName>
    <definedName name="N5W">#REF!</definedName>
    <definedName name="n5wa">#REF!</definedName>
    <definedName name="nathalia" hidden="1">{"'IndicadoresRH'!$AA$50:$AP$67"}</definedName>
    <definedName name="Natureza">#REF!</definedName>
    <definedName name="negócio" hidden="1">{"'gráf jan00'!$A$1:$AK$41"}</definedName>
    <definedName name="newDC" hidden="1">{#N/A,#N/A,TRUE,"Cover sheet";#N/A,#N/A,TRUE,"DCF analysis";#N/A,#N/A,TRUE,"WACC calculation"}</definedName>
    <definedName name="NewMatrix">#REF!</definedName>
    <definedName name="NewMatrix2004">#REF!</definedName>
    <definedName name="nnln">#REF!</definedName>
    <definedName name="NOME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NOME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NOME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NOME4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NOME5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np">#REF!</definedName>
    <definedName name="NP2noN6F1">#REF!</definedName>
    <definedName name="NP2noNACJ">#REF!</definedName>
    <definedName name="NP2noNBCJ">#REF!</definedName>
    <definedName name="NP2noNPCJ">#REF!</definedName>
    <definedName name="NP2rom">#REF!</definedName>
    <definedName name="NP3noNACJ">#REF!</definedName>
    <definedName name="NP3noNBCJ">#REF!</definedName>
    <definedName name="NP3noNPCJ">#REF!</definedName>
    <definedName name="NP3rom">#REF!</definedName>
    <definedName name="NvsASD">"V2001-12-31"</definedName>
    <definedName name="NvsAutoDrillOk">"VN"</definedName>
    <definedName name="NvsElapsedTime">0.00128807870351011</definedName>
    <definedName name="NvsEndTime">36969.4292877315</definedName>
    <definedName name="NvsInstSpec">"%,FBU_FILIAL,TENTIDADES,NTMA"</definedName>
    <definedName name="NvsLayoutType">"M3"</definedName>
    <definedName name="NvsPanelEffdt">"V1990-01-01"</definedName>
    <definedName name="NvsPanelSetid">"VMODEL"</definedName>
    <definedName name="NvsReqBU">"VTEL"</definedName>
    <definedName name="NvsReqBUOnly">"VN"</definedName>
    <definedName name="NvsTransLed">"VN"</definedName>
    <definedName name="NvsTreeASD">"V2050-01-01"</definedName>
    <definedName name="NvsValTbl.BUSINESS_UNIT">"BUS_UNIT_TBL_GL"</definedName>
    <definedName name="o" hidden="1">{"'CptDifn'!$AA$32:$AG$32"}</definedName>
    <definedName name="Objetivo">#REF!</definedName>
    <definedName name="Objeto">#REF!</definedName>
    <definedName name="Ocorrencias">#REF!</definedName>
    <definedName name="OD">#REF!</definedName>
    <definedName name="OM">OFFSET(#REF!,0,0,COUNTA(#REF!)-1,1)</definedName>
    <definedName name="OM_0901">#REF!</definedName>
    <definedName name="OM_0902">#REF!</definedName>
    <definedName name="OM_0903">#REF!</definedName>
    <definedName name="OM_0904">#REF!</definedName>
    <definedName name="OM_0905">#REF!</definedName>
    <definedName name="OM_0906">#REF!</definedName>
    <definedName name="OM_0907">#REF!</definedName>
    <definedName name="OM_1001">#REF!</definedName>
    <definedName name="OM_1302">#REF!</definedName>
    <definedName name="OM_2003">#REF!</definedName>
    <definedName name="OM_2005">#REF!</definedName>
    <definedName name="OM_2006">#REF!</definedName>
    <definedName name="OM_2007">#REF!</definedName>
    <definedName name="OM_2008">#REF!</definedName>
    <definedName name="OM_2009">#REF!</definedName>
    <definedName name="OM_2010">#REF!</definedName>
    <definedName name="OM_7707">#REF!</definedName>
    <definedName name="OM_7708">#REF!</definedName>
    <definedName name="OM_8102">#REF!</definedName>
    <definedName name="OM_8104">#REF!</definedName>
    <definedName name="OM_8105">#REF!</definedName>
    <definedName name="OM_8106">#REF!</definedName>
    <definedName name="OM_8108">#REF!</definedName>
    <definedName name="OM_8109">#REF!</definedName>
    <definedName name="OM_8111">#REF!</definedName>
    <definedName name="OM_8112">#REF!</definedName>
    <definedName name="OM_8113">#REF!</definedName>
    <definedName name="OM_8114">#REF!</definedName>
    <definedName name="OM_8115">#REF!</definedName>
    <definedName name="OMPROD">OFFSET(#REF!,0,0,COUNTA(#REF!)-1,1)</definedName>
    <definedName name="OMREC">OFFSET(#REF!,0,0,COUNTA(#REF!)-1,1)</definedName>
    <definedName name="OMS">#REF!</definedName>
    <definedName name="once">#REF!</definedName>
    <definedName name="OOO" hidden="1">{#N/A,#N/A,FALSE,"SITUAÇÃO DIÁRIA ";#N/A,#N/A,FALSE,"7 à 7"}</definedName>
    <definedName name="OperChv">#REF!</definedName>
    <definedName name="OR_0901">#REF!</definedName>
    <definedName name="OR_0902">#REF!</definedName>
    <definedName name="OR_0903">#REF!</definedName>
    <definedName name="OR_0904">#REF!</definedName>
    <definedName name="OR_0905">#REF!</definedName>
    <definedName name="OR_0906">#REF!</definedName>
    <definedName name="OR_0907">#REF!</definedName>
    <definedName name="OR_1001">#REF!</definedName>
    <definedName name="OR_1302">#REF!</definedName>
    <definedName name="OR_2003">#REF!</definedName>
    <definedName name="OR_2005">#REF!</definedName>
    <definedName name="OR_2006">#REF!</definedName>
    <definedName name="OR_2007">#REF!</definedName>
    <definedName name="OR_2008">#REF!</definedName>
    <definedName name="OR_2009">#REF!</definedName>
    <definedName name="OR_2010">#REF!</definedName>
    <definedName name="OR_7707">#REF!</definedName>
    <definedName name="OR_7708">#REF!</definedName>
    <definedName name="OR_8102">#REF!</definedName>
    <definedName name="OR_8104">#REF!</definedName>
    <definedName name="OR_8105">#REF!</definedName>
    <definedName name="OR_8106">#REF!</definedName>
    <definedName name="OR_8108">#REF!</definedName>
    <definedName name="OR_8109">#REF!</definedName>
    <definedName name="OR_8111">#REF!</definedName>
    <definedName name="OR_8112">#REF!</definedName>
    <definedName name="OR_8113">#REF!</definedName>
    <definedName name="OR_8114">#REF!</definedName>
    <definedName name="OR_8115">#REF!</definedName>
    <definedName name="OUT" hidden="1">{"'280700'!$A$7:$L$37"}</definedName>
    <definedName name="outo">#REF!</definedName>
    <definedName name="oVolacu">#REF!</definedName>
    <definedName name="oVolAno">#REF!</definedName>
    <definedName name="oVolchv">#REF!</definedName>
    <definedName name="OVOLFAT">#REF!</definedName>
    <definedName name="oVolmes">#REF!</definedName>
    <definedName name="P" hidden="1">{"'gráf jan00'!$A$1:$AK$41"}</definedName>
    <definedName name="Pal_Workbook_GUID" hidden="1">"R8KDBISBJRVIMCLBL32JIFE2"</definedName>
    <definedName name="pAnoRL">#REF!</definedName>
    <definedName name="pAnoUS">#REF!</definedName>
    <definedName name="PassaExtenso">#REF!</definedName>
    <definedName name="pata" hidden="1">{#N/A,#N/A,FALSE,"SITUAÇÃO DIÁRIA ";#N/A,#N/A,FALSE,"7 à 7"}</definedName>
    <definedName name="Payback">#REF!</definedName>
    <definedName name="PAZ.COM.N" hidden="1">{"'TelRDAV'!$A$1:$T$20"}</definedName>
    <definedName name="PCRNATDT">#REF!</definedName>
    <definedName name="percentual_eq">#REF!</definedName>
    <definedName name="perda">#REF!</definedName>
    <definedName name="perdaE_0901">#REF!</definedName>
    <definedName name="perdaE_0902">#REF!</definedName>
    <definedName name="perdaE_0903">#REF!</definedName>
    <definedName name="perdaE_0904">#REF!</definedName>
    <definedName name="perdaE_0905">#REF!</definedName>
    <definedName name="perdaE_0906">#REF!</definedName>
    <definedName name="perdaE_0907">#REF!</definedName>
    <definedName name="perdaE_1001">#REF!</definedName>
    <definedName name="perdaE_1302">#REF!</definedName>
    <definedName name="perdaE_2003">#REF!</definedName>
    <definedName name="perdaE_2005">#REF!</definedName>
    <definedName name="perdaE_2006">#REF!</definedName>
    <definedName name="perdaE_2007">#REF!</definedName>
    <definedName name="perdaE_2008">#REF!</definedName>
    <definedName name="perdaE_2009">#REF!</definedName>
    <definedName name="perdaE_2010">#REF!</definedName>
    <definedName name="perdaE_7707">#REF!</definedName>
    <definedName name="perdaE_7708">#REF!</definedName>
    <definedName name="perdaE_8102">#REF!</definedName>
    <definedName name="perdaE_8104">#REF!</definedName>
    <definedName name="perdaE_8105">#REF!</definedName>
    <definedName name="perdaE_8106">#REF!</definedName>
    <definedName name="perdaE_8108">#REF!</definedName>
    <definedName name="perdaE_8109">#REF!</definedName>
    <definedName name="perdaE_8111">#REF!</definedName>
    <definedName name="perdaE_8112">#REF!</definedName>
    <definedName name="perdaE_8113">#REF!</definedName>
    <definedName name="perdaE_8114">#REF!</definedName>
    <definedName name="perdaE_8115">#REF!</definedName>
    <definedName name="perdaM_0901">#REF!</definedName>
    <definedName name="perdaM_0902">#REF!</definedName>
    <definedName name="perdaM_0903">#REF!</definedName>
    <definedName name="perdaM_0904">#REF!</definedName>
    <definedName name="perdaM_0905">#REF!</definedName>
    <definedName name="perdaM_0906">#REF!</definedName>
    <definedName name="perdaM_0907">#REF!</definedName>
    <definedName name="perdaM_1001">#REF!</definedName>
    <definedName name="perdaM_1302">#REF!</definedName>
    <definedName name="perdaM_2003">#REF!</definedName>
    <definedName name="perdaM_2005">#REF!</definedName>
    <definedName name="perdaM_2006">#REF!</definedName>
    <definedName name="perdaM_2007">#REF!</definedName>
    <definedName name="perdaM_2008">#REF!</definedName>
    <definedName name="perdaM_2009">#REF!</definedName>
    <definedName name="perdaM_2010">#REF!</definedName>
    <definedName name="perdaM_7707">#REF!</definedName>
    <definedName name="perdaM_7708">#REF!</definedName>
    <definedName name="perdaM_8102">#REF!</definedName>
    <definedName name="perdaM_8104">#REF!</definedName>
    <definedName name="perdaM_8105">#REF!</definedName>
    <definedName name="perdaM_8106">#REF!</definedName>
    <definedName name="perdaM_8108">#REF!</definedName>
    <definedName name="perdaM_8109">#REF!</definedName>
    <definedName name="perdaM_8111">#REF!</definedName>
    <definedName name="perdaM_8112">#REF!</definedName>
    <definedName name="perdaM_8113">#REF!</definedName>
    <definedName name="perdaM_8114">#REF!</definedName>
    <definedName name="perdaM_8115">#REF!</definedName>
    <definedName name="perdaO_0901">#REF!</definedName>
    <definedName name="perdaO_0902">#REF!</definedName>
    <definedName name="perdaO_0903">#REF!</definedName>
    <definedName name="perdaO_0904">#REF!</definedName>
    <definedName name="perdaO_0905">#REF!</definedName>
    <definedName name="perdaO_0906">#REF!</definedName>
    <definedName name="perdaO_0907">#REF!</definedName>
    <definedName name="perdaO_1001">#REF!</definedName>
    <definedName name="perdaO_1302">#REF!</definedName>
    <definedName name="perdaO_2003">#REF!</definedName>
    <definedName name="perdaO_2005">#REF!</definedName>
    <definedName name="perdaO_2006">#REF!</definedName>
    <definedName name="perdaO_2007">#REF!</definedName>
    <definedName name="perdaO_2008">#REF!</definedName>
    <definedName name="perdaO_2009">#REF!</definedName>
    <definedName name="perdaO_2010">#REF!</definedName>
    <definedName name="perdaO_7707">#REF!</definedName>
    <definedName name="perdaO_7708">#REF!</definedName>
    <definedName name="perdaO_8102">#REF!</definedName>
    <definedName name="perdaO_8104">#REF!</definedName>
    <definedName name="perdaO_8105">#REF!</definedName>
    <definedName name="perdaO_8106">#REF!</definedName>
    <definedName name="perdaO_8108">#REF!</definedName>
    <definedName name="perdaO_8109">#REF!</definedName>
    <definedName name="perdaO_8111">#REF!</definedName>
    <definedName name="perdaO_8112">#REF!</definedName>
    <definedName name="perdaO_8113">#REF!</definedName>
    <definedName name="perdaO_8114">#REF!</definedName>
    <definedName name="perdaO_8115">#REF!</definedName>
    <definedName name="perdas">#REF!</definedName>
    <definedName name="pfAnoProp">#REF!</definedName>
    <definedName name="PFCJdia">#REF!</definedName>
    <definedName name="pGasanoUS">#REF!</definedName>
    <definedName name="plan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lan2">#N/A</definedName>
    <definedName name="Planilha" hidden="1">#REF!</definedName>
    <definedName name="Planos" hidden="1">{"'Rend_Op'!$A$41:$AG$43"}</definedName>
    <definedName name="Portos1" hidden="1">{"'RR'!$A$2:$E$81"}</definedName>
    <definedName name="pos_carregamento">#REF!</definedName>
    <definedName name="pot_util">#REF!</definedName>
    <definedName name="pot_util_asis">#REF!</definedName>
    <definedName name="PPLXdia">#REF!</definedName>
    <definedName name="ppp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PPRA" hidden="1">{"'CptDifn'!$AA$32:$AG$32"}</definedName>
    <definedName name="prejuizo">#REF!</definedName>
    <definedName name="Pres" hidden="1">{#N/A,#N/A,TRUE,"Cover sheet";#N/A,#N/A,TRUE,"Summary";#N/A,#N/A,TRUE,"Key Assumptions";#N/A,#N/A,TRUE,"Profit &amp; Loss";#N/A,#N/A,TRUE,"Balance Sheet";#N/A,#N/A,TRUE,"Cashflow";#N/A,#N/A,TRUE,"IRR";#N/A,#N/A,TRUE,"Ratios";#N/A,#N/A,TRUE,"Debt analysis"}</definedName>
    <definedName name="PREV_EXT">#N/A</definedName>
    <definedName name="PREV_INT">#N/A</definedName>
    <definedName name="PREV_MERC">#N/A</definedName>
    <definedName name="Prioridade">#REF!</definedName>
    <definedName name="priorização" hidden="1">{"'gráf jan00'!$A$1:$AK$41"}</definedName>
    <definedName name="PRIPAR">#REF!</definedName>
    <definedName name="Prod" hidden="1">{"'IndicadoresRH'!$AA$50:$AP$67"}</definedName>
    <definedName name="ProdChv">#REF!</definedName>
    <definedName name="produt">#REF!</definedName>
    <definedName name="PRODUTIVIDADE">#REF!</definedName>
    <definedName name="Prog.Excel._Set" hidden="1">{"'teste'!$B$2:$R$49"}</definedName>
    <definedName name="programação" hidden="1">{"'IndicadoresRH'!$AA$50:$AP$67"}</definedName>
    <definedName name="proj03N">#REF!</definedName>
    <definedName name="proj04N">#REF!</definedName>
    <definedName name="ProjDescarga">#REF!</definedName>
    <definedName name="ProjEmbarque">#REF!</definedName>
    <definedName name="Projeto">#REF!</definedName>
    <definedName name="proposta" hidden="1">{"'Quadro'!$A$4:$BG$78"}</definedName>
    <definedName name="PRRA">#REF!</definedName>
    <definedName name="pValchv">#REF!</definedName>
    <definedName name="q" hidden="1">{#N/A,#N/A,FALSE,"PCOL"}</definedName>
    <definedName name="qq" hidden="1">{"'gráf jan00'!$A$1:$AK$41"}</definedName>
    <definedName name="QQQQ" hidden="1">{"'gráf jan00'!$A$1:$AK$41"}</definedName>
    <definedName name="qqqqqq" hidden="1">{"'gráf jan00'!$A$1:$AK$41"}</definedName>
    <definedName name="qqwe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qsfd" hidden="1">{#N/A,#N/A,TRUE,"Cover sheet";#N/A,#N/A,TRUE,"INPUTS";#N/A,#N/A,TRUE,"OUTPUTS";#N/A,#N/A,TRUE,"VALUATION"}</definedName>
    <definedName name="QUARPAR">#REF!</definedName>
    <definedName name="que" hidden="1">{#N/A,#N/A,FALSE,"PCOL"}</definedName>
    <definedName name="queda">#REF!</definedName>
    <definedName name="qwqq" hidden="1">{#N/A,#N/A,FALSE,"PCOL"}</definedName>
    <definedName name="qwqw" hidden="1">{#N/A,#N/A,FALSE,"PCOL"}</definedName>
    <definedName name="qwqweq" hidden="1">{#N/A,#N/A,FALSE,"PCOL"}</definedName>
    <definedName name="qwqwq" hidden="1">{#N/A,#N/A,FALSE,"PCOL"}</definedName>
    <definedName name="qwqwsq" hidden="1">{#N/A,#N/A,FALSE,"PCOL"}</definedName>
    <definedName name="Ramal">#REF!</definedName>
    <definedName name="realbrit">#REF!</definedName>
    <definedName name="realbsm1">#REF!</definedName>
    <definedName name="realbsm2">#REF!</definedName>
    <definedName name="realbsm3">#REF!</definedName>
    <definedName name="realbsm4">#REF!</definedName>
    <definedName name="realbsm5">#REF!</definedName>
    <definedName name="realcanga">#REF!</definedName>
    <definedName name="realhf">#REF!</definedName>
    <definedName name="realhopper">#REF!</definedName>
    <definedName name="realmina">#REF!</definedName>
    <definedName name="realprod">#REF!</definedName>
    <definedName name="realrep2">#REF!</definedName>
    <definedName name="realrep6">#REF!</definedName>
    <definedName name="RecuperaçãoMoagemNova">#REF!</definedName>
    <definedName name="REDUCAO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REJTYJETYJETYJETY" hidden="1">{"'ReceitaLiquidaME'!$AA$25:$AN$32"}</definedName>
    <definedName name="REMANEJO">OFFSET(#REF!,0,0,COUNTA(#REF!)-1,1)</definedName>
    <definedName name="rent_alta">#REF!</definedName>
    <definedName name="rent_baixa">#REF!</definedName>
    <definedName name="REPRODUÇÃO30052006" hidden="1">{"'Complexo Itabira'!$D$1:$N$95"}</definedName>
    <definedName name="Responsavel">#REF!</definedName>
    <definedName name="resumo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Resumo1" hidden="1">{"'teste'!$B$2:$R$49"}</definedName>
    <definedName name="reuyre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Risco">#REF!</definedName>
    <definedName name="risco_alto">#REF!</definedName>
    <definedName name="risco_baixo">#REF!</definedName>
    <definedName name="risco_medio">#REF!</definedName>
    <definedName name="RiskAfterRecalcMacro" hidden="1">""</definedName>
    <definedName name="RiskAfterSimMacro" hidden="1">""</definedName>
    <definedName name="riskATSTbaselineRequested" hidden="1">TRUE</definedName>
    <definedName name="riskATSTboxGraph" hidden="1">TRUE</definedName>
    <definedName name="riskATSTcomparisonGraph" hidden="1">TRUE</definedName>
    <definedName name="riskATSThistogramGraph" hidden="1">FALSE</definedName>
    <definedName name="riskATSToutputStatistic" hidden="1">4</definedName>
    <definedName name="riskATSTprintReport" hidden="1">FALSE</definedName>
    <definedName name="riskATSTreportsInActiveBook" hidden="1">FALSE</definedName>
    <definedName name="riskATSTreportsSelected" hidden="1">TRUE</definedName>
    <definedName name="riskATSTsequentialStress" hidden="1">TRUE</definedName>
    <definedName name="riskATSTsummaryReport" hidden="1">TRUE</definedName>
    <definedName name="RiskAutoStopPercChange">15</definedName>
    <definedName name="RiskBeforeRecalcMacro" hidden="1">""</definedName>
    <definedName name="RiskBeforeSimMacro" hidden="1">""</definedName>
    <definedName name="RiskCollectDistributionSamples">0</definedName>
    <definedName name="RiskExcelReportsGoInNewWorkbook">TRUE</definedName>
    <definedName name="RiskExcelReportsToGenerate">0</definedName>
    <definedName name="RiskFixedSeed">1</definedName>
    <definedName name="RiskGenerateExcelReportsAtEndOfSimulation">FALSE</definedName>
    <definedName name="RiskHasSettings">TRUE</definedName>
    <definedName name="RiskMinimizeOnStart">FALSE</definedName>
    <definedName name="RiskMonitorConvergence">TRUE</definedName>
    <definedName name="RiskMultipleCPUSupportEnabled" hidden="1">TRUE</definedName>
    <definedName name="RiskNumIterations">100</definedName>
    <definedName name="RiskNumSimulations">1</definedName>
    <definedName name="RiskPauseOnError">TRUE</definedName>
    <definedName name="RiskRealTimeResults">TRUE</definedName>
    <definedName name="RiskReportGraphFormat">0</definedName>
    <definedName name="RiskResultsUpdateFreq">500</definedName>
    <definedName name="RiskRunAfterRecalcMacro">FALSE</definedName>
    <definedName name="RiskRunAfterSimMacro">FALSE</definedName>
    <definedName name="RiskRunBeforeRecalcMacro">FALSE</definedName>
    <definedName name="RiskRunBeforeSimMacro">FALSE</definedName>
    <definedName name="RiskSamplingType">2</definedName>
    <definedName name="RiskShowRiskWindowAtEndOfSimulation">TRUE</definedName>
    <definedName name="RiskStandardRecalc">2</definedName>
    <definedName name="RiskTemplateSheetName">"myTemplate"</definedName>
    <definedName name="RiskUpdateDisplay">TRUE</definedName>
    <definedName name="RiskUseDifferentSeedForEachSim">FALSE</definedName>
    <definedName name="RiskUseFixedSeed">FALSE</definedName>
    <definedName name="RiskUseMultipleCPUs">FALSE</definedName>
    <definedName name="RO">#REF!</definedName>
    <definedName name="Roce">#REF!</definedName>
    <definedName name="rodar" hidden="1">{"'gráf jan00'!$A$1:$AK$41"}</definedName>
    <definedName name="rodotrilho">#N/A</definedName>
    <definedName name="rom">#N/A</definedName>
    <definedName name="ROMESTOC">OFFSET(#REF!,0,0,COUNTA(#REF!)-1,1)</definedName>
    <definedName name="roy">#REF!</definedName>
    <definedName name="s" hidden="1">{#N/A,#N/A,FALSE,"PCOL"}</definedName>
    <definedName name="sac" hidden="1">{#N/A,#N/A,FALSE,"PCOL"}</definedName>
    <definedName name="sadd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aldo">#REF!</definedName>
    <definedName name="sansara" hidden="1">{"'Quadro'!$A$4:$BG$78"}</definedName>
    <definedName name="sap">#REF!</definedName>
    <definedName name="saquinho" hidden="1">{#N/A,#N/A,FALSE,"PCOL"}</definedName>
    <definedName name="sargtwregwer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sary68ujujg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sas" hidden="1">{"'Quadro'!$A$4:$BG$78"}</definedName>
    <definedName name="sasassasa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Scissor_Lift">#REF!</definedName>
    <definedName name="sdd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SDFFDFDF" hidden="1">{"'gráf jan00'!$A$1:$AK$41"}</definedName>
    <definedName name="sdsd">#REF!</definedName>
    <definedName name="sdsder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sdsxaewewqeqw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sedsad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SEGPAR">#REF!</definedName>
    <definedName name="sens_asis_simn">#REF!</definedName>
    <definedName name="sens_custofixo">#REF!</definedName>
    <definedName name="sens_energ">#REF!</definedName>
    <definedName name="sens_insumos">#REF!</definedName>
    <definedName name="sens_price_simn_mi">#REF!</definedName>
    <definedName name="separator">#REF!</definedName>
    <definedName name="SET" hidden="1">{"'280700'!$A$7:$L$37"}</definedName>
    <definedName name="sfdhykiloewazxd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sff" hidden="1">#REF!</definedName>
    <definedName name="SFRY6Y6" hidden="1">#REF!</definedName>
    <definedName name="SFTrom">#REF!</definedName>
    <definedName name="Si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imnex">#REF!</definedName>
    <definedName name="simnin">#REF!</definedName>
    <definedName name="ss" hidden="1">{#N/A,#N/A,FALSE,"PCOL"}</definedName>
    <definedName name="sss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sss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ss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sssss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sssss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ssssss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" hidden="1">{"'CptDifn'!$AA$32:$AG$32"}</definedName>
    <definedName name="TableName">"Dummy"</definedName>
    <definedName name="Taxa_de_Desconto">#REF!</definedName>
    <definedName name="taxas">#REF!</definedName>
    <definedName name="TEMP" hidden="1">{#N/A,#N/A,FALSE,"PCOL"}</definedName>
    <definedName name="tempAE">#REF!</definedName>
    <definedName name="tempo" hidden="1">{#N/A,#N/A,FALSE,"PCOL"}</definedName>
    <definedName name="ter" hidden="1">#REF!</definedName>
    <definedName name="TERPAR">#REF!</definedName>
    <definedName name="teste">_L78C2:_L82C3</definedName>
    <definedName name="teste10" hidden="1">{"'Quadro'!$A$4:$BG$78"}</definedName>
    <definedName name="teste20" hidden="1">{"'Quadro'!$A$4:$BG$78"}</definedName>
    <definedName name="teste3" hidden="1">{"'Quadro'!$A$4:$BG$78"}</definedName>
    <definedName name="testeA" hidden="1">{"'Quadro'!$A$4:$BG$78"}</definedName>
    <definedName name="TextRefCopyRangeCount" hidden="1">1</definedName>
    <definedName name="TI">#REF!</definedName>
    <definedName name="Tipo">#REF!</definedName>
    <definedName name="TIR">#REF!</definedName>
    <definedName name="tjtrj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TL01Menor">#REF!</definedName>
    <definedName name="TL02Menor">#REF!</definedName>
    <definedName name="ton">#REF!</definedName>
    <definedName name="Tool">#REF!</definedName>
    <definedName name="TOTAL">#REF!</definedName>
    <definedName name="TotalCarajas">#REF!</definedName>
    <definedName name="totalminas">#REF!</definedName>
    <definedName name="TP">#REF!</definedName>
    <definedName name="transp3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transp36a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Trem">#REF!</definedName>
    <definedName name="Trem_de_SFCK">#REF!</definedName>
    <definedName name="trezeabril" hidden="1">{"'gráf jan00'!$A$1:$AK$41"}</definedName>
    <definedName name="TREZEABRILL" hidden="1">{"'gráf jan00'!$A$1:$AK$41"}</definedName>
    <definedName name="trezeag" hidden="1">{"'gráf jan00'!$A$1:$AK$41"}</definedName>
    <definedName name="trezeagosto" hidden="1">{"'gráf jan00'!$A$1:$AK$41"}</definedName>
    <definedName name="trezeagosto2" hidden="1">{"'gráf jan00'!$A$1:$AK$41"}</definedName>
    <definedName name="trezeagosto3" hidden="1">{"'gráf jan00'!$A$1:$AK$41"}</definedName>
    <definedName name="trezeagosto4" hidden="1">{"'gráf jan00'!$A$1:$AK$41"}</definedName>
    <definedName name="trezeagosto5" hidden="1">{"'gráf jan00'!$A$1:$AK$41"}</definedName>
    <definedName name="trezeagosto6" hidden="1">{"'gráf jan00'!$A$1:$AK$41"}</definedName>
    <definedName name="trezeagosto7" hidden="1">{"'gráf jan00'!$A$1:$AK$41"}</definedName>
    <definedName name="trezeagosto8" hidden="1">{"'gráf jan00'!$A$1:$AK$41"}</definedName>
    <definedName name="trezejulho" hidden="1">{"'gráf jan00'!$A$1:$AK$41"}</definedName>
    <definedName name="trezejulho2" hidden="1">{"'gráf jan00'!$A$1:$AK$41"}</definedName>
    <definedName name="trezejulho3" hidden="1">{"'gráf jan00'!$A$1:$AK$41"}</definedName>
    <definedName name="trezejun" hidden="1">{"'gráf jan00'!$A$1:$AK$41"}</definedName>
    <definedName name="trezejunho" hidden="1">{"'gráf jan00'!$A$1:$AK$41"}</definedName>
    <definedName name="trezejunnho" hidden="1">{"'gráf jan00'!$A$1:$AK$41"}</definedName>
    <definedName name="trezemarço" hidden="1">{"'gráf jan00'!$A$1:$AK$41"}</definedName>
    <definedName name="TS01Maior">#REF!</definedName>
    <definedName name="TS01Menor">#REF!</definedName>
    <definedName name="TS02Maior">#REF!</definedName>
    <definedName name="TS02Menor">#REF!</definedName>
    <definedName name="TS03Maior">#REF!</definedName>
    <definedName name="TS03Menor">#REF!</definedName>
    <definedName name="tt">#REF!</definedName>
    <definedName name="TTT" hidden="1">{"'gráf jan00'!$A$1:$AK$41"}</definedName>
    <definedName name="TTTT" hidden="1">{"'gráf jan00'!$A$1:$AK$41"}</definedName>
    <definedName name="TURNO">#REF!</definedName>
    <definedName name="tusd">#REF!</definedName>
    <definedName name="tyjtykj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u" hidden="1">{"'CptDifn'!$AA$32:$AG$32"}</definedName>
    <definedName name="uf">#REF!</definedName>
    <definedName name="UGCCATDT">#REF!</definedName>
    <definedName name="UHE_SA_CARVALHO_ampl_APE">"dados"</definedName>
    <definedName name="unid10">#REF!</definedName>
    <definedName name="unid11">#REF!</definedName>
    <definedName name="unid12">#REF!</definedName>
    <definedName name="unid6">#REF!</definedName>
    <definedName name="unid7">#REF!</definedName>
    <definedName name="unid8">#REF!</definedName>
    <definedName name="unid9">#REF!</definedName>
    <definedName name="uoluyk" hidden="1">{#N/A,#N/A,TRUE,"indice";#N/A,#N/A,TRUE,"indicadores";#N/A,#N/A,TRUE,"comentarios"}</definedName>
    <definedName name="uyuye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v" hidden="1">{#N/A,#N/A,FALSE,"PCOL"}</definedName>
    <definedName name="ValAAn">#REF!</definedName>
    <definedName name="ValAAnrl">#REF!</definedName>
    <definedName name="ValAcu">#REF!</definedName>
    <definedName name="ValAcurl">#REF!</definedName>
    <definedName name="Valchv">#REF!</definedName>
    <definedName name="Valchvrl">#REF!</definedName>
    <definedName name="Valmes">#REF!</definedName>
    <definedName name="ValMesRL">#REF!</definedName>
    <definedName name="ValMesUS">#REF!</definedName>
    <definedName name="Valor">#REF!</definedName>
    <definedName name="var_comissao">#REF!</definedName>
    <definedName name="VAR_EXT">#N/A</definedName>
    <definedName name="VAR_INT">#N/A</definedName>
    <definedName name="vefa" hidden="1">{"'INDICE_EQUIP_INTRANET'!$A$4:$T$193"}</definedName>
    <definedName name="VENDA">#REF!</definedName>
    <definedName name="Verba">#REF!</definedName>
    <definedName name="vol_adicional">#REF!</definedName>
    <definedName name="Volaan">#REF!</definedName>
    <definedName name="Volacu">#REF!</definedName>
    <definedName name="VolFAT">#REF!</definedName>
    <definedName name="Volmes">#REF!</definedName>
    <definedName name="Voltar">#N/A</definedName>
    <definedName name="Volume">#REF!</definedName>
    <definedName name="volume1" hidden="1">{"'RR'!$A$2:$E$81"}</definedName>
    <definedName name="VPI">#REF!</definedName>
    <definedName name="VPL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vvv">#N/A</definedName>
    <definedName name="vvvvv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vxs" hidden="1">{"'RR'!$A$2:$E$81"}</definedName>
    <definedName name="w" hidden="1">{#N/A,#N/A,FALSE,"PCOL"}</definedName>
    <definedName name="wacc">#REF!</definedName>
    <definedName name="wadfaw" hidden="1">{#N/A,#N/A,TRUE,"indice";#N/A,#N/A,TRUE,"indicadores";#N/A,#N/A,TRUE,"comentarios"}</definedName>
    <definedName name="wdewdwd" hidden="1">{#N/A,#N/A,FALSE,"PCOL"}</definedName>
    <definedName name="wdfsed">#REF!</definedName>
    <definedName name="wdwd" hidden="1">{#N/A,#N/A,FALSE,"PCOL"}</definedName>
    <definedName name="we">#N/A</definedName>
    <definedName name="web">#REF!</definedName>
    <definedName name="wedwedw" hidden="1">{#N/A,#N/A,FALSE,"PCOL"}</definedName>
    <definedName name="wedwew" hidden="1">{#N/A,#N/A,FALSE,"PCOL"}</definedName>
    <definedName name="wewe" hidden="1">{#N/A,#N/A,FALSE,"PCOL"}</definedName>
    <definedName name="wewedwedw" hidden="1">{#N/A,#N/A,FALSE,"PCOL"}</definedName>
    <definedName name="wewew" hidden="1">{#N/A,#N/A,FALSE,"PCOL"}</definedName>
    <definedName name="wrn.Aging._.and._.Trend._.Analysis." hidden="1">{#N/A,#N/A,FALSE,"Aging Summary";#N/A,#N/A,FALSE,"Ratio Analysis";#N/A,#N/A,FALSE,"Test 120 Day Accts";#N/A,#N/A,FALSE,"Tickmarks"}</definedName>
    <definedName name="wrn.baseDEV." hidden="1">{"cover",#N/A,TRUE,"Cover";"pnldet",#N/A,TRUE,"BaseCaseDEV";"pnl",#N/A,TRUE,"BaseCaseDEV";"bil",#N/A,TRUE,"BaseCaseDEV";"tabfi",#N/A,TRUE,"BaseCaseDEV";"ratios",#N/A,TRUE,"BaseCaseDEV";"variab",#N/A,TRUE,"BaseCaseDEV";"inv",#N/A,TRUE,"BaseCaseDEV"}</definedName>
    <definedName name="wrn.Book." hidden="1">{"EVA",#N/A,FALSE,"SMT2";#N/A,#N/A,FALSE,"Summary";#N/A,#N/A,FALSE,"Graphs";#N/A,#N/A,FALSE,"4 Panel"}</definedName>
    <definedName name="wrn.comentario." hidden="1">{#N/A,#N/A,FALSE,"PCOL"}</definedName>
    <definedName name="wrn.Complete." hidden="1">{#N/A,#N/A,FALSE,"SMT1";#N/A,#N/A,FALSE,"SMT2";#N/A,#N/A,FALSE,"Summary";#N/A,#N/A,FALSE,"Graphs";#N/A,#N/A,FALSE,"4 Panel"}</definedName>
    <definedName name="wrn.Complete._.Set." hidden="1">{#N/A,#N/A,FALSE,"Full";#N/A,#N/A,FALSE,"Half";#N/A,#N/A,FALSE,"Op Expenses";#N/A,#N/A,FALSE,"Cap Charge";#N/A,#N/A,FALSE,"Cost C";#N/A,#N/A,FALSE,"PP&amp;E";#N/A,#N/A,FALSE,"R&amp;D"}</definedName>
    <definedName name="wrn.def9806." hidden="1">{#N/A,#N/A,FALSE,"DEF1";#N/A,#N/A,FALSE,"DEF2";#N/A,#N/A,FALSE,"DEF3"}</definedName>
    <definedName name="wrn.fred." hidden="1">{"cover",#N/A,TRUE,"BaseCase";"pnl",#N/A,TRUE,"BaseCase";"pnldet",#N/A,TRUE,"BaseCase";"bil",#N/A,TRUE,"BaseCase";"tabfi",#N/A,TRUE,"BaseCase";"ratios",#N/A,TRUE,"BaseCase";"variab",#N/A,TRUE,"BaseCase";"inv",#N/A,TRUE,"BaseCase"}</definedName>
    <definedName name="wrn.Full._.model." hidden="1">{#N/A,#N/A,TRUE,"Cover sheet";#N/A,#N/A,TRUE,"Summary";#N/A,#N/A,TRUE,"Key Assumptions";#N/A,#N/A,TRUE,"Profit &amp; Loss";#N/A,#N/A,TRUE,"Balance Sheet";#N/A,#N/A,TRUE,"Cashflow";#N/A,#N/A,TRUE,"IRR";#N/A,#N/A,TRUE,"Ratios";#N/A,#N/A,TRUE,"Debt analysis"}</definedName>
    <definedName name="wrn.gere" hidden="1">{#N/A,#N/A,FALSE,"GQGEMPRE"}</definedName>
    <definedName name="wrn.gere." hidden="1">{#N/A,#N/A,FALSE,"GQGEMPRE"}</definedName>
    <definedName name="wrn.geren" hidden="1">{#N/A,#N/A,FALSE,"EXPORTAC";#N/A,#N/A,FALSE,"SUPEL94"}</definedName>
    <definedName name="wrn.geren." hidden="1">{#N/A,#N/A,FALSE,"EXPORTAC";#N/A,#N/A,FALSE,"SUPEL94"}</definedName>
    <definedName name="wrn.imp." hidden="1">{"vue1",#N/A,FALSE,"synthese";"vue2",#N/A,FALSE,"synthese"}</definedName>
    <definedName name="wrn.INVESTIMENTOS._.CORRENTES." hidden="1">{#N/A,#N/A,FALSE,"Suprimentos";#N/A,#N/A,FALSE,"Medicina e Segurança";#N/A,#N/A,FALSE,"Administração";#N/A,#N/A,FALSE,"Meio Ambiente";#N/A,#N/A,FALSE,"Operação (Mina)";#N/A,#N/A,FALSE,"Operação (Porto)"}</definedName>
    <definedName name="wrn.lh97." hidden="1">{"RETRO",#N/A,FALSE,"Ret";"retro",#N/A,FALSE,"Ret_RO";"retp",#N/A,FALSE,"Ret_P";"livro",#N/A,FALSE,"Livr_RO";"livp",#N/A,FALSE,"Livr_P";"puro",#N/A,FALSE,"Pu_RO";"pup",#N/A,FALSE,"Pu_P";"stocro",#N/A,FALSE,"Stock_RO";"stocp",#N/A,FALSE,"Stock_P";"vitro",#N/A,FALSE,"Vitr-RO";"vitp",#N/A,FALSE,"Vitr-P";"destro",#N/A,FALSE,"Dest_RO";"destp",#N/A,FALSE,"Dest_P"}</definedName>
    <definedName name="wrn.newDEV." hidden="1">{"cover",#N/A,TRUE,"Cover";"pnl_NEWDEV",#N/A,TRUE,"NewCaseDEV";"bil_NEWDEV",#N/A,TRUE,"NewCaseDEV";"tabfi_NEWDEV",#N/A,TRUE,"NewCaseDEV";"ratios_NEWDEV",#N/A,TRUE,"NewCaseDEV";"variab_NEWDEV",#N/A,TRUE,"NewCaseDEV";"inv_NEWDEV",#N/A,TRUE,"NewCaseDEV"}</definedName>
    <definedName name="wrn.newEUR." hidden="1">{"cover",#N/A,TRUE,"Cover";"pnl_NEWEUR",#N/A,TRUE,"NewCaseEUR";"bil_NEWEUR",#N/A,TRUE,"NewCaseEUR";"tabfi_NEWEUR",#N/A,TRUE,"NewCaseEUR";"ratios_NEWEUR",#N/A,TRUE,"NewCaseEUR";"variab_NEWEUR",#N/A,TRUE,"NewCaseEUR";"inv_NEWEUR",#N/A,TRUE,"NewCaseEUR"}</definedName>
    <definedName name="wrn.PENDENCIAS.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Relatório._.Porto.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wrn.RELPAC.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wrn.SITUAÇÃO._.DIÁRIA." hidden="1">{#N/A,#N/A,FALSE,"SITUAÇÃO DIÁRIA ";#N/A,#N/A,FALSE,"7 à 7"}</definedName>
    <definedName name="wrn.teste." hidden="1">{#N/A,#N/A,TRUE,"indice";#N/A,#N/A,TRUE,"indicadores";#N/A,#N/A,TRUE,"comentarios"}</definedName>
    <definedName name="wsewew" hidden="1">{#N/A,#N/A,FALSE,"PCOL"}</definedName>
    <definedName name="wt5ye65y" hidden="1">{0}</definedName>
    <definedName name="wwddwd" hidden="1">#REF!</definedName>
    <definedName name="WX" hidden="1">{#N/A,#N/A,FALSE,"GQGEMPRE"}</definedName>
    <definedName name="x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xaaxx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xxx" hidden="1">{"'CptDifn'!$AA$32:$AG$32"}</definedName>
    <definedName name="xxxxx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xxxxxx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xxxxxxxx" hidden="1">{"'Quadro'!$A$4:$BG$78"}</definedName>
    <definedName name="xxxxxxxxxxx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xxxxxxxxxxxxxxxxxx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xxxyyy" hidden="1">{"'Quadro'!$A$4:$BG$78"}</definedName>
    <definedName name="y" hidden="1">{#N/A,#N/A,FALSE,"PCOL"}</definedName>
    <definedName name="yukyuk8" hidden="1">{0}</definedName>
    <definedName name="z">#N/A</definedName>
    <definedName name="Z_146D92FF_DFCA_47DC_9CF6_0D07F916365B_.wvu.Cols" hidden="1">#REF!,#REF!,#REF!,#REF!</definedName>
    <definedName name="Z_146D92FF_DFCA_47DC_9CF6_0D07F916365B_.wvu.FilterData" hidden="1">#REF!</definedName>
    <definedName name="Z_204280AB_6F29_4C38_B953_40E78BD846F8_.wvu.Cols" hidden="1">#REF!,#REF!,#REF!</definedName>
    <definedName name="Z_204280AB_6F29_4C38_B953_40E78BD846F8_.wvu.FilterData" hidden="1">#REF!</definedName>
    <definedName name="Z_204280AB_6F29_4C38_B953_40E78BD846F8_.wvu.PrintArea" hidden="1">#REF!</definedName>
    <definedName name="Z_204280AB_6F29_4C38_B953_40E78BD846F8_.wvu.PrintTitles" hidden="1">#REF!</definedName>
    <definedName name="Z_7AE3F8A6_7282_4640_BAE6_7D5F8B45608B_.wvu.Cols" hidden="1">#REF!</definedName>
    <definedName name="Z_8DD835B5_A9EB_4AAA_B94F_A44AC86A69C0_.wvu.PrintArea" hidden="1">#REF!</definedName>
    <definedName name="Z_8DD835B5_A9EB_4AAA_B94F_A44AC86A69C0_.wvu.PrintTitles" hidden="1">#REF!</definedName>
    <definedName name="Z_8DD835B5_A9EB_4AAA_B94F_A44AC86A69C0_.wvu.Rows" hidden="1">#REF!</definedName>
    <definedName name="za">#REF!</definedName>
    <definedName name="zfdgtrtrtytww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ZVZ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zz">#N/A</definedName>
    <definedName name="zzz">#N/A</definedName>
    <definedName name="zzzz">#N/A</definedName>
    <definedName name="zzzzz">#N/A</definedName>
  </definedNames>
  <calcPr calcId="191028" iterate="1"/>
  <customWorkbookViews>
    <customWorkbookView name="Francidalva Wanzeler - Modo de exibição pessoal" guid="{A48B32F7-E2A2-4C99-BCD4-798D3792245C}" mergeInterval="0" personalView="1" maximized="1" xWindow="-8" yWindow="-8" windowWidth="1382" windowHeight="744" tabRatio="390" activeSheetId="2"/>
    <customWorkbookView name="Paulo Cosmo - Modo de exibição pessoal" guid="{DB2AA012-7529-4A17-B556-1682F874FDC3}" mergeInterval="0" personalView="1" maximized="1" xWindow="-8" yWindow="-8" windowWidth="1936" windowHeight="1056" tabRatio="566" activeSheetId="2"/>
    <customWorkbookView name="Ediberto Lavra Da Costa - Modo de exibição pessoal" guid="{30184DF1-D5AA-49F5-BD70-538AD50C280C}" mergeInterval="0" personalView="1" maximized="1" xWindow="-8" yWindow="-8" windowWidth="1616" windowHeight="876" tabRatio="566" activeSheetId="2"/>
    <customWorkbookView name="Janierison Guedes - Modo de exibição pessoal" guid="{2AD0B215-2667-47BB-9207-E2254B6930C9}" mergeInterval="0" personalView="1" maximized="1" xWindow="-8" yWindow="-8" windowWidth="1936" windowHeight="1056" tabRatio="951" activeSheetId="2"/>
    <customWorkbookView name="Ademir Conceicao - Modo de exibição pessoal" guid="{38722C18-E114-4A4E-A208-550411B6BA92}" mergeInterval="0" personalView="1" maximized="1" xWindow="-8" yWindow="-8" windowWidth="1936" windowHeight="1176" tabRatio="700" activeSheetId="2"/>
    <customWorkbookView name="Sousa Reinaldo - Modo de exibição pessoal" guid="{BF9B617F-7CF8-4C0A-83F3-D785FF4401E5}" mergeInterval="0" personalView="1" maximized="1" xWindow="-8" yWindow="-8" windowWidth="1936" windowHeight="1176" tabRatio="390" activeSheetId="2"/>
    <customWorkbookView name="Ademias Sousa - Modo de exibição pessoal" guid="{0E8D9C24-D923-4256-B8EB-13B0A1E90633}" mergeInterval="0" personalView="1" maximized="1" xWindow="-8" yWindow="-8" windowWidth="1936" windowHeight="1056" tabRatio="548" activeSheetId="2"/>
    <customWorkbookView name="Denis Lopes - Modo de exibição pessoal" guid="{573B6AFF-5F22-42F0-8597-F5BCD956689A}" mergeInterval="0" personalView="1" maximized="1" xWindow="-8" yWindow="-8" windowWidth="1936" windowHeight="1176" tabRatio="390" activeSheetId="2"/>
    <customWorkbookView name="Tania Rodrigues - Modo de exibição pessoal" guid="{58FB0D99-FF57-41CD-9522-51E375F739F1}" mergeInterval="0" personalView="1" maximized="1" xWindow="-8" yWindow="-8" windowWidth="1936" windowHeight="1056" tabRatio="728" activeSheetId="2"/>
    <customWorkbookView name="Edycarlos Teixeira - Modo de exibição pessoal" guid="{9E223BFA-434C-482B-B47C-32A4BCB22A2C}" mergeInterval="0" personalView="1" maximized="1" xWindow="-9" yWindow="-9" windowWidth="1938" windowHeight="1048" tabRatio="701" activeSheetId="6"/>
    <customWorkbookView name="Marcos Amorim - Modo de exibição pessoal" guid="{61536308-F8A3-4B86-B156-E680EEC9F0F8}" mergeInterval="0" personalView="1" maximized="1" xWindow="66" yWindow="-8" windowWidth="1862" windowHeight="1096" tabRatio="390" activeSheetId="1"/>
    <customWorkbookView name="Jerimias Lima - Modo de exibição pessoal" guid="{D3DDADB2-6E6D-42E2-8A04-3838F445C506}" mergeInterval="0" personalView="1" maximized="1" xWindow="-8" yWindow="-8" windowWidth="1936" windowHeight="1186" tabRatio="758" activeSheetId="2"/>
    <customWorkbookView name="Monica Barbosa - Modo de exibição pessoal" guid="{01868B9D-7BE3-4FF2-B3AE-B9E6482D436F}" mergeInterval="0" personalView="1" maximized="1" xWindow="-8" yWindow="-8" windowWidth="1936" windowHeight="1056" tabRatio="390" activeSheetId="2"/>
    <customWorkbookView name="Cleusson Coelho - Modo de exibição pessoal" guid="{5C8CEC47-F13C-4B38-9EF5-E2401CB5854A}" mergeInterval="0" personalView="1" maximized="1" xWindow="-8" yWindow="-8" windowWidth="1936" windowHeight="1056" tabRatio="390" activeSheetId="2"/>
    <customWorkbookView name="Milksa Lopes - Modo de exibição pessoal" guid="{6CDC6AB3-6007-49F2-BC70-54DDD14853A1}" mergeInterval="0" personalView="1" maximized="1" xWindow="-8" yWindow="-8" windowWidth="1936" windowHeight="1176" tabRatio="390" activeSheetId="8"/>
    <customWorkbookView name="Arteniza Moura - Modo de exibição pessoal" guid="{A252F3ED-5D87-4E1D-B8FA-68C4D27E7901}" mergeInterval="0" personalView="1" maximized="1" xWindow="-8" yWindow="-8" windowWidth="1936" windowHeight="1176" tabRatio="390" activeSheetId="2"/>
    <customWorkbookView name="Gabrielly Carvalho - Modo de exibição pessoal" guid="{43DBCB18-7A16-404D-9B86-1B6598F0E9F0}" mergeInterval="0" personalView="1" maximized="1" xWindow="-9" yWindow="-9" windowWidth="1938" windowHeight="1048" tabRatio="390" activeSheetId="2"/>
    <customWorkbookView name="Thiago Costa - Modo de exibição pessoal" guid="{B68DC056-5738-4597-87EF-EC6C8560D40E}" mergeInterval="0" personalView="1" maximized="1" xWindow="-8" yWindow="-8" windowWidth="1936" windowHeight="1056" tabRatio="390" activeSheetId="2"/>
    <customWorkbookView name="Bruno Batista Silva - Modo de exibição pessoal" guid="{B88FDC0A-254F-4B46-B3DA-04AF19AED023}" mergeInterval="0" personalView="1" xWindow="8" windowWidth="1358" windowHeight="728" tabRatio="616" activeSheetId="3"/>
    <customWorkbookView name="Lourival Moura - Modo de exibição pessoal" guid="{9A3FC6BA-E891-4ABF-B651-64B4CEDD209C}" mergeInterval="0" personalView="1" maximized="1" xWindow="-8" yWindow="-8" windowWidth="1936" windowHeight="1056" tabRatio="390" activeSheetId="2"/>
    <customWorkbookView name="Derildo Souza - Modo de exibição pessoal" guid="{ACC2EA4B-FC30-4F30-B8EC-55D814EA1BB0}" mergeInterval="0" personalView="1" maximized="1" xWindow="-9" yWindow="-9" windowWidth="1938" windowHeight="1048" tabRatio="583" activeSheetId="2"/>
    <customWorkbookView name="Clovis Oliveira (CLOVIS) - Modo de exibição pessoal" guid="{0D840011-5ABA-4236-BFA1-1F31EF970BDF}" mergeInterval="0" personalView="1" maximized="1" xWindow="-8" yWindow="-8" windowWidth="1936" windowHeight="1176" tabRatio="327" activeSheetId="2"/>
    <customWorkbookView name="Kleber Caitano - Modo de exibição pessoal" guid="{1896A01C-54E3-4796-9AED-FB94797361D8}" mergeInterval="0" personalView="1" maximized="1" xWindow="-8" yWindow="-8" windowWidth="1382" windowHeight="744" tabRatio="390" activeSheetId="2"/>
    <customWorkbookView name="Maria Diniz - Modo de exibição pessoal" guid="{BCDA80BF-98E5-4FFC-AF15-33189FCEF2C7}" mergeInterval="0" personalView="1" maximized="1" xWindow="-8" yWindow="-8" windowWidth="1936" windowHeight="1056" tabRatio="390" activeSheetId="1"/>
    <customWorkbookView name="Alberto Mendes Carvalho - Modo de exibição pessoal" guid="{CDF891BF-E053-42AE-9A59-AEA91CC06934}" mergeInterval="0" personalView="1" maximized="1" xWindow="-8" yWindow="-8" windowWidth="1936" windowHeight="1056" tabRatio="390" activeSheetId="2"/>
    <customWorkbookView name="Lucas Cavalcante - Modo de exibição pessoal" guid="{562E2A07-961B-45FD-84CF-EF8DB2052857}" mergeInterval="0" personalView="1" maximized="1" xWindow="-8" yWindow="-8" windowWidth="1936" windowHeight="1056" tabRatio="701" activeSheetId="2"/>
    <customWorkbookView name="Ediane Lisboa - Modo de exibição pessoal" guid="{578AEF29-FAB3-4A43-AB55-19D15FA0E50D}" mergeInterval="0" personalView="1" maximized="1" xWindow="-8" yWindow="-8" windowWidth="1936" windowHeight="1176" tabRatio="390" activeSheetId="2"/>
    <customWorkbookView name="Bruna Tassiane Costa - Modo de exibição pessoal" guid="{FC25F05A-6C12-4EA4-8FEC-EE3F9E6FDD00}" mergeInterval="0" personalView="1" maximized="1" xWindow="-8" yWindow="-8" windowWidth="1616" windowHeight="1176" tabRatio="390" activeSheetId="2"/>
    <customWorkbookView name="Samara Nascimento - Modo de exibição pessoal" guid="{7D17D585-56FD-4034-974D-C39742C5D64A}" mergeInterval="0" personalView="1" maximized="1" xWindow="-8" yWindow="-8" windowWidth="1936" windowHeight="1056" tabRatio="700" activeSheetId="2"/>
    <customWorkbookView name="Marines Duarte - Modo de exibição pessoal" guid="{6F3DAF15-3FCA-4872-BCE5-751145273DF1}" mergeInterval="0" personalView="1" maximized="1" xWindow="-8" yWindow="-8" windowWidth="1936" windowHeight="1056" tabRatio="700" activeSheetId="2"/>
    <customWorkbookView name="Ivanilde Santos - Modo de exibição pessoal" guid="{C53F83F6-2C58-4E0A-A022-91FDDBEDA3D1}" mergeInterval="0" personalView="1" maximized="1" xWindow="-8" yWindow="-8" windowWidth="1936" windowHeight="1176" tabRatio="700" activeSheetId="2"/>
    <customWorkbookView name="Agno Santos - Modo de exibição pessoal" guid="{BA8EEAB2-EE73-4147-AF90-4E46DD1C1569}" mergeInterval="0" personalView="1" maximized="1" xWindow="-8" yWindow="-8" windowWidth="1936" windowHeight="1056" tabRatio="700" activeSheetId="2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3" i="17" l="1"/>
  <c r="AU29" i="17"/>
  <c r="AI162" i="18"/>
  <c r="AI145" i="18"/>
  <c r="AI128" i="18"/>
  <c r="AI111" i="18"/>
  <c r="P35" i="18"/>
  <c r="P36" i="18"/>
  <c r="P37" i="18"/>
  <c r="P38" i="18"/>
  <c r="P39" i="18"/>
  <c r="P40" i="18"/>
  <c r="P41" i="18"/>
  <c r="P42" i="18"/>
  <c r="P43" i="18"/>
  <c r="P44" i="18"/>
  <c r="P45" i="18"/>
  <c r="P46" i="18"/>
  <c r="P47" i="18"/>
  <c r="P48" i="18"/>
  <c r="P49" i="18"/>
  <c r="P50" i="18"/>
  <c r="P51" i="18"/>
  <c r="P52" i="18"/>
  <c r="P53" i="18"/>
  <c r="P54" i="18"/>
  <c r="P55" i="18"/>
  <c r="P56" i="18"/>
  <c r="P57" i="18"/>
  <c r="F35" i="18"/>
  <c r="F36" i="18"/>
  <c r="F37" i="18"/>
  <c r="F38" i="18"/>
  <c r="F39" i="18"/>
  <c r="F40" i="18"/>
  <c r="F41" i="18"/>
  <c r="F42" i="18"/>
  <c r="F43" i="18"/>
  <c r="F44" i="18"/>
  <c r="F45" i="18"/>
  <c r="F46" i="18"/>
  <c r="F47" i="18"/>
  <c r="F48" i="18"/>
  <c r="F49" i="18"/>
  <c r="F50" i="18"/>
  <c r="F51" i="18"/>
  <c r="F52" i="18"/>
  <c r="F53" i="18"/>
  <c r="F54" i="18"/>
  <c r="F55" i="18"/>
  <c r="F56" i="18"/>
  <c r="F57" i="18"/>
  <c r="F34" i="18"/>
  <c r="P34" i="18"/>
  <c r="Z35" i="18"/>
  <c r="Z36" i="18"/>
  <c r="Z37" i="18"/>
  <c r="Z38" i="18"/>
  <c r="Z39" i="18"/>
  <c r="Z40" i="18"/>
  <c r="Z41" i="18"/>
  <c r="Z42" i="18"/>
  <c r="Z43" i="18"/>
  <c r="Z44" i="18"/>
  <c r="Z45" i="18"/>
  <c r="Z46" i="18"/>
  <c r="Z47" i="18"/>
  <c r="Z48" i="18"/>
  <c r="Z49" i="18"/>
  <c r="Z50" i="18"/>
  <c r="Z51" i="18"/>
  <c r="Z52" i="18"/>
  <c r="Z53" i="18"/>
  <c r="Z54" i="18"/>
  <c r="Z55" i="18"/>
  <c r="Z56" i="18"/>
  <c r="Z57" i="18"/>
  <c r="Z34" i="18"/>
  <c r="AJ35" i="18"/>
  <c r="AJ36" i="18"/>
  <c r="AJ37" i="18"/>
  <c r="AJ38" i="18"/>
  <c r="AJ39" i="18"/>
  <c r="AJ40" i="18"/>
  <c r="AJ41" i="18"/>
  <c r="AJ42" i="18"/>
  <c r="AJ43" i="18"/>
  <c r="AJ44" i="18"/>
  <c r="AJ45" i="18"/>
  <c r="AJ46" i="18"/>
  <c r="AJ47" i="18"/>
  <c r="AJ48" i="18"/>
  <c r="AJ49" i="18"/>
  <c r="AJ50" i="18"/>
  <c r="AJ51" i="18"/>
  <c r="AJ52" i="18"/>
  <c r="AJ53" i="18"/>
  <c r="AJ54" i="18"/>
  <c r="AJ55" i="18"/>
  <c r="AJ56" i="18"/>
  <c r="AJ57" i="18"/>
  <c r="AJ34" i="18"/>
  <c r="AT35" i="18"/>
  <c r="AT36" i="18"/>
  <c r="AT37" i="18"/>
  <c r="AT38" i="18"/>
  <c r="AT39" i="18"/>
  <c r="AT40" i="18"/>
  <c r="AT41" i="18"/>
  <c r="AT42" i="18"/>
  <c r="AT43" i="18"/>
  <c r="AT44" i="18"/>
  <c r="AT45" i="18"/>
  <c r="AT46" i="18"/>
  <c r="AT47" i="18"/>
  <c r="AT48" i="18"/>
  <c r="AT49" i="18"/>
  <c r="AT50" i="18"/>
  <c r="AT51" i="18"/>
  <c r="AT52" i="18"/>
  <c r="AT53" i="18"/>
  <c r="AT54" i="18"/>
  <c r="AT55" i="18"/>
  <c r="AT56" i="18"/>
  <c r="AT57" i="18"/>
  <c r="AT34" i="18"/>
  <c r="AQ4" i="17" l="1"/>
  <c r="AQ5" i="17"/>
  <c r="AQ6" i="17"/>
  <c r="AQ7" i="17"/>
  <c r="AQ8" i="17"/>
  <c r="AQ9" i="17"/>
  <c r="AQ10" i="17"/>
  <c r="AQ11" i="17"/>
  <c r="AQ12" i="17"/>
  <c r="AQ13" i="17"/>
  <c r="AQ14" i="17"/>
  <c r="AQ15" i="17"/>
  <c r="AQ16" i="17"/>
  <c r="AQ17" i="17"/>
  <c r="AQ18" i="17"/>
  <c r="AQ19" i="17"/>
  <c r="AQ20" i="17"/>
  <c r="AQ21" i="17"/>
  <c r="AQ22" i="17"/>
  <c r="AQ23" i="17"/>
  <c r="AQ24" i="17"/>
  <c r="AQ25" i="17"/>
  <c r="AQ26" i="17"/>
  <c r="AQ3" i="17"/>
  <c r="AQ34" i="17" s="1"/>
  <c r="AP33" i="17"/>
  <c r="AQ57" i="17" l="1"/>
  <c r="AQ37" i="17"/>
  <c r="AQ35" i="17"/>
  <c r="AQ36" i="17"/>
  <c r="AQ38" i="17"/>
  <c r="AQ39" i="17"/>
  <c r="AQ40" i="17"/>
  <c r="AQ41" i="17"/>
  <c r="AQ42" i="17"/>
  <c r="AQ43" i="17"/>
  <c r="AQ44" i="17"/>
  <c r="AQ45" i="17"/>
  <c r="AQ46" i="17"/>
  <c r="AQ47" i="17"/>
  <c r="AQ48" i="17"/>
  <c r="AQ49" i="17"/>
  <c r="AQ50" i="17"/>
  <c r="AQ51" i="17"/>
  <c r="AQ52" i="17"/>
  <c r="AQ53" i="17"/>
  <c r="AQ54" i="17"/>
  <c r="AQ55" i="17"/>
  <c r="AQ56" i="17"/>
  <c r="AV29" i="17"/>
  <c r="Y2" i="19" l="1"/>
  <c r="AI4" i="17" l="1"/>
  <c r="AI5" i="17"/>
  <c r="AI6" i="17"/>
  <c r="AI7" i="17"/>
  <c r="AI8" i="17"/>
  <c r="AI9" i="17"/>
  <c r="AI10" i="17"/>
  <c r="AI11" i="17"/>
  <c r="AI12" i="17"/>
  <c r="AI13" i="17"/>
  <c r="AI14" i="17"/>
  <c r="AI15" i="17"/>
  <c r="AI16" i="17"/>
  <c r="AI17" i="17"/>
  <c r="AI18" i="17"/>
  <c r="AI19" i="17"/>
  <c r="AI20" i="17"/>
  <c r="AI21" i="17"/>
  <c r="AI22" i="17"/>
  <c r="AI23" i="17"/>
  <c r="AI24" i="17"/>
  <c r="AI25" i="17"/>
  <c r="AI26" i="17"/>
  <c r="AI3" i="17"/>
  <c r="AA4" i="17"/>
  <c r="AA5" i="17"/>
  <c r="AA6" i="17"/>
  <c r="AA7" i="17"/>
  <c r="AA8" i="17"/>
  <c r="AA9" i="17"/>
  <c r="AA10" i="17"/>
  <c r="AA11" i="17"/>
  <c r="AA12" i="17"/>
  <c r="AA13" i="17"/>
  <c r="AA14" i="17"/>
  <c r="AA15" i="17"/>
  <c r="AA16" i="17"/>
  <c r="AA17" i="17"/>
  <c r="AA18" i="17"/>
  <c r="AA19" i="17"/>
  <c r="AA20" i="17"/>
  <c r="AA21" i="17"/>
  <c r="AA22" i="17"/>
  <c r="AA23" i="17"/>
  <c r="AA24" i="17"/>
  <c r="AA25" i="17"/>
  <c r="AA26" i="17"/>
  <c r="AA3" i="17"/>
  <c r="S4" i="17"/>
  <c r="S5" i="17"/>
  <c r="S6" i="17"/>
  <c r="S7" i="17"/>
  <c r="S8" i="17"/>
  <c r="S9" i="17"/>
  <c r="S10" i="17"/>
  <c r="S11" i="17"/>
  <c r="S12" i="17"/>
  <c r="S13" i="17"/>
  <c r="S14" i="17"/>
  <c r="S15" i="17"/>
  <c r="S16" i="17"/>
  <c r="S17" i="17"/>
  <c r="S18" i="17"/>
  <c r="S19" i="17"/>
  <c r="S20" i="17"/>
  <c r="S21" i="17"/>
  <c r="S22" i="17"/>
  <c r="S23" i="17"/>
  <c r="S24" i="17"/>
  <c r="S25" i="17"/>
  <c r="S26" i="17"/>
  <c r="S3" i="17"/>
  <c r="K4" i="17"/>
  <c r="K5" i="17"/>
  <c r="K6" i="17"/>
  <c r="K7" i="17"/>
  <c r="K8" i="17"/>
  <c r="K9" i="17"/>
  <c r="K10" i="17"/>
  <c r="K11" i="17"/>
  <c r="K12" i="17"/>
  <c r="B12" i="17" s="1"/>
  <c r="K13" i="17"/>
  <c r="B13" i="17" s="1"/>
  <c r="K14" i="17"/>
  <c r="B14" i="17" s="1"/>
  <c r="K15" i="17"/>
  <c r="B15" i="17" s="1"/>
  <c r="K16" i="17"/>
  <c r="K17" i="17"/>
  <c r="K18" i="17"/>
  <c r="K19" i="17"/>
  <c r="K20" i="17"/>
  <c r="K21" i="17"/>
  <c r="K22" i="17"/>
  <c r="K23" i="17"/>
  <c r="K24" i="17"/>
  <c r="K25" i="17"/>
  <c r="K26" i="17"/>
  <c r="B8" i="17" l="1"/>
  <c r="B10" i="17"/>
  <c r="B4" i="17"/>
  <c r="B23" i="17"/>
  <c r="B21" i="17"/>
  <c r="B20" i="17"/>
  <c r="B18" i="17"/>
  <c r="B17" i="17"/>
  <c r="B11" i="17"/>
  <c r="B9" i="17"/>
  <c r="B7" i="17"/>
  <c r="B6" i="17"/>
  <c r="B5" i="17"/>
  <c r="B3" i="17"/>
  <c r="B26" i="17"/>
  <c r="B25" i="17"/>
  <c r="B24" i="17"/>
  <c r="B22" i="17"/>
  <c r="B19" i="17"/>
  <c r="B16" i="17"/>
  <c r="P29" i="17"/>
  <c r="W43" i="17" l="1"/>
  <c r="AH33" i="17"/>
  <c r="Z33" i="17"/>
  <c r="R33" i="17"/>
  <c r="J33" i="17"/>
  <c r="AM29" i="17"/>
  <c r="AE29" i="17"/>
  <c r="W29" i="17"/>
  <c r="O29" i="17"/>
  <c r="BX3" i="17"/>
  <c r="BW3" i="17"/>
  <c r="BV3" i="17"/>
  <c r="BU3" i="17"/>
  <c r="BT3" i="17"/>
  <c r="BX2" i="17"/>
  <c r="BW2" i="17"/>
  <c r="BV2" i="17"/>
  <c r="BU2" i="17"/>
  <c r="BT2" i="17"/>
  <c r="AI94" i="18"/>
  <c r="S4" i="18"/>
  <c r="EW3" i="18"/>
  <c r="ET3" i="18"/>
  <c r="AN3" i="18"/>
  <c r="A26" i="19"/>
  <c r="A25" i="19"/>
  <c r="A24" i="19"/>
  <c r="A23" i="19"/>
  <c r="A22" i="19"/>
  <c r="A21" i="19"/>
  <c r="A20" i="19"/>
  <c r="A19" i="19"/>
  <c r="A18" i="19"/>
  <c r="A17" i="19"/>
  <c r="A16" i="19"/>
  <c r="A15" i="19"/>
  <c r="A14" i="19"/>
  <c r="A13" i="19"/>
  <c r="A12" i="19"/>
  <c r="A11" i="19"/>
  <c r="A10" i="19"/>
  <c r="A9" i="19"/>
  <c r="A8" i="19"/>
  <c r="A7" i="19"/>
  <c r="A6" i="19"/>
  <c r="A5" i="19"/>
  <c r="A4" i="19"/>
  <c r="A3" i="19"/>
  <c r="A1" i="17" l="1"/>
  <c r="G29" i="17"/>
  <c r="AI39" i="17"/>
  <c r="B34" i="17"/>
  <c r="AI46" i="17"/>
  <c r="K36" i="17"/>
  <c r="AN29" i="17"/>
  <c r="S41" i="17"/>
  <c r="S35" i="17"/>
  <c r="S54" i="17"/>
  <c r="S48" i="17"/>
  <c r="S42" i="17"/>
  <c r="S36" i="17"/>
  <c r="S55" i="17"/>
  <c r="S49" i="17"/>
  <c r="S38" i="17"/>
  <c r="S57" i="17"/>
  <c r="S51" i="17"/>
  <c r="S45" i="17"/>
  <c r="X29" i="17"/>
  <c r="S39" i="17"/>
  <c r="S52" i="17"/>
  <c r="S46" i="17"/>
  <c r="S34" i="17"/>
  <c r="S40" i="17"/>
  <c r="S53" i="17"/>
  <c r="S47" i="17"/>
  <c r="S44" i="17"/>
  <c r="S37" i="17"/>
  <c r="S50" i="17"/>
  <c r="S43" i="17"/>
  <c r="S56" i="17"/>
  <c r="K55" i="17"/>
  <c r="K42" i="17"/>
  <c r="K49" i="17"/>
  <c r="AA42" i="17"/>
  <c r="AA36" i="17"/>
  <c r="AA55" i="17"/>
  <c r="AA49" i="17"/>
  <c r="AA43" i="17"/>
  <c r="AA37" i="17"/>
  <c r="AA56" i="17"/>
  <c r="AA50" i="17"/>
  <c r="AA44" i="17"/>
  <c r="AA39" i="17"/>
  <c r="AA52" i="17"/>
  <c r="AA46" i="17"/>
  <c r="AA40" i="17"/>
  <c r="AA53" i="17"/>
  <c r="AA47" i="17"/>
  <c r="AA41" i="17"/>
  <c r="AA35" i="17"/>
  <c r="AA54" i="17"/>
  <c r="AA48" i="17"/>
  <c r="AA57" i="17"/>
  <c r="K40" i="17"/>
  <c r="K53" i="17"/>
  <c r="K47" i="17"/>
  <c r="K41" i="17"/>
  <c r="K35" i="17"/>
  <c r="K54" i="17"/>
  <c r="K48" i="17"/>
  <c r="K43" i="17"/>
  <c r="K37" i="17"/>
  <c r="K56" i="17"/>
  <c r="K50" i="17"/>
  <c r="K44" i="17"/>
  <c r="K38" i="17"/>
  <c r="K57" i="17"/>
  <c r="K51" i="17"/>
  <c r="K45" i="17"/>
  <c r="K39" i="17"/>
  <c r="K52" i="17"/>
  <c r="K46" i="17"/>
  <c r="K34" i="17"/>
  <c r="AF29" i="17"/>
  <c r="BS2" i="17"/>
  <c r="AA51" i="17"/>
  <c r="AI37" i="17"/>
  <c r="AI56" i="17"/>
  <c r="AI50" i="17"/>
  <c r="AI44" i="17"/>
  <c r="AI38" i="17"/>
  <c r="AI57" i="17"/>
  <c r="AI51" i="17"/>
  <c r="AI45" i="17"/>
  <c r="AI40" i="17"/>
  <c r="AI34" i="17"/>
  <c r="AI53" i="17"/>
  <c r="AI47" i="17"/>
  <c r="AI41" i="17"/>
  <c r="AI35" i="17"/>
  <c r="AI54" i="17"/>
  <c r="AI48" i="17"/>
  <c r="AI42" i="17"/>
  <c r="AI36" i="17"/>
  <c r="AI55" i="17"/>
  <c r="AI49" i="17"/>
  <c r="AI43" i="17"/>
  <c r="AA38" i="17"/>
  <c r="AA45" i="17"/>
  <c r="AI52" i="17"/>
  <c r="AR3" i="17" l="1"/>
  <c r="AW3" i="17" s="1"/>
  <c r="AR20" i="17"/>
  <c r="AR21" i="17"/>
  <c r="AR22" i="17"/>
  <c r="AR23" i="17"/>
  <c r="AR24" i="17"/>
  <c r="AR25" i="17"/>
  <c r="AR26" i="17"/>
  <c r="AR4" i="17"/>
  <c r="AR5" i="17"/>
  <c r="AR6" i="17"/>
  <c r="AR7" i="17"/>
  <c r="AR8" i="17"/>
  <c r="AR9" i="17"/>
  <c r="AR10" i="17"/>
  <c r="AR11" i="17"/>
  <c r="AR12" i="17"/>
  <c r="AR13" i="17"/>
  <c r="AR14" i="17"/>
  <c r="AR15" i="17"/>
  <c r="AR16" i="17"/>
  <c r="AR17" i="17"/>
  <c r="AR18" i="17"/>
  <c r="AR19" i="17"/>
  <c r="AJ3" i="17"/>
  <c r="AJ4" i="17"/>
  <c r="AJ16" i="17"/>
  <c r="AJ18" i="17"/>
  <c r="AJ7" i="17"/>
  <c r="AJ8" i="17"/>
  <c r="AJ9" i="17"/>
  <c r="O9" i="19" s="1"/>
  <c r="AJ22" i="17"/>
  <c r="AJ23" i="17"/>
  <c r="AJ12" i="17"/>
  <c r="AJ13" i="17"/>
  <c r="AJ26" i="17"/>
  <c r="AJ5" i="17"/>
  <c r="AJ17" i="17"/>
  <c r="AJ6" i="17"/>
  <c r="AJ19" i="17"/>
  <c r="AJ20" i="17"/>
  <c r="AJ21" i="17"/>
  <c r="AJ11" i="17"/>
  <c r="AJ24" i="17"/>
  <c r="AJ25" i="17"/>
  <c r="AJ14" i="17"/>
  <c r="AJ15" i="17"/>
  <c r="AJ10" i="17"/>
  <c r="AB3" i="17"/>
  <c r="AB4" i="17"/>
  <c r="K4" i="19" s="1"/>
  <c r="AB16" i="17"/>
  <c r="AB10" i="17"/>
  <c r="AB24" i="17"/>
  <c r="AB5" i="17"/>
  <c r="AB17" i="17"/>
  <c r="AB20" i="17"/>
  <c r="AB23" i="17"/>
  <c r="AB25" i="17"/>
  <c r="AB6" i="17"/>
  <c r="AB18" i="17"/>
  <c r="AB19" i="17"/>
  <c r="AB21" i="17"/>
  <c r="AB22" i="17"/>
  <c r="AB11" i="17"/>
  <c r="AB26" i="17"/>
  <c r="AB7" i="17"/>
  <c r="AB8" i="17"/>
  <c r="AB9" i="17"/>
  <c r="AB13" i="17"/>
  <c r="AB15" i="17"/>
  <c r="AB12" i="17"/>
  <c r="AB14" i="17"/>
  <c r="T3" i="17"/>
  <c r="G3" i="19" s="1"/>
  <c r="T4" i="17"/>
  <c r="G4" i="19" s="1"/>
  <c r="T16" i="17"/>
  <c r="G16" i="19" s="1"/>
  <c r="T8" i="17"/>
  <c r="G8" i="19" s="1"/>
  <c r="T22" i="17"/>
  <c r="T25" i="17"/>
  <c r="G25" i="19" s="1"/>
  <c r="T26" i="17"/>
  <c r="G26" i="19" s="1"/>
  <c r="T5" i="17"/>
  <c r="G5" i="19" s="1"/>
  <c r="T17" i="17"/>
  <c r="G17" i="19" s="1"/>
  <c r="T9" i="17"/>
  <c r="G9" i="19" s="1"/>
  <c r="T23" i="17"/>
  <c r="G23" i="19" s="1"/>
  <c r="T13" i="17"/>
  <c r="G13" i="19" s="1"/>
  <c r="T6" i="17"/>
  <c r="G6" i="19" s="1"/>
  <c r="T18" i="17"/>
  <c r="G18" i="19" s="1"/>
  <c r="T19" i="17"/>
  <c r="G19" i="19" s="1"/>
  <c r="T20" i="17"/>
  <c r="G20" i="19" s="1"/>
  <c r="T21" i="17"/>
  <c r="G21" i="19" s="1"/>
  <c r="T10" i="17"/>
  <c r="G10" i="19" s="1"/>
  <c r="T11" i="17"/>
  <c r="G11" i="19" s="1"/>
  <c r="T12" i="17"/>
  <c r="G12" i="19" s="1"/>
  <c r="T14" i="17"/>
  <c r="G14" i="19" s="1"/>
  <c r="T7" i="17"/>
  <c r="G7" i="19" s="1"/>
  <c r="T15" i="17"/>
  <c r="G15" i="19" s="1"/>
  <c r="T24" i="17"/>
  <c r="G24" i="19" s="1"/>
  <c r="L3" i="17"/>
  <c r="L4" i="17"/>
  <c r="L16" i="17"/>
  <c r="C16" i="19" s="1"/>
  <c r="L18" i="17"/>
  <c r="L7" i="17"/>
  <c r="C7" i="19" s="1"/>
  <c r="L20" i="17"/>
  <c r="L9" i="17"/>
  <c r="L22" i="17"/>
  <c r="L11" i="17"/>
  <c r="L24" i="17"/>
  <c r="L13" i="17"/>
  <c r="L26" i="17"/>
  <c r="L5" i="17"/>
  <c r="L17" i="17"/>
  <c r="L6" i="17"/>
  <c r="L19" i="17"/>
  <c r="L8" i="17"/>
  <c r="C8" i="19" s="1"/>
  <c r="L21" i="17"/>
  <c r="L10" i="17"/>
  <c r="L23" i="17"/>
  <c r="L12" i="17"/>
  <c r="L14" i="17"/>
  <c r="L15" i="17"/>
  <c r="L25" i="17"/>
  <c r="B35" i="17"/>
  <c r="B40" i="17"/>
  <c r="B38" i="17"/>
  <c r="B37" i="17"/>
  <c r="B45" i="17"/>
  <c r="B36" i="17"/>
  <c r="B39" i="17"/>
  <c r="B41" i="17"/>
  <c r="B54" i="17"/>
  <c r="G33" i="17"/>
  <c r="B51" i="17"/>
  <c r="B53" i="17"/>
  <c r="B42" i="17"/>
  <c r="B57" i="17"/>
  <c r="B44" i="17"/>
  <c r="B46" i="17"/>
  <c r="B52" i="17"/>
  <c r="B47" i="17"/>
  <c r="B50" i="17"/>
  <c r="B56" i="17"/>
  <c r="B43" i="17"/>
  <c r="B49" i="17"/>
  <c r="B48" i="17"/>
  <c r="B55" i="17"/>
  <c r="H29" i="17"/>
  <c r="U22" i="17" l="1"/>
  <c r="G22" i="19"/>
  <c r="F31" i="19" s="1" a="1"/>
  <c r="F31" i="19" s="1"/>
  <c r="S19" i="19"/>
  <c r="AR50" i="18" s="1"/>
  <c r="AW19" i="17"/>
  <c r="S17" i="19"/>
  <c r="AR48" i="18" s="1"/>
  <c r="AW17" i="17"/>
  <c r="S12" i="19"/>
  <c r="AR43" i="18" s="1"/>
  <c r="AW12" i="17"/>
  <c r="S11" i="19"/>
  <c r="AR42" i="18" s="1"/>
  <c r="AW11" i="17"/>
  <c r="S10" i="19"/>
  <c r="AR41" i="18" s="1"/>
  <c r="AW10" i="17"/>
  <c r="S18" i="19"/>
  <c r="AR49" i="18" s="1"/>
  <c r="AW18" i="17"/>
  <c r="S15" i="19"/>
  <c r="AR46" i="18" s="1"/>
  <c r="AW15" i="17"/>
  <c r="S13" i="19"/>
  <c r="AR44" i="18" s="1"/>
  <c r="AW13" i="17"/>
  <c r="S8" i="19"/>
  <c r="AR39" i="18" s="1"/>
  <c r="AW8" i="17"/>
  <c r="S6" i="19"/>
  <c r="AR37" i="18" s="1"/>
  <c r="AW6" i="17"/>
  <c r="S23" i="19"/>
  <c r="AR54" i="18" s="1"/>
  <c r="AW23" i="17"/>
  <c r="S16" i="19"/>
  <c r="AR47" i="18" s="1"/>
  <c r="AW16" i="17"/>
  <c r="S14" i="19"/>
  <c r="AR45" i="18" s="1"/>
  <c r="AW14" i="17"/>
  <c r="S9" i="19"/>
  <c r="AR40" i="18" s="1"/>
  <c r="AW9" i="17"/>
  <c r="S7" i="19"/>
  <c r="AR38" i="18" s="1"/>
  <c r="AW7" i="17"/>
  <c r="S5" i="19"/>
  <c r="AR36" i="18" s="1"/>
  <c r="AW5" i="17"/>
  <c r="S4" i="19"/>
  <c r="AR35" i="18" s="1"/>
  <c r="AW4" i="17"/>
  <c r="S26" i="19"/>
  <c r="AR57" i="18" s="1"/>
  <c r="AW26" i="17"/>
  <c r="S25" i="19"/>
  <c r="AR56" i="18" s="1"/>
  <c r="AW25" i="17"/>
  <c r="S24" i="19"/>
  <c r="AR55" i="18" s="1"/>
  <c r="AW24" i="17"/>
  <c r="S22" i="19"/>
  <c r="AR53" i="18" s="1"/>
  <c r="AW22" i="17"/>
  <c r="S21" i="19"/>
  <c r="AR52" i="18" s="1"/>
  <c r="AW21" i="17"/>
  <c r="S20" i="19"/>
  <c r="AR51" i="18" s="1"/>
  <c r="AW20" i="17"/>
  <c r="AR34" i="17"/>
  <c r="S3" i="19"/>
  <c r="AR35" i="17"/>
  <c r="AS3" i="17"/>
  <c r="AT3" i="17"/>
  <c r="AR54" i="17"/>
  <c r="AT23" i="17"/>
  <c r="AS23" i="17"/>
  <c r="AR40" i="17"/>
  <c r="AT9" i="17"/>
  <c r="AS9" i="17"/>
  <c r="AR55" i="17"/>
  <c r="AT24" i="17"/>
  <c r="AS24" i="17"/>
  <c r="O3" i="19"/>
  <c r="AR41" i="17"/>
  <c r="AT10" i="17"/>
  <c r="AS10" i="17"/>
  <c r="AR42" i="17"/>
  <c r="AT11" i="17"/>
  <c r="AS11" i="17"/>
  <c r="AR47" i="17"/>
  <c r="AT16" i="17"/>
  <c r="AS16" i="17"/>
  <c r="AU28" i="17"/>
  <c r="AR48" i="17"/>
  <c r="AT17" i="17"/>
  <c r="AS17" i="17"/>
  <c r="AT4" i="17"/>
  <c r="AS4" i="17"/>
  <c r="AR49" i="17"/>
  <c r="AT18" i="17"/>
  <c r="AS18" i="17"/>
  <c r="AR56" i="17"/>
  <c r="AT25" i="17"/>
  <c r="AS25" i="17"/>
  <c r="AR36" i="17"/>
  <c r="AT5" i="17"/>
  <c r="AS5" i="17"/>
  <c r="AT12" i="17"/>
  <c r="AS12" i="17"/>
  <c r="AR43" i="17"/>
  <c r="AR50" i="17"/>
  <c r="AT19" i="17"/>
  <c r="AS19" i="17"/>
  <c r="AT26" i="17"/>
  <c r="AS26" i="17"/>
  <c r="AR57" i="17"/>
  <c r="AT6" i="17"/>
  <c r="AS6" i="17"/>
  <c r="AR37" i="17"/>
  <c r="AT13" i="17"/>
  <c r="AS13" i="17"/>
  <c r="AR44" i="17"/>
  <c r="AT20" i="17"/>
  <c r="AS20" i="17"/>
  <c r="AR51" i="17"/>
  <c r="AT7" i="17"/>
  <c r="AS7" i="17"/>
  <c r="AR38" i="17"/>
  <c r="AT14" i="17"/>
  <c r="AS14" i="17"/>
  <c r="AR45" i="17"/>
  <c r="AT21" i="17"/>
  <c r="AS21" i="17"/>
  <c r="AR52" i="17"/>
  <c r="AT8" i="17"/>
  <c r="AS8" i="17"/>
  <c r="AR39" i="17"/>
  <c r="AT15" i="17"/>
  <c r="AS15" i="17"/>
  <c r="AR46" i="17"/>
  <c r="AT22" i="17"/>
  <c r="AS22" i="17"/>
  <c r="AR53" i="17"/>
  <c r="C13" i="17"/>
  <c r="D13" i="17" s="1"/>
  <c r="AB40" i="17"/>
  <c r="AG9" i="17"/>
  <c r="AD9" i="17"/>
  <c r="AC9" i="17"/>
  <c r="K9" i="19"/>
  <c r="AB47" i="17"/>
  <c r="AG16" i="17"/>
  <c r="AD16" i="17"/>
  <c r="K16" i="19"/>
  <c r="AC16" i="17"/>
  <c r="L48" i="17"/>
  <c r="Q17" i="17"/>
  <c r="N17" i="17"/>
  <c r="M17" i="17"/>
  <c r="C17" i="17"/>
  <c r="C17" i="19"/>
  <c r="AJ50" i="17"/>
  <c r="AO19" i="17"/>
  <c r="AL19" i="17"/>
  <c r="AK19" i="17"/>
  <c r="O19" i="19"/>
  <c r="T57" i="17"/>
  <c r="Y26" i="17"/>
  <c r="V26" i="17"/>
  <c r="U26" i="17"/>
  <c r="M18" i="17"/>
  <c r="C18" i="17"/>
  <c r="Q18" i="17"/>
  <c r="N18" i="17"/>
  <c r="C18" i="19"/>
  <c r="L49" i="17"/>
  <c r="Q15" i="17"/>
  <c r="N15" i="17"/>
  <c r="C15" i="17"/>
  <c r="L46" i="17"/>
  <c r="M15" i="17"/>
  <c r="C15" i="19"/>
  <c r="AO15" i="17"/>
  <c r="AL15" i="17"/>
  <c r="AK15" i="17"/>
  <c r="O15" i="19"/>
  <c r="AJ46" i="17"/>
  <c r="AB36" i="17"/>
  <c r="AC5" i="17"/>
  <c r="AD5" i="17"/>
  <c r="K5" i="19"/>
  <c r="AG5" i="17"/>
  <c r="AJ56" i="17"/>
  <c r="AK25" i="17"/>
  <c r="AO25" i="17"/>
  <c r="AL25" i="17"/>
  <c r="O25" i="19"/>
  <c r="T38" i="17"/>
  <c r="Y7" i="17"/>
  <c r="U7" i="17"/>
  <c r="V7" i="17"/>
  <c r="T48" i="17"/>
  <c r="U17" i="17"/>
  <c r="Y17" i="17"/>
  <c r="V17" i="17"/>
  <c r="AC26" i="17"/>
  <c r="AG26" i="17"/>
  <c r="AD26" i="17"/>
  <c r="K26" i="19"/>
  <c r="AB57" i="17"/>
  <c r="T49" i="17"/>
  <c r="V18" i="17"/>
  <c r="U18" i="17"/>
  <c r="Y18" i="17"/>
  <c r="AB49" i="17"/>
  <c r="AG18" i="17"/>
  <c r="AD18" i="17"/>
  <c r="AC18" i="17"/>
  <c r="K18" i="19"/>
  <c r="Y21" i="17"/>
  <c r="T52" i="17"/>
  <c r="V21" i="17"/>
  <c r="U21" i="17"/>
  <c r="AK11" i="17"/>
  <c r="AJ42" i="17"/>
  <c r="AO11" i="17"/>
  <c r="AL11" i="17"/>
  <c r="O11" i="19"/>
  <c r="AB43" i="17"/>
  <c r="AC12" i="17"/>
  <c r="AD12" i="17"/>
  <c r="K12" i="19"/>
  <c r="AG12" i="17"/>
  <c r="L42" i="17"/>
  <c r="Q11" i="17"/>
  <c r="N11" i="17"/>
  <c r="M11" i="17"/>
  <c r="C11" i="17"/>
  <c r="C11" i="19"/>
  <c r="AJ41" i="17"/>
  <c r="AO10" i="17"/>
  <c r="O10" i="19"/>
  <c r="AL10" i="17"/>
  <c r="AK10" i="17"/>
  <c r="AJ38" i="17"/>
  <c r="AK7" i="17"/>
  <c r="O7" i="19"/>
  <c r="AO7" i="17"/>
  <c r="AL7" i="17"/>
  <c r="L39" i="17"/>
  <c r="M8" i="17"/>
  <c r="C8" i="17"/>
  <c r="Q8" i="17"/>
  <c r="N8" i="17"/>
  <c r="AC22" i="17"/>
  <c r="AB53" i="17"/>
  <c r="K22" i="19"/>
  <c r="AG22" i="17"/>
  <c r="AD22" i="17"/>
  <c r="Y9" i="17"/>
  <c r="T40" i="17"/>
  <c r="V9" i="17"/>
  <c r="U9" i="17"/>
  <c r="L41" i="17"/>
  <c r="Q10" i="17"/>
  <c r="C10" i="17"/>
  <c r="N10" i="17"/>
  <c r="M10" i="17"/>
  <c r="C10" i="19"/>
  <c r="T42" i="17"/>
  <c r="U11" i="17"/>
  <c r="V11" i="17"/>
  <c r="Y11" i="17"/>
  <c r="M9" i="17"/>
  <c r="L40" i="17"/>
  <c r="N9" i="17"/>
  <c r="C9" i="17"/>
  <c r="C9" i="19"/>
  <c r="Q9" i="17"/>
  <c r="AO23" i="17"/>
  <c r="AL23" i="17"/>
  <c r="AJ54" i="17"/>
  <c r="AK23" i="17"/>
  <c r="O23" i="19"/>
  <c r="T54" i="17"/>
  <c r="U23" i="17"/>
  <c r="V23" i="17"/>
  <c r="Y23" i="17"/>
  <c r="M13" i="17"/>
  <c r="L44" i="17"/>
  <c r="N13" i="17"/>
  <c r="Q13" i="17"/>
  <c r="C13" i="19"/>
  <c r="AB56" i="17"/>
  <c r="AG25" i="17"/>
  <c r="AD25" i="17"/>
  <c r="AC25" i="17"/>
  <c r="K25" i="19"/>
  <c r="AJ36" i="17"/>
  <c r="AO5" i="17"/>
  <c r="AL5" i="17"/>
  <c r="AK5" i="17"/>
  <c r="O5" i="19"/>
  <c r="T37" i="17"/>
  <c r="U6" i="17"/>
  <c r="V6" i="17"/>
  <c r="Y6" i="17"/>
  <c r="T34" i="17"/>
  <c r="W28" i="17"/>
  <c r="Y3" i="17"/>
  <c r="V3" i="17"/>
  <c r="U3" i="17"/>
  <c r="C14" i="17"/>
  <c r="L45" i="17"/>
  <c r="M14" i="17"/>
  <c r="C14" i="19"/>
  <c r="Q14" i="17"/>
  <c r="N14" i="17"/>
  <c r="L36" i="17"/>
  <c r="C5" i="17"/>
  <c r="N5" i="17"/>
  <c r="Q5" i="17"/>
  <c r="M5" i="17"/>
  <c r="C5" i="19"/>
  <c r="AJ51" i="17"/>
  <c r="AO20" i="17"/>
  <c r="AL20" i="17"/>
  <c r="AK20" i="17"/>
  <c r="O20" i="19"/>
  <c r="Q21" i="17"/>
  <c r="N21" i="17"/>
  <c r="M21" i="17"/>
  <c r="L52" i="17"/>
  <c r="C21" i="17"/>
  <c r="C21" i="19"/>
  <c r="AJ35" i="17"/>
  <c r="AK4" i="17"/>
  <c r="O4" i="19"/>
  <c r="AL4" i="17"/>
  <c r="AO4" i="17"/>
  <c r="L57" i="17"/>
  <c r="Q26" i="17"/>
  <c r="N26" i="17"/>
  <c r="M26" i="17"/>
  <c r="C26" i="19"/>
  <c r="C26" i="17"/>
  <c r="AJ37" i="17"/>
  <c r="AO6" i="17"/>
  <c r="O6" i="19"/>
  <c r="AL6" i="17"/>
  <c r="AK6" i="17"/>
  <c r="AB42" i="17"/>
  <c r="AG11" i="17"/>
  <c r="AD11" i="17"/>
  <c r="K11" i="19"/>
  <c r="AC11" i="17"/>
  <c r="L38" i="17"/>
  <c r="Q7" i="17"/>
  <c r="N7" i="17"/>
  <c r="M7" i="17"/>
  <c r="C7" i="17"/>
  <c r="U12" i="17"/>
  <c r="T43" i="17"/>
  <c r="Y12" i="17"/>
  <c r="V12" i="17"/>
  <c r="T36" i="17"/>
  <c r="Y5" i="17"/>
  <c r="V5" i="17"/>
  <c r="U5" i="17"/>
  <c r="L37" i="17"/>
  <c r="Q6" i="17"/>
  <c r="C6" i="19"/>
  <c r="N6" i="17"/>
  <c r="M6" i="17"/>
  <c r="C6" i="17"/>
  <c r="Y14" i="17"/>
  <c r="V14" i="17"/>
  <c r="T45" i="17"/>
  <c r="U14" i="17"/>
  <c r="AO18" i="17"/>
  <c r="AL18" i="17"/>
  <c r="AK18" i="17"/>
  <c r="AJ49" i="17"/>
  <c r="O18" i="19"/>
  <c r="AJ45" i="17"/>
  <c r="O14" i="19"/>
  <c r="AL14" i="17"/>
  <c r="AO14" i="17"/>
  <c r="AK14" i="17"/>
  <c r="AL22" i="17"/>
  <c r="AK22" i="17"/>
  <c r="AJ53" i="17"/>
  <c r="AO22" i="17"/>
  <c r="O22" i="19"/>
  <c r="AB52" i="17"/>
  <c r="AG21" i="17"/>
  <c r="AD21" i="17"/>
  <c r="AC21" i="17"/>
  <c r="K21" i="19"/>
  <c r="AO17" i="17"/>
  <c r="AL17" i="17"/>
  <c r="AK17" i="17"/>
  <c r="AJ48" i="17"/>
  <c r="O17" i="19"/>
  <c r="C12" i="19"/>
  <c r="L43" i="17"/>
  <c r="Q12" i="17"/>
  <c r="N12" i="17"/>
  <c r="M12" i="17"/>
  <c r="C12" i="17"/>
  <c r="L53" i="17"/>
  <c r="Q22" i="17"/>
  <c r="C22" i="17"/>
  <c r="N22" i="17"/>
  <c r="M22" i="17"/>
  <c r="C22" i="19"/>
  <c r="AE28" i="17"/>
  <c r="AB34" i="17"/>
  <c r="AG3" i="17"/>
  <c r="AD3" i="17"/>
  <c r="AC3" i="17"/>
  <c r="K3" i="19"/>
  <c r="AJ57" i="17"/>
  <c r="AL26" i="17"/>
  <c r="AK26" i="17"/>
  <c r="AO26" i="17"/>
  <c r="O26" i="19"/>
  <c r="Q25" i="17"/>
  <c r="N25" i="17"/>
  <c r="L56" i="17"/>
  <c r="C25" i="17"/>
  <c r="M25" i="17"/>
  <c r="C25" i="19"/>
  <c r="AB38" i="17"/>
  <c r="AG7" i="17"/>
  <c r="AD7" i="17"/>
  <c r="AC7" i="17"/>
  <c r="K7" i="19"/>
  <c r="AB35" i="17"/>
  <c r="AG4" i="17"/>
  <c r="AD4" i="17"/>
  <c r="AC4" i="17"/>
  <c r="AO12" i="17"/>
  <c r="AL12" i="17"/>
  <c r="AJ43" i="17"/>
  <c r="O12" i="19"/>
  <c r="AK12" i="17"/>
  <c r="C24" i="17"/>
  <c r="M24" i="17"/>
  <c r="Q24" i="17"/>
  <c r="C24" i="19"/>
  <c r="N24" i="17"/>
  <c r="L55" i="17"/>
  <c r="AG13" i="17"/>
  <c r="AB44" i="17"/>
  <c r="AD13" i="17"/>
  <c r="AC13" i="17"/>
  <c r="K13" i="19"/>
  <c r="L34" i="17"/>
  <c r="O28" i="17"/>
  <c r="N3" i="17"/>
  <c r="M3" i="17"/>
  <c r="C3" i="17"/>
  <c r="C3" i="19"/>
  <c r="Q3" i="17"/>
  <c r="AJ39" i="17"/>
  <c r="AO8" i="17"/>
  <c r="AL8" i="17"/>
  <c r="O8" i="19"/>
  <c r="AK8" i="17"/>
  <c r="AB50" i="17"/>
  <c r="AG19" i="17"/>
  <c r="AD19" i="17"/>
  <c r="AC19" i="17"/>
  <c r="K19" i="19"/>
  <c r="AJ47" i="17"/>
  <c r="AL16" i="17"/>
  <c r="AK16" i="17"/>
  <c r="O16" i="19"/>
  <c r="AO16" i="17"/>
  <c r="AB46" i="17"/>
  <c r="AG15" i="17"/>
  <c r="AC15" i="17"/>
  <c r="K15" i="19"/>
  <c r="AD15" i="17"/>
  <c r="AD23" i="17"/>
  <c r="AC23" i="17"/>
  <c r="AB54" i="17"/>
  <c r="AG23" i="17"/>
  <c r="K23" i="19"/>
  <c r="Y22" i="17"/>
  <c r="T53" i="17"/>
  <c r="V22" i="17"/>
  <c r="Q20" i="17"/>
  <c r="N20" i="17"/>
  <c r="M20" i="17"/>
  <c r="L51" i="17"/>
  <c r="C20" i="17"/>
  <c r="C20" i="19"/>
  <c r="C19" i="17"/>
  <c r="L50" i="17"/>
  <c r="N19" i="17"/>
  <c r="M19" i="17"/>
  <c r="Q19" i="17"/>
  <c r="C19" i="19"/>
  <c r="Y25" i="17"/>
  <c r="V25" i="17"/>
  <c r="U25" i="17"/>
  <c r="T56" i="17"/>
  <c r="AO24" i="17"/>
  <c r="AL24" i="17"/>
  <c r="AJ55" i="17"/>
  <c r="O24" i="19"/>
  <c r="AK24" i="17"/>
  <c r="L35" i="17"/>
  <c r="Q4" i="17"/>
  <c r="N4" i="17"/>
  <c r="M4" i="17"/>
  <c r="C4" i="19"/>
  <c r="C4" i="17"/>
  <c r="AB37" i="17"/>
  <c r="K6" i="19"/>
  <c r="AG6" i="17"/>
  <c r="AD6" i="17"/>
  <c r="AC6" i="17"/>
  <c r="U13" i="17"/>
  <c r="T44" i="17"/>
  <c r="V13" i="17"/>
  <c r="Y13" i="17"/>
  <c r="T46" i="17"/>
  <c r="Y15" i="17"/>
  <c r="V15" i="17"/>
  <c r="U15" i="17"/>
  <c r="AK21" i="17"/>
  <c r="AO21" i="17"/>
  <c r="AL21" i="17"/>
  <c r="O21" i="19"/>
  <c r="AJ52" i="17"/>
  <c r="AB41" i="17"/>
  <c r="K10" i="19"/>
  <c r="AG10" i="17"/>
  <c r="AD10" i="17"/>
  <c r="AC10" i="17"/>
  <c r="T39" i="17"/>
  <c r="U8" i="17"/>
  <c r="Y8" i="17"/>
  <c r="V8" i="17"/>
  <c r="Y10" i="17"/>
  <c r="V10" i="17"/>
  <c r="T41" i="17"/>
  <c r="U10" i="17"/>
  <c r="AJ44" i="17"/>
  <c r="AO13" i="17"/>
  <c r="AL13" i="17"/>
  <c r="AK13" i="17"/>
  <c r="O13" i="19"/>
  <c r="AB55" i="17"/>
  <c r="AG24" i="17"/>
  <c r="AD24" i="17"/>
  <c r="AC24" i="17"/>
  <c r="K24" i="19"/>
  <c r="Y19" i="17"/>
  <c r="V19" i="17"/>
  <c r="U19" i="17"/>
  <c r="T50" i="17"/>
  <c r="L47" i="17"/>
  <c r="Q16" i="17"/>
  <c r="N16" i="17"/>
  <c r="M16" i="17"/>
  <c r="C16" i="17"/>
  <c r="AJ34" i="17"/>
  <c r="AM28" i="17"/>
  <c r="AL3" i="17"/>
  <c r="AO3" i="17"/>
  <c r="AK3" i="17"/>
  <c r="T35" i="17"/>
  <c r="V4" i="17"/>
  <c r="U4" i="17"/>
  <c r="Y4" i="17"/>
  <c r="AG20" i="17"/>
  <c r="AB51" i="17"/>
  <c r="K20" i="19"/>
  <c r="AD20" i="17"/>
  <c r="AC20" i="17"/>
  <c r="AG8" i="17"/>
  <c r="K8" i="19"/>
  <c r="AD8" i="17"/>
  <c r="AC8" i="17"/>
  <c r="AB39" i="17"/>
  <c r="AL9" i="17"/>
  <c r="AK9" i="17"/>
  <c r="AJ40" i="17"/>
  <c r="AO9" i="17"/>
  <c r="AG14" i="17"/>
  <c r="AD14" i="17"/>
  <c r="AC14" i="17"/>
  <c r="K14" i="19"/>
  <c r="AB45" i="17"/>
  <c r="T51" i="17"/>
  <c r="Y20" i="17"/>
  <c r="V20" i="17"/>
  <c r="U20" i="17"/>
  <c r="AD17" i="17"/>
  <c r="AB48" i="17"/>
  <c r="AG17" i="17"/>
  <c r="AC17" i="17"/>
  <c r="K17" i="19"/>
  <c r="T47" i="17"/>
  <c r="Y16" i="17"/>
  <c r="V16" i="17"/>
  <c r="U16" i="17"/>
  <c r="V24" i="17"/>
  <c r="U24" i="17"/>
  <c r="T55" i="17"/>
  <c r="Y24" i="17"/>
  <c r="L54" i="17"/>
  <c r="Q23" i="17"/>
  <c r="N23" i="17"/>
  <c r="M23" i="17"/>
  <c r="C23" i="17"/>
  <c r="C23" i="19"/>
  <c r="J31" i="19" l="1" a="1"/>
  <c r="J31" i="19" s="1"/>
  <c r="B31" i="19" a="1"/>
  <c r="B31" i="19" s="1"/>
  <c r="R31" i="19" a="1"/>
  <c r="N31" i="19" a="1"/>
  <c r="AR34" i="18"/>
  <c r="AV28" i="17"/>
  <c r="AS30" i="17" s="1"/>
  <c r="X48" i="18"/>
  <c r="AH49" i="18"/>
  <c r="N34" i="18"/>
  <c r="N55" i="18"/>
  <c r="AH44" i="18"/>
  <c r="N39" i="18"/>
  <c r="AH55" i="18"/>
  <c r="X35" i="18"/>
  <c r="AH48" i="18"/>
  <c r="C52" i="17"/>
  <c r="I21" i="17"/>
  <c r="E21" i="17"/>
  <c r="D21" i="17"/>
  <c r="AH36" i="18"/>
  <c r="D55" i="18"/>
  <c r="D38" i="18"/>
  <c r="X43" i="18"/>
  <c r="N38" i="18"/>
  <c r="D46" i="18"/>
  <c r="C49" i="17"/>
  <c r="I18" i="17"/>
  <c r="E18" i="17"/>
  <c r="D18" i="17"/>
  <c r="X47" i="18"/>
  <c r="AH39" i="18"/>
  <c r="X37" i="18"/>
  <c r="D19" i="17"/>
  <c r="C50" i="17"/>
  <c r="I19" i="17"/>
  <c r="E19" i="17"/>
  <c r="C55" i="17"/>
  <c r="I24" i="17"/>
  <c r="E24" i="17"/>
  <c r="D24" i="17"/>
  <c r="D56" i="18"/>
  <c r="C53" i="17"/>
  <c r="I22" i="17"/>
  <c r="E22" i="17"/>
  <c r="D22" i="17"/>
  <c r="C38" i="17"/>
  <c r="I7" i="17"/>
  <c r="E7" i="17"/>
  <c r="D7" i="17"/>
  <c r="D44" i="18"/>
  <c r="AH54" i="18"/>
  <c r="C39" i="17"/>
  <c r="I8" i="17"/>
  <c r="E8" i="17"/>
  <c r="D8" i="17"/>
  <c r="AH41" i="18"/>
  <c r="X57" i="18"/>
  <c r="X36" i="18"/>
  <c r="D43" i="18"/>
  <c r="N49" i="18"/>
  <c r="N53" i="18"/>
  <c r="N51" i="18"/>
  <c r="AH40" i="18"/>
  <c r="AH34" i="18"/>
  <c r="AH47" i="18"/>
  <c r="N45" i="18"/>
  <c r="N36" i="18"/>
  <c r="N40" i="18"/>
  <c r="D39" i="18"/>
  <c r="X49" i="18"/>
  <c r="D48" i="18"/>
  <c r="D37" i="18"/>
  <c r="X44" i="18"/>
  <c r="X34" i="18"/>
  <c r="C44" i="17"/>
  <c r="I13" i="17"/>
  <c r="E13" i="17"/>
  <c r="N42" i="18"/>
  <c r="C46" i="17"/>
  <c r="I15" i="17"/>
  <c r="D15" i="17"/>
  <c r="E15" i="17"/>
  <c r="I17" i="17"/>
  <c r="E17" i="17"/>
  <c r="D17" i="17"/>
  <c r="C48" i="17"/>
  <c r="X51" i="18"/>
  <c r="N46" i="18"/>
  <c r="N50" i="18"/>
  <c r="D54" i="18"/>
  <c r="D35" i="18"/>
  <c r="X38" i="18"/>
  <c r="AF28" i="17"/>
  <c r="AC30" i="17" s="1"/>
  <c r="C43" i="17"/>
  <c r="I12" i="17"/>
  <c r="E12" i="17"/>
  <c r="D12" i="17"/>
  <c r="X52" i="18"/>
  <c r="D36" i="18"/>
  <c r="D45" i="18"/>
  <c r="N37" i="18"/>
  <c r="X56" i="18"/>
  <c r="D42" i="18"/>
  <c r="AH42" i="18"/>
  <c r="N57" i="18"/>
  <c r="X40" i="18"/>
  <c r="D49" i="18"/>
  <c r="D53" i="18"/>
  <c r="N56" i="18"/>
  <c r="N41" i="18"/>
  <c r="X41" i="18"/>
  <c r="N44" i="18"/>
  <c r="E20" i="17"/>
  <c r="D20" i="17"/>
  <c r="C51" i="17"/>
  <c r="I20" i="17"/>
  <c r="D34" i="18"/>
  <c r="AH43" i="18"/>
  <c r="AH45" i="18"/>
  <c r="AH37" i="18"/>
  <c r="AH35" i="18"/>
  <c r="I11" i="17"/>
  <c r="E11" i="17"/>
  <c r="C42" i="17"/>
  <c r="D11" i="17"/>
  <c r="N48" i="18"/>
  <c r="AH56" i="18"/>
  <c r="AN28" i="17"/>
  <c r="AK30" i="17" s="1"/>
  <c r="C35" i="17"/>
  <c r="I4" i="17"/>
  <c r="E4" i="17"/>
  <c r="D4" i="17"/>
  <c r="X54" i="18"/>
  <c r="I23" i="17"/>
  <c r="E23" i="17"/>
  <c r="D23" i="17"/>
  <c r="C54" i="17"/>
  <c r="N35" i="18"/>
  <c r="X55" i="18"/>
  <c r="X50" i="18"/>
  <c r="C34" i="17"/>
  <c r="G28" i="17"/>
  <c r="I3" i="17"/>
  <c r="E3" i="17"/>
  <c r="D3" i="17"/>
  <c r="AH53" i="18"/>
  <c r="C41" i="17"/>
  <c r="D10" i="17"/>
  <c r="I10" i="17"/>
  <c r="E10" i="17"/>
  <c r="D51" i="18"/>
  <c r="E25" i="17"/>
  <c r="C56" i="17"/>
  <c r="N47" i="18"/>
  <c r="I16" i="17"/>
  <c r="C47" i="17"/>
  <c r="E16" i="17"/>
  <c r="D16" i="17"/>
  <c r="P28" i="17"/>
  <c r="M30" i="17" s="1"/>
  <c r="C37" i="17"/>
  <c r="E6" i="17"/>
  <c r="I6" i="17"/>
  <c r="D6" i="17"/>
  <c r="N43" i="18"/>
  <c r="AH51" i="18"/>
  <c r="D14" i="17"/>
  <c r="C45" i="17"/>
  <c r="E14" i="17"/>
  <c r="I14" i="17"/>
  <c r="D40" i="18"/>
  <c r="D41" i="18"/>
  <c r="AH50" i="18"/>
  <c r="X46" i="18"/>
  <c r="D57" i="18"/>
  <c r="N52" i="18"/>
  <c r="D52" i="18"/>
  <c r="D47" i="18"/>
  <c r="X45" i="18"/>
  <c r="X39" i="18"/>
  <c r="AH52" i="18"/>
  <c r="D50" i="18"/>
  <c r="AH57" i="18"/>
  <c r="X42" i="18"/>
  <c r="I26" i="17"/>
  <c r="E26" i="17"/>
  <c r="C57" i="17"/>
  <c r="D26" i="17"/>
  <c r="I5" i="17"/>
  <c r="E5" i="17"/>
  <c r="D5" i="17"/>
  <c r="C36" i="17"/>
  <c r="X28" i="17"/>
  <c r="U30" i="17" s="1"/>
  <c r="N54" i="18"/>
  <c r="C40" i="17"/>
  <c r="I9" i="17"/>
  <c r="E9" i="17"/>
  <c r="D9" i="17"/>
  <c r="X53" i="18"/>
  <c r="AH38" i="18"/>
  <c r="AH46" i="18"/>
  <c r="L32" i="19" l="1"/>
  <c r="L34" i="19"/>
  <c r="L35" i="19"/>
  <c r="L33" i="19"/>
  <c r="L31" i="19"/>
  <c r="H32" i="19"/>
  <c r="H34" i="19"/>
  <c r="H33" i="19"/>
  <c r="H35" i="19"/>
  <c r="H31" i="19"/>
  <c r="D33" i="19"/>
  <c r="D34" i="19"/>
  <c r="D35" i="19"/>
  <c r="D32" i="19"/>
  <c r="D31" i="19"/>
  <c r="P32" i="19"/>
  <c r="P34" i="19"/>
  <c r="P35" i="19"/>
  <c r="P33" i="19"/>
  <c r="N31" i="19"/>
  <c r="P31" i="19"/>
  <c r="T32" i="19"/>
  <c r="T33" i="19"/>
  <c r="T34" i="19"/>
  <c r="T35" i="19"/>
  <c r="R31" i="19"/>
  <c r="T31" i="19"/>
  <c r="H28" i="17"/>
  <c r="D30" i="17" s="1"/>
  <c r="F27" i="17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ELIFAZ DO NASCIMENTO SILVA</author>
  </authors>
  <commentList>
    <comment ref="AI2" authorId="0" shapeId="0" xr:uid="{00000000-0006-0000-0000-000001000000}">
      <text>
        <r>
          <rPr>
            <b/>
            <sz val="9"/>
            <color indexed="81"/>
            <rFont val="Segoe UI"/>
            <family val="2"/>
          </rPr>
          <t>INPUT MANUAL</t>
        </r>
      </text>
    </comment>
    <comment ref="AU2" authorId="0" shapeId="0" xr:uid="{00000000-0006-0000-0000-000002000000}">
      <text>
        <r>
          <rPr>
            <b/>
            <sz val="9"/>
            <color indexed="81"/>
            <rFont val="Segoe UI"/>
            <family val="2"/>
          </rPr>
          <t>INPUT MANUAL</t>
        </r>
      </text>
    </comment>
    <comment ref="BG2" authorId="0" shapeId="0" xr:uid="{00000000-0006-0000-0000-000003000000}">
      <text>
        <r>
          <rPr>
            <b/>
            <sz val="9"/>
            <color indexed="81"/>
            <rFont val="Segoe UI"/>
            <family val="2"/>
          </rPr>
          <t>INPUT MANUAL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0ADE421-22BE-4A1C-B0F3-3E1D6311D14B}" keepAlive="1" name="Consulta - Base_HH_Usina__SharePoint" description="Conexão com a consulta 'Base_HH_Usina__SharePoint' na pasta de trabalho." type="5" refreshedVersion="0" background="1">
    <dbPr connection="Provider=Microsoft.Mashup.OleDb.1;Data Source=$Workbook$;Location=Base_HH_Usina__SharePoint;Extended Properties=&quot;&quot;" command="SELECT * FROM [Base_HH_Usina__SharePoint]"/>
  </connection>
  <connection id="2" xr16:uid="{00000000-0015-0000-FFFF-FFFF00000000}" keepAlive="1" name="Consulta - Base_HH_Usina_O" description="Conexão com a consulta 'Base_HH_Usina_O' na pasta de trabalho." type="5" refreshedVersion="0" background="1">
    <dbPr connection="Provider=Microsoft.Mashup.OleDb.1;Data Source=$Workbook$;Location=Base_HH_Usina_O;Extended Properties=&quot;&quot;" command="SELECT * FROM [Base_HH_Usina_O]"/>
  </connection>
  <connection id="3" xr16:uid="{00000000-0015-0000-FFFF-FFFF01000000}" keepAlive="1" name="Consulta - TB_HH_Usina" description="Conexão com a consulta 'TB_HH_Usina' na pasta de trabalho." type="5" refreshedVersion="8" background="1" saveData="1">
    <dbPr connection="Provider=Microsoft.Mashup.OleDb.1;Data Source=$Workbook$;Location=tb_HH_Usina;Extended Properties=&quot;&quot;" command="SELECT * FROM [TB_HH_Usina]"/>
  </connection>
  <connection id="4" xr16:uid="{00000000-0015-0000-FFFF-FFFF02000000}" keepAlive="1" name="Consulta - TB_HH_Usina(1)" description="Conexão com a consulta 'TB_HH_Usina' na pasta de trabalho." type="5" refreshedVersion="8" background="1" saveData="1">
    <dbPr connection="Provider=Microsoft.Mashup.OleDb.1;Data Source=$Workbook$;Location=TB_HH_Usina;Extended Properties=&quot;&quot;" command="SELECT * FROM [TB_HH_Usina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<sst xmlns="http://schemas.openxmlformats.org/spreadsheetml/2006/main" count="189" uniqueCount="66">
  <si>
    <t>Usina</t>
  </si>
  <si>
    <t>USINA I</t>
  </si>
  <si>
    <t>USINA II</t>
  </si>
  <si>
    <t>USINA III</t>
  </si>
  <si>
    <t>USINA IV</t>
  </si>
  <si>
    <t>Usinas Total</t>
  </si>
  <si>
    <t>Data</t>
  </si>
  <si>
    <t>Hr</t>
  </si>
  <si>
    <t>R-D+1</t>
  </si>
  <si>
    <t>Eventos</t>
  </si>
  <si>
    <t>USINA 1</t>
  </si>
  <si>
    <t>Projeção</t>
  </si>
  <si>
    <t>USINA 2</t>
  </si>
  <si>
    <t>USINA 3</t>
  </si>
  <si>
    <t>USINA 4</t>
  </si>
  <si>
    <t>3h</t>
  </si>
  <si>
    <t>6h</t>
  </si>
  <si>
    <t>7h</t>
  </si>
  <si>
    <t>18h</t>
  </si>
  <si>
    <t>,l</t>
  </si>
  <si>
    <t>I:\Usina_Excelencia_Operacional\03-Acompanhamento Produção\Acompanhamento Produção 2022\Informações COI - USINA.xlsm</t>
  </si>
  <si>
    <t>s</t>
  </si>
  <si>
    <t>ACOMPANHAMENTO MOV. E PROD. - USINA</t>
  </si>
  <si>
    <t>ATUALIZADO:</t>
  </si>
  <si>
    <t xml:space="preserve">                   </t>
  </si>
  <si>
    <t>USINA</t>
  </si>
  <si>
    <t xml:space="preserve">Atualizado no dia: </t>
  </si>
  <si>
    <t>PARA NÃO PRECISARA ATUALIZAR ABRINDO A FONTE DE DADOS, FAVOR IR PARA ABA ( JUSTIFICATIVA DE USINA ) QUE NELA VOCÊS CONSEGUIRÁ APENAS ATUALIZAR LINK.</t>
  </si>
  <si>
    <t>D+1</t>
  </si>
  <si>
    <t>REAL</t>
  </si>
  <si>
    <t>Saldo</t>
  </si>
  <si>
    <t>REALIZADO</t>
  </si>
  <si>
    <t>Hora</t>
  </si>
  <si>
    <t>US1_D+1</t>
  </si>
  <si>
    <t>US1_REAL</t>
  </si>
  <si>
    <t>US2_D+1</t>
  </si>
  <si>
    <t>US2_REAL</t>
  </si>
  <si>
    <t>US3_D+1</t>
  </si>
  <si>
    <t>US3_REAL</t>
  </si>
  <si>
    <t>US4_D+1</t>
  </si>
  <si>
    <t>US4_REAL</t>
  </si>
  <si>
    <t>Proj_US1</t>
  </si>
  <si>
    <t>Proj_US2</t>
  </si>
  <si>
    <t>Proj_US3</t>
  </si>
  <si>
    <t>Proj_US4</t>
  </si>
  <si>
    <t>Proj_US_RC</t>
  </si>
  <si>
    <t>DIF</t>
  </si>
  <si>
    <t>PRODUÇÃO TOTAL</t>
  </si>
  <si>
    <t>D+1 DEV</t>
  </si>
  <si>
    <t>D+1 Defit</t>
  </si>
  <si>
    <t>Acum+Dev</t>
  </si>
  <si>
    <t>Acumulado</t>
  </si>
  <si>
    <t>Msg</t>
  </si>
  <si>
    <t>Acum. Real vs Acum. D+1</t>
  </si>
  <si>
    <t>Acum. REAL</t>
  </si>
  <si>
    <t>Proj. Dia vs D+1</t>
  </si>
  <si>
    <t>Acum. PROJ.</t>
  </si>
  <si>
    <t>RITMO</t>
  </si>
  <si>
    <t>ans</t>
  </si>
  <si>
    <t>8h</t>
  </si>
  <si>
    <t>USINA V</t>
  </si>
  <si>
    <t>USINA 5</t>
  </si>
  <si>
    <t>US5_D+13</t>
  </si>
  <si>
    <t>US5_REAL3</t>
  </si>
  <si>
    <t>DataDia</t>
  </si>
  <si>
    <t xml:space="preserve">USINA 3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</si>
</sst>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64" formatCode="_(* #,##0.00_);_(* \(#,##0.00\);_(* &quot;-&quot;??_);_(@_)"/>
    <numFmt numFmtId="165" formatCode="_(&quot;R$&quot;* #,##0.00_);_(&quot;R$&quot;* \(#,##0.00\);_(&quot;R$&quot;* &quot;-&quot;??_);_(@_)"/>
    <numFmt numFmtId="166" formatCode="0.000"/>
    <numFmt numFmtId="167" formatCode="&quot;Cr$&quot;#,##0;[Red]&quot;Cr$&quot;#,##0&quot;-&quot;"/>
    <numFmt numFmtId="168" formatCode="General_)"/>
    <numFmt numFmtId="169" formatCode="0.00%;[Red]\-0.00%"/>
    <numFmt numFmtId="170" formatCode="0.000;[Red]\-0.000"/>
    <numFmt numFmtId="171" formatCode="&quot;R$&quot;\ #,##0.00_);[Red]\(&quot;R$&quot;\ #,##0.00\)"/>
    <numFmt numFmtId="172" formatCode="[$-416]d\-mmm;@"/>
    <numFmt numFmtId="173" formatCode="_(* #,##0_);_(* \(#,##0\);_(* &quot;-&quot;??_);_(@_)"/>
    <numFmt numFmtId="174" formatCode="0&quot;h&quot;"/>
    <numFmt numFmtId="175" formatCode="[$-F400]h:mm:ss\ AM/PM"/>
    <numFmt numFmtId="176" formatCode="d/m/yy\ h:mm;@"/>
  </numFmts>
  <fonts count="10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b/>
      <sz val="11"/>
      <color indexed="9"/>
      <name val="Calibri"/>
      <family val="2"/>
    </font>
    <font>
      <b/>
      <sz val="11"/>
      <color indexed="8"/>
      <name val="Calibri"/>
      <family val="2"/>
    </font>
    <font>
      <sz val="11"/>
      <color indexed="8"/>
      <name val="Calibri"/>
      <family val="2"/>
    </font>
    <font>
      <sz val="9"/>
      <color indexed="10"/>
      <name val="Geneva"/>
    </font>
    <font>
      <sz val="10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b/>
      <sz val="10"/>
      <color indexed="10"/>
      <name val="Arial"/>
      <family val="2"/>
    </font>
    <font>
      <u/>
      <sz val="10"/>
      <color indexed="12"/>
      <name val="Arial"/>
      <family val="2"/>
    </font>
    <font>
      <b/>
      <sz val="10"/>
      <color indexed="9"/>
      <name val="Arial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sz val="11"/>
      <color indexed="52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8"/>
      <color indexed="56"/>
      <name val="Cambria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8.25"/>
      <color indexed="36"/>
      <name val="µ¸¿ò"/>
      <family val="3"/>
      <charset val="129"/>
    </font>
    <font>
      <sz val="10"/>
      <name val="MS Sans Serif"/>
      <family val="2"/>
    </font>
    <font>
      <sz val="12"/>
      <name val="Impact"/>
      <family val="2"/>
    </font>
    <font>
      <b/>
      <sz val="10"/>
      <color indexed="38"/>
      <name val="Arial"/>
      <family val="2"/>
    </font>
    <font>
      <b/>
      <sz val="18"/>
      <color indexed="38"/>
      <name val="Impact"/>
      <family val="2"/>
    </font>
    <font>
      <b/>
      <sz val="14"/>
      <color indexed="38"/>
      <name val="Impact"/>
      <family val="2"/>
    </font>
    <font>
      <sz val="10"/>
      <name val="Arial Rounded MT Bold"/>
      <family val="2"/>
    </font>
    <font>
      <sz val="16"/>
      <color indexed="9"/>
      <name val="Impact"/>
      <family val="2"/>
    </font>
    <font>
      <sz val="10"/>
      <color indexed="17"/>
      <name val="Arial"/>
      <family val="2"/>
    </font>
    <font>
      <b/>
      <sz val="10"/>
      <color indexed="53"/>
      <name val="Arial"/>
      <family val="2"/>
    </font>
    <font>
      <sz val="8"/>
      <color indexed="8"/>
      <name val="Tahoma"/>
      <family val="2"/>
    </font>
    <font>
      <u/>
      <sz val="8.25"/>
      <color indexed="12"/>
      <name val="µ¸¿ò"/>
      <family val="3"/>
      <charset val="129"/>
    </font>
    <font>
      <sz val="12"/>
      <color indexed="24"/>
      <name val="System"/>
      <family val="2"/>
    </font>
    <font>
      <sz val="18"/>
      <color indexed="24"/>
      <name val="System"/>
      <family val="2"/>
    </font>
    <font>
      <sz val="10"/>
      <color indexed="24"/>
      <name val="System"/>
      <family val="2"/>
    </font>
    <font>
      <sz val="8"/>
      <name val="Times New Roman"/>
      <family val="1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sz val="11"/>
      <color theme="0"/>
      <name val="Calibri"/>
      <family val="2"/>
      <scheme val="minor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sz val="10"/>
      <name val="Verdana"/>
      <family val="2"/>
    </font>
    <font>
      <u/>
      <sz val="10"/>
      <color theme="10"/>
      <name val="Arial"/>
      <family val="2"/>
    </font>
    <font>
      <b/>
      <sz val="16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6"/>
      <color theme="1"/>
      <name val="Arial"/>
      <family val="2"/>
    </font>
    <font>
      <sz val="14"/>
      <color theme="0"/>
      <name val="Calibri"/>
      <family val="2"/>
      <scheme val="minor"/>
    </font>
    <font>
      <sz val="11"/>
      <color theme="1"/>
      <name val="Arial"/>
      <family val="2"/>
    </font>
    <font>
      <sz val="16"/>
      <color theme="1"/>
      <name val="Arial"/>
      <family val="2"/>
    </font>
    <font>
      <b/>
      <sz val="24"/>
      <color theme="0"/>
      <name val="Arial"/>
      <family val="2"/>
    </font>
    <font>
      <sz val="11"/>
      <color rgb="FFFF0000"/>
      <name val="Arial"/>
      <family val="2"/>
    </font>
    <font>
      <b/>
      <sz val="36"/>
      <color theme="0"/>
      <name val="Arial"/>
      <family val="2"/>
    </font>
    <font>
      <sz val="11"/>
      <color theme="0"/>
      <name val="Arial"/>
      <family val="2"/>
    </font>
    <font>
      <sz val="8"/>
      <color theme="0"/>
      <name val="Arial"/>
      <family val="2"/>
    </font>
    <font>
      <b/>
      <sz val="11"/>
      <color theme="2" tint="-0.89999084444715716"/>
      <name val="Arial"/>
      <family val="2"/>
    </font>
    <font>
      <sz val="20"/>
      <color theme="1"/>
      <name val="Arial"/>
      <family val="2"/>
    </font>
    <font>
      <b/>
      <sz val="12"/>
      <color theme="0"/>
      <name val="Arial"/>
      <family val="2"/>
    </font>
    <font>
      <b/>
      <sz val="16"/>
      <color theme="2" tint="-0.89999084444715716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9"/>
      <color indexed="81"/>
      <name val="Segoe UI"/>
      <family val="2"/>
    </font>
    <font>
      <sz val="14"/>
      <color theme="1"/>
      <name val="Arial"/>
      <family val="2"/>
    </font>
    <font>
      <sz val="11"/>
      <color rgb="FFFF0000"/>
      <name val="Calibri"/>
      <family val="2"/>
      <scheme val="minor"/>
    </font>
    <font>
      <b/>
      <sz val="18"/>
      <color theme="4" tint="-0.499984740745262"/>
      <name val="Arial"/>
      <family val="2"/>
    </font>
    <font>
      <b/>
      <sz val="26"/>
      <color rgb="FFFF0000"/>
      <name val="Arial"/>
      <family val="2"/>
    </font>
    <font>
      <sz val="18"/>
      <color theme="1"/>
      <name val="Calibri"/>
      <family val="2"/>
      <scheme val="minor"/>
    </font>
    <font>
      <sz val="12"/>
      <color theme="1"/>
      <name val="Arial"/>
      <family val="2"/>
    </font>
    <font>
      <sz val="20"/>
      <color theme="0"/>
      <name val="Arial"/>
      <family val="2"/>
    </font>
    <font>
      <sz val="14"/>
      <color theme="4" tint="-0.499984740745262"/>
      <name val="Arial"/>
      <family val="2"/>
    </font>
    <font>
      <b/>
      <sz val="12"/>
      <color theme="1"/>
      <name val="Arial"/>
      <family val="2"/>
    </font>
    <font>
      <sz val="11"/>
      <color rgb="FF242424"/>
      <name val="Segoe UI"/>
      <family val="2"/>
    </font>
    <font>
      <sz val="20"/>
      <color rgb="FFFF0000"/>
      <name val="Arial"/>
      <family val="2"/>
    </font>
    <font>
      <sz val="15.8"/>
      <color theme="1"/>
      <name val="Calibri"/>
      <family val="2"/>
      <scheme val="minor"/>
    </font>
    <font>
      <b/>
      <sz val="15.8"/>
      <color rgb="FF555555"/>
      <name val="Vale Sans"/>
      <family val="2"/>
    </font>
    <font>
      <b/>
      <sz val="16"/>
      <color theme="0"/>
      <name val="Arial"/>
      <family val="2"/>
    </font>
    <font>
      <b/>
      <sz val="20"/>
      <color theme="0"/>
      <name val="Arial"/>
      <family val="2"/>
    </font>
    <font>
      <b/>
      <sz val="13"/>
      <color theme="1"/>
      <name val="Calibri"/>
      <family val="2"/>
      <scheme val="minor"/>
    </font>
    <font>
      <b/>
      <sz val="60"/>
      <color theme="0"/>
      <name val="Arial"/>
      <family val="2"/>
    </font>
    <font>
      <sz val="14"/>
      <color rgb="FFFF0000"/>
      <name val="Calibri"/>
      <family val="2"/>
      <scheme val="minor"/>
    </font>
  </fonts>
  <fills count="51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41"/>
      </patternFill>
    </fill>
    <fill>
      <patternFill patternType="solid">
        <fgColor indexed="22"/>
        <bgColor indexed="22"/>
      </patternFill>
    </fill>
    <fill>
      <patternFill patternType="gray0625">
        <bgColor indexed="22"/>
      </patternFill>
    </fill>
    <fill>
      <patternFill patternType="solid">
        <fgColor indexed="38"/>
        <bgColor indexed="64"/>
      </patternFill>
    </fill>
    <fill>
      <patternFill patternType="solid">
        <fgColor indexed="12"/>
        <bgColor indexed="9"/>
      </patternFill>
    </fill>
    <fill>
      <patternFill patternType="solid">
        <fgColor indexed="18"/>
        <bgColor indexed="18"/>
      </patternFill>
    </fill>
    <fill>
      <patternFill patternType="solid">
        <fgColor indexed="10"/>
      </patternFill>
    </fill>
    <fill>
      <patternFill patternType="solid">
        <fgColor indexed="55"/>
      </patternFill>
    </fill>
    <fill>
      <patternFill patternType="lightTrellis">
        <fgColor indexed="22"/>
        <bgColor indexed="22"/>
      </patternFill>
    </fill>
    <fill>
      <patternFill patternType="solid">
        <fgColor indexed="34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62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BFDFD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FF00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1"/>
      </left>
      <right style="thin">
        <color indexed="21"/>
      </right>
      <top style="thin">
        <color indexed="21"/>
      </top>
      <bottom style="thin">
        <color indexed="21"/>
      </bottom>
      <diagonal/>
    </border>
    <border>
      <left style="double">
        <color indexed="21"/>
      </left>
      <right/>
      <top style="double">
        <color indexed="21"/>
      </top>
      <bottom style="double">
        <color indexed="22"/>
      </bottom>
      <diagonal/>
    </border>
    <border>
      <left style="double">
        <color indexed="22"/>
      </left>
      <right style="medium">
        <color indexed="22"/>
      </right>
      <top style="double">
        <color indexed="22"/>
      </top>
      <bottom style="double">
        <color indexed="21"/>
      </bottom>
      <diagonal/>
    </border>
    <border>
      <left style="double">
        <color indexed="21"/>
      </left>
      <right style="double">
        <color indexed="21"/>
      </right>
      <top style="double">
        <color indexed="21"/>
      </top>
      <bottom style="double">
        <color indexed="21"/>
      </bottom>
      <diagonal/>
    </border>
    <border>
      <left style="thin">
        <color indexed="12"/>
      </left>
      <right style="thin">
        <color indexed="12"/>
      </right>
      <top style="thin">
        <color indexed="12"/>
      </top>
      <bottom style="thin">
        <color indexed="1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theme="1"/>
      </left>
      <right/>
      <top style="medium">
        <color theme="1"/>
      </top>
      <bottom/>
      <diagonal/>
    </border>
    <border>
      <left/>
      <right/>
      <top style="medium">
        <color theme="1"/>
      </top>
      <bottom/>
      <diagonal/>
    </border>
    <border>
      <left/>
      <right style="medium">
        <color theme="1"/>
      </right>
      <top style="medium">
        <color theme="1"/>
      </top>
      <bottom/>
      <diagonal/>
    </border>
    <border>
      <left style="medium">
        <color theme="1"/>
      </left>
      <right/>
      <top/>
      <bottom/>
      <diagonal/>
    </border>
    <border>
      <left/>
      <right style="medium">
        <color theme="1"/>
      </right>
      <top/>
      <bottom/>
      <diagonal/>
    </border>
    <border>
      <left style="medium">
        <color theme="1"/>
      </left>
      <right/>
      <top/>
      <bottom style="medium">
        <color theme="1"/>
      </bottom>
      <diagonal/>
    </border>
    <border>
      <left/>
      <right/>
      <top/>
      <bottom style="medium">
        <color theme="1"/>
      </bottom>
      <diagonal/>
    </border>
    <border>
      <left/>
      <right style="medium">
        <color theme="1"/>
      </right>
      <top/>
      <bottom style="medium">
        <color theme="1"/>
      </bottom>
      <diagonal/>
    </border>
    <border>
      <left style="medium">
        <color theme="0" tint="-0.24994659260841701"/>
      </left>
      <right/>
      <top style="medium">
        <color theme="0" tint="-0.24994659260841701"/>
      </top>
      <bottom/>
      <diagonal/>
    </border>
    <border>
      <left/>
      <right/>
      <top style="medium">
        <color theme="0" tint="-0.24994659260841701"/>
      </top>
      <bottom/>
      <diagonal/>
    </border>
    <border>
      <left/>
      <right style="medium">
        <color theme="0" tint="-0.24994659260841701"/>
      </right>
      <top style="medium">
        <color theme="0" tint="-0.24994659260841701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0" tint="-0.249977111117893"/>
      </left>
      <right style="medium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medium">
        <color theme="8" tint="0.59999389629810485"/>
      </left>
      <right/>
      <top/>
      <bottom/>
      <diagonal/>
    </border>
    <border>
      <left/>
      <right style="medium">
        <color theme="8" tint="0.59999389629810485"/>
      </right>
      <top/>
      <bottom/>
      <diagonal/>
    </border>
    <border>
      <left style="medium">
        <color theme="8" tint="0.59999389629810485"/>
      </left>
      <right/>
      <top/>
      <bottom style="medium">
        <color theme="8" tint="0.59999389629810485"/>
      </bottom>
      <diagonal/>
    </border>
    <border>
      <left/>
      <right/>
      <top/>
      <bottom style="medium">
        <color theme="8" tint="0.59999389629810485"/>
      </bottom>
      <diagonal/>
    </border>
    <border>
      <left/>
      <right style="medium">
        <color theme="8" tint="0.59999389629810485"/>
      </right>
      <top/>
      <bottom style="medium">
        <color theme="8" tint="0.59999389629810485"/>
      </bottom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1"/>
      </left>
      <right style="thin">
        <color theme="1"/>
      </right>
      <top style="thin">
        <color theme="0" tint="-0.34998626667073579"/>
      </top>
      <bottom style="thin">
        <color indexed="64"/>
      </bottom>
      <diagonal/>
    </border>
    <border>
      <left style="thin">
        <color indexed="64"/>
      </left>
      <right style="thin">
        <color theme="1"/>
      </right>
      <top style="thin">
        <color theme="0" tint="-0.34998626667073579"/>
      </top>
      <bottom style="thin">
        <color indexed="64"/>
      </bottom>
      <diagonal/>
    </border>
  </borders>
  <cellStyleXfs count="1546">
    <xf numFmtId="0" fontId="0" fillId="0" borderId="0"/>
    <xf numFmtId="0" fontId="3" fillId="0" borderId="0" applyFill="0" applyProtection="0"/>
    <xf numFmtId="0" fontId="6" fillId="0" borderId="0" applyFill="0" applyProtection="0"/>
    <xf numFmtId="172" fontId="10" fillId="0" borderId="0"/>
    <xf numFmtId="9" fontId="8" fillId="0" borderId="0" applyFont="0" applyFill="0" applyBorder="0" applyAlignment="0" applyProtection="0"/>
    <xf numFmtId="0" fontId="8" fillId="0" borderId="0"/>
    <xf numFmtId="0" fontId="6" fillId="0" borderId="0"/>
    <xf numFmtId="0" fontId="6" fillId="0" borderId="0" applyFill="0" applyProtection="0"/>
    <xf numFmtId="0" fontId="6" fillId="0" borderId="0" applyFill="0" applyProtection="0"/>
    <xf numFmtId="164" fontId="6" fillId="0" borderId="0" applyFont="0" applyFill="0" applyBorder="0" applyAlignment="0" applyProtection="0"/>
    <xf numFmtId="172" fontId="12" fillId="0" borderId="0" applyNumberFormat="0" applyFill="0" applyBorder="0" applyAlignment="0" applyProtection="0">
      <alignment vertical="top"/>
      <protection locked="0"/>
    </xf>
    <xf numFmtId="172" fontId="8" fillId="0" borderId="0"/>
    <xf numFmtId="172" fontId="8" fillId="0" borderId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6" fillId="0" borderId="0" applyFont="0" applyFill="0" applyBorder="0" applyAlignment="0" applyProtection="0"/>
    <xf numFmtId="172" fontId="6" fillId="0" borderId="0"/>
    <xf numFmtId="172" fontId="8" fillId="0" borderId="0"/>
    <xf numFmtId="172" fontId="6" fillId="0" borderId="0"/>
    <xf numFmtId="9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72" fontId="2" fillId="0" borderId="0"/>
    <xf numFmtId="172" fontId="28" fillId="0" borderId="0" applyNumberFormat="0" applyFill="0" applyBorder="0" applyAlignment="0" applyProtection="0">
      <alignment vertical="top"/>
      <protection locked="0"/>
    </xf>
    <xf numFmtId="164" fontId="8" fillId="0" borderId="0" applyFont="0" applyFill="0" applyBorder="0" applyAlignment="0" applyProtection="0"/>
    <xf numFmtId="172" fontId="6" fillId="5" borderId="0" applyNumberFormat="0" applyBorder="0" applyAlignment="0" applyProtection="0"/>
    <xf numFmtId="172" fontId="6" fillId="6" borderId="0" applyNumberFormat="0" applyBorder="0" applyAlignment="0" applyProtection="0"/>
    <xf numFmtId="172" fontId="6" fillId="7" borderId="0" applyNumberFormat="0" applyBorder="0" applyAlignment="0" applyProtection="0"/>
    <xf numFmtId="172" fontId="6" fillId="8" borderId="0" applyNumberFormat="0" applyBorder="0" applyAlignment="0" applyProtection="0"/>
    <xf numFmtId="172" fontId="6" fillId="9" borderId="0" applyNumberFormat="0" applyBorder="0" applyAlignment="0" applyProtection="0"/>
    <xf numFmtId="172" fontId="6" fillId="10" borderId="0" applyNumberFormat="0" applyBorder="0" applyAlignment="0" applyProtection="0"/>
    <xf numFmtId="172" fontId="6" fillId="11" borderId="0" applyNumberFormat="0" applyBorder="0" applyAlignment="0" applyProtection="0"/>
    <xf numFmtId="172" fontId="6" fillId="12" borderId="0" applyNumberFormat="0" applyBorder="0" applyAlignment="0" applyProtection="0"/>
    <xf numFmtId="172" fontId="6" fillId="13" borderId="0" applyNumberFormat="0" applyBorder="0" applyAlignment="0" applyProtection="0"/>
    <xf numFmtId="172" fontId="6" fillId="8" borderId="0" applyNumberFormat="0" applyBorder="0" applyAlignment="0" applyProtection="0"/>
    <xf numFmtId="172" fontId="6" fillId="11" borderId="0" applyNumberFormat="0" applyBorder="0" applyAlignment="0" applyProtection="0"/>
    <xf numFmtId="172" fontId="6" fillId="14" borderId="0" applyNumberFormat="0" applyBorder="0" applyAlignment="0" applyProtection="0"/>
    <xf numFmtId="172" fontId="14" fillId="15" borderId="0" applyNumberFormat="0" applyBorder="0" applyAlignment="0" applyProtection="0"/>
    <xf numFmtId="172" fontId="14" fillId="12" borderId="0" applyNumberFormat="0" applyBorder="0" applyAlignment="0" applyProtection="0"/>
    <xf numFmtId="172" fontId="14" fillId="13" borderId="0" applyNumberFormat="0" applyBorder="0" applyAlignment="0" applyProtection="0"/>
    <xf numFmtId="172" fontId="14" fillId="16" borderId="0" applyNumberFormat="0" applyBorder="0" applyAlignment="0" applyProtection="0"/>
    <xf numFmtId="172" fontId="14" fillId="17" borderId="0" applyNumberFormat="0" applyBorder="0" applyAlignment="0" applyProtection="0"/>
    <xf numFmtId="172" fontId="14" fillId="18" borderId="0" applyNumberFormat="0" applyBorder="0" applyAlignment="0" applyProtection="0"/>
    <xf numFmtId="38" fontId="29" fillId="0" borderId="0" applyFont="0" applyFill="0" applyBorder="0" applyAlignment="0" applyProtection="0"/>
    <xf numFmtId="172" fontId="15" fillId="7" borderId="0" applyNumberFormat="0" applyBorder="0" applyAlignment="0" applyProtection="0"/>
    <xf numFmtId="172" fontId="8" fillId="0" borderId="0"/>
    <xf numFmtId="172" fontId="16" fillId="19" borderId="4" applyNumberFormat="0" applyAlignment="0" applyProtection="0"/>
    <xf numFmtId="172" fontId="8" fillId="7" borderId="5"/>
    <xf numFmtId="172" fontId="8" fillId="6" borderId="5"/>
    <xf numFmtId="172" fontId="8" fillId="20" borderId="5"/>
    <xf numFmtId="172" fontId="30" fillId="3" borderId="5">
      <alignment horizontal="left" vertical="center" wrapText="1"/>
    </xf>
    <xf numFmtId="172" fontId="31" fillId="21" borderId="3">
      <alignment horizontal="center" textRotation="90"/>
    </xf>
    <xf numFmtId="172" fontId="8" fillId="4" borderId="6">
      <alignment horizontal="center" vertical="center"/>
    </xf>
    <xf numFmtId="166" fontId="8" fillId="4" borderId="6">
      <alignment horizontal="right" vertical="center"/>
    </xf>
    <xf numFmtId="10" fontId="8" fillId="4" borderId="6">
      <alignment horizontal="right" vertical="center"/>
    </xf>
    <xf numFmtId="172" fontId="32" fillId="22" borderId="7" applyBorder="0">
      <alignment horizontal="centerContinuous" vertical="center"/>
    </xf>
    <xf numFmtId="172" fontId="13" fillId="23" borderId="8">
      <alignment horizontal="center" vertical="center" wrapText="1"/>
    </xf>
    <xf numFmtId="172" fontId="33" fillId="2" borderId="9">
      <alignment horizontal="centerContinuous" vertical="center" wrapText="1"/>
    </xf>
    <xf numFmtId="172" fontId="34" fillId="24" borderId="10">
      <alignment horizontal="center" vertical="center" wrapText="1"/>
    </xf>
    <xf numFmtId="172" fontId="35" fillId="25" borderId="10">
      <alignment horizontal="centerContinuous" vertical="center"/>
    </xf>
    <xf numFmtId="166" fontId="9" fillId="3" borderId="3"/>
    <xf numFmtId="166" fontId="9" fillId="19" borderId="5"/>
    <xf numFmtId="172" fontId="9" fillId="3" borderId="3">
      <alignment horizontal="left"/>
    </xf>
    <xf numFmtId="10" fontId="9" fillId="3" borderId="3"/>
    <xf numFmtId="169" fontId="9" fillId="19" borderId="5"/>
    <xf numFmtId="10" fontId="9" fillId="19" borderId="5"/>
    <xf numFmtId="170" fontId="9" fillId="19" borderId="5"/>
    <xf numFmtId="10" fontId="8" fillId="4" borderId="6" applyBorder="0">
      <alignment horizontal="right" vertical="center"/>
    </xf>
    <xf numFmtId="172" fontId="8" fillId="26" borderId="5">
      <alignment vertical="top" wrapText="1"/>
    </xf>
    <xf numFmtId="10" fontId="8" fillId="27" borderId="5" applyFont="0" applyAlignment="0" applyProtection="0"/>
    <xf numFmtId="166" fontId="8" fillId="27" borderId="5" applyFont="0" applyAlignment="0" applyProtection="0"/>
    <xf numFmtId="10" fontId="36" fillId="0" borderId="5" applyAlignment="0" applyProtection="0"/>
    <xf numFmtId="166" fontId="36" fillId="0" borderId="5" applyAlignment="0" applyProtection="0"/>
    <xf numFmtId="10" fontId="11" fillId="0" borderId="5" applyAlignment="0" applyProtection="0"/>
    <xf numFmtId="166" fontId="11" fillId="0" borderId="5" applyAlignment="0" applyProtection="0"/>
    <xf numFmtId="10" fontId="37" fillId="0" borderId="5" applyAlignment="0" applyProtection="0"/>
    <xf numFmtId="166" fontId="37" fillId="0" borderId="5" applyAlignment="0" applyProtection="0"/>
    <xf numFmtId="172" fontId="38" fillId="28" borderId="3">
      <alignment horizontal="left"/>
    </xf>
    <xf numFmtId="1" fontId="8" fillId="0" borderId="1" applyNumberFormat="0" applyFont="0" applyBorder="0" applyAlignment="0" applyProtection="0">
      <alignment horizontal="center"/>
      <protection locked="0"/>
    </xf>
    <xf numFmtId="1" fontId="8" fillId="29" borderId="1" applyNumberFormat="0" applyFont="0" applyBorder="0" applyAlignment="0" applyProtection="0">
      <alignment horizontal="center"/>
      <protection locked="0"/>
    </xf>
    <xf numFmtId="1" fontId="8" fillId="3" borderId="1" applyNumberFormat="0" applyFont="0" applyAlignment="0" applyProtection="0">
      <alignment horizontal="center"/>
      <protection locked="0"/>
    </xf>
    <xf numFmtId="1" fontId="8" fillId="30" borderId="1" applyNumberFormat="0" applyFont="0" applyBorder="0" applyAlignment="0" applyProtection="0">
      <alignment horizontal="center"/>
      <protection locked="0"/>
    </xf>
    <xf numFmtId="172" fontId="4" fillId="27" borderId="11" applyNumberFormat="0" applyAlignment="0" applyProtection="0"/>
    <xf numFmtId="172" fontId="17" fillId="0" borderId="12" applyNumberFormat="0" applyFill="0" applyAlignment="0" applyProtection="0"/>
    <xf numFmtId="172" fontId="39" fillId="0" borderId="0" applyNumberFormat="0" applyFill="0" applyBorder="0" applyAlignment="0" applyProtection="0">
      <alignment vertical="top"/>
      <protection locked="0"/>
    </xf>
    <xf numFmtId="3" fontId="40" fillId="0" borderId="0" applyFont="0" applyFill="0" applyBorder="0" applyAlignment="0" applyProtection="0"/>
    <xf numFmtId="172" fontId="40" fillId="0" borderId="0" applyFont="0" applyFill="0" applyBorder="0" applyAlignment="0" applyProtection="0"/>
    <xf numFmtId="172" fontId="40" fillId="0" borderId="0" applyFont="0" applyFill="0" applyBorder="0" applyAlignment="0" applyProtection="0"/>
    <xf numFmtId="172" fontId="14" fillId="31" borderId="0" applyNumberFormat="0" applyBorder="0" applyAlignment="0" applyProtection="0"/>
    <xf numFmtId="172" fontId="14" fillId="26" borderId="0" applyNumberFormat="0" applyBorder="0" applyAlignment="0" applyProtection="0"/>
    <xf numFmtId="172" fontId="14" fillId="32" borderId="0" applyNumberFormat="0" applyBorder="0" applyAlignment="0" applyProtection="0"/>
    <xf numFmtId="172" fontId="14" fillId="16" borderId="0" applyNumberFormat="0" applyBorder="0" applyAlignment="0" applyProtection="0"/>
    <xf numFmtId="172" fontId="14" fillId="17" borderId="0" applyNumberFormat="0" applyBorder="0" applyAlignment="0" applyProtection="0"/>
    <xf numFmtId="172" fontId="14" fillId="33" borderId="0" applyNumberFormat="0" applyBorder="0" applyAlignment="0" applyProtection="0"/>
    <xf numFmtId="172" fontId="18" fillId="10" borderId="4" applyNumberFormat="0" applyAlignment="0" applyProtection="0"/>
    <xf numFmtId="172" fontId="7" fillId="0" borderId="0"/>
    <xf numFmtId="171" fontId="8" fillId="0" borderId="0" applyFont="0" applyFill="0" applyBorder="0" applyAlignment="0" applyProtection="0"/>
    <xf numFmtId="2" fontId="40" fillId="0" borderId="0" applyFont="0" applyFill="0" applyBorder="0" applyAlignment="0" applyProtection="0"/>
    <xf numFmtId="172" fontId="41" fillId="0" borderId="0" applyNumberFormat="0" applyFill="0" applyBorder="0" applyAlignment="0" applyProtection="0"/>
    <xf numFmtId="172" fontId="42" fillId="0" borderId="0" applyNumberFormat="0" applyFill="0" applyBorder="0" applyAlignment="0" applyProtection="0"/>
    <xf numFmtId="172" fontId="19" fillId="6" borderId="0" applyNumberFormat="0" applyBorder="0" applyAlignment="0" applyProtection="0"/>
    <xf numFmtId="167" fontId="29" fillId="0" borderId="0" applyFont="0" applyFill="0" applyBorder="0" applyAlignment="0" applyProtection="0"/>
    <xf numFmtId="172" fontId="20" fillId="34" borderId="0" applyNumberFormat="0" applyBorder="0" applyAlignment="0" applyProtection="0"/>
    <xf numFmtId="172" fontId="8" fillId="0" borderId="0"/>
    <xf numFmtId="172" fontId="8" fillId="0" borderId="0"/>
    <xf numFmtId="168" fontId="43" fillId="0" borderId="1">
      <alignment horizontal="center"/>
    </xf>
    <xf numFmtId="172" fontId="6" fillId="35" borderId="2" applyNumberFormat="0" applyFont="0" applyAlignment="0" applyProtection="0"/>
    <xf numFmtId="172" fontId="29" fillId="0" borderId="0">
      <alignment textRotation="255"/>
    </xf>
    <xf numFmtId="171" fontId="29" fillId="0" borderId="0" applyFont="0" applyFill="0" applyBorder="0" applyAlignment="0" applyProtection="0"/>
    <xf numFmtId="40" fontId="29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4" fontId="29" fillId="0" borderId="0" applyFont="0" applyFill="0" applyBorder="0" applyAlignment="0" applyProtection="0"/>
    <xf numFmtId="172" fontId="21" fillId="19" borderId="13" applyNumberFormat="0" applyAlignment="0" applyProtection="0"/>
    <xf numFmtId="38" fontId="29" fillId="0" borderId="0" applyFont="0" applyFill="0" applyBorder="0" applyAlignment="0" applyProtection="0"/>
    <xf numFmtId="172" fontId="29" fillId="0" borderId="0"/>
    <xf numFmtId="172" fontId="22" fillId="0" borderId="0" applyNumberFormat="0" applyFill="0" applyBorder="0" applyAlignment="0" applyProtection="0"/>
    <xf numFmtId="172" fontId="23" fillId="0" borderId="0" applyNumberFormat="0" applyFill="0" applyBorder="0" applyAlignment="0" applyProtection="0"/>
    <xf numFmtId="172" fontId="25" fillId="0" borderId="14" applyNumberFormat="0" applyFill="0" applyAlignment="0" applyProtection="0"/>
    <xf numFmtId="172" fontId="26" fillId="0" borderId="15" applyNumberFormat="0" applyFill="0" applyAlignment="0" applyProtection="0"/>
    <xf numFmtId="172" fontId="27" fillId="0" borderId="16" applyNumberFormat="0" applyFill="0" applyAlignment="0" applyProtection="0"/>
    <xf numFmtId="172" fontId="27" fillId="0" borderId="0" applyNumberFormat="0" applyFill="0" applyBorder="0" applyAlignment="0" applyProtection="0"/>
    <xf numFmtId="172" fontId="24" fillId="0" borderId="0" applyNumberFormat="0" applyFill="0" applyBorder="0" applyAlignment="0" applyProtection="0"/>
    <xf numFmtId="172" fontId="5" fillId="0" borderId="17" applyNumberFormat="0" applyFill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9" fontId="2" fillId="0" borderId="0" applyFont="0" applyFill="0" applyBorder="0" applyAlignment="0" applyProtection="0"/>
    <xf numFmtId="172" fontId="8" fillId="0" borderId="0"/>
    <xf numFmtId="172" fontId="8" fillId="0" borderId="0"/>
    <xf numFmtId="172" fontId="2" fillId="0" borderId="0"/>
    <xf numFmtId="9" fontId="2" fillId="0" borderId="0" applyFont="0" applyFill="0" applyBorder="0" applyAlignment="0" applyProtection="0"/>
    <xf numFmtId="172" fontId="2" fillId="0" borderId="0"/>
    <xf numFmtId="9" fontId="2" fillId="0" borderId="0" applyFont="0" applyFill="0" applyBorder="0" applyAlignment="0" applyProtection="0"/>
    <xf numFmtId="172" fontId="2" fillId="0" borderId="0"/>
    <xf numFmtId="9" fontId="2" fillId="0" borderId="0" applyFont="0" applyFill="0" applyBorder="0" applyAlignment="0" applyProtection="0"/>
    <xf numFmtId="172" fontId="8" fillId="0" borderId="0"/>
    <xf numFmtId="172" fontId="6" fillId="0" borderId="0"/>
    <xf numFmtId="164" fontId="6" fillId="0" borderId="0" applyFont="0" applyFill="0" applyBorder="0" applyAlignment="0" applyProtection="0"/>
    <xf numFmtId="164" fontId="8" fillId="0" borderId="0" applyFont="0" applyFill="0" applyBorder="0" applyAlignment="0" applyProtection="0"/>
    <xf numFmtId="172" fontId="8" fillId="0" borderId="0"/>
    <xf numFmtId="172" fontId="2" fillId="0" borderId="0"/>
    <xf numFmtId="9" fontId="2" fillId="0" borderId="0" applyFont="0" applyFill="0" applyBorder="0" applyAlignment="0" applyProtection="0"/>
    <xf numFmtId="172" fontId="8" fillId="0" borderId="0"/>
    <xf numFmtId="172" fontId="6" fillId="0" borderId="0"/>
    <xf numFmtId="172" fontId="28" fillId="0" borderId="0" applyNumberFormat="0" applyFill="0" applyBorder="0" applyAlignment="0" applyProtection="0">
      <alignment vertical="top"/>
      <protection locked="0"/>
    </xf>
    <xf numFmtId="172" fontId="8" fillId="7" borderId="5"/>
    <xf numFmtId="172" fontId="8" fillId="6" borderId="5"/>
    <xf numFmtId="172" fontId="8" fillId="20" borderId="5"/>
    <xf numFmtId="172" fontId="30" fillId="3" borderId="5">
      <alignment horizontal="left" vertical="center" wrapText="1"/>
    </xf>
    <xf numFmtId="172" fontId="31" fillId="21" borderId="3">
      <alignment horizontal="center" textRotation="90"/>
    </xf>
    <xf numFmtId="172" fontId="8" fillId="4" borderId="6">
      <alignment horizontal="center" vertical="center"/>
    </xf>
    <xf numFmtId="172" fontId="32" fillId="22" borderId="7" applyBorder="0">
      <alignment horizontal="centerContinuous" vertical="center"/>
    </xf>
    <xf numFmtId="172" fontId="13" fillId="23" borderId="8">
      <alignment horizontal="center" vertical="center" wrapText="1"/>
    </xf>
    <xf numFmtId="172" fontId="33" fillId="2" borderId="9">
      <alignment horizontal="centerContinuous" vertical="center" wrapText="1"/>
    </xf>
    <xf numFmtId="172" fontId="34" fillId="24" borderId="10">
      <alignment horizontal="center" vertical="center" wrapText="1"/>
    </xf>
    <xf numFmtId="172" fontId="9" fillId="3" borderId="3">
      <alignment horizontal="left"/>
    </xf>
    <xf numFmtId="172" fontId="8" fillId="26" borderId="5">
      <alignment vertical="top" wrapText="1"/>
    </xf>
    <xf numFmtId="172" fontId="38" fillId="28" borderId="3">
      <alignment horizontal="left"/>
    </xf>
    <xf numFmtId="172" fontId="39" fillId="0" borderId="0" applyNumberFormat="0" applyFill="0" applyBorder="0" applyAlignment="0" applyProtection="0">
      <alignment vertical="top"/>
      <protection locked="0"/>
    </xf>
    <xf numFmtId="172" fontId="40" fillId="0" borderId="0" applyFont="0" applyFill="0" applyBorder="0" applyAlignment="0" applyProtection="0"/>
    <xf numFmtId="172" fontId="40" fillId="0" borderId="0" applyFont="0" applyFill="0" applyBorder="0" applyAlignment="0" applyProtection="0"/>
    <xf numFmtId="172" fontId="7" fillId="0" borderId="0"/>
    <xf numFmtId="172" fontId="41" fillId="0" borderId="0" applyNumberFormat="0" applyFill="0" applyBorder="0" applyAlignment="0" applyProtection="0"/>
    <xf numFmtId="172" fontId="42" fillId="0" borderId="0" applyNumberFormat="0" applyFill="0" applyBorder="0" applyAlignment="0" applyProtection="0"/>
    <xf numFmtId="172" fontId="8" fillId="0" borderId="0"/>
    <xf numFmtId="172" fontId="29" fillId="0" borderId="0">
      <alignment textRotation="255"/>
    </xf>
    <xf numFmtId="164" fontId="6" fillId="0" borderId="0" applyFont="0" applyFill="0" applyBorder="0" applyAlignment="0" applyProtection="0"/>
    <xf numFmtId="0" fontId="2" fillId="0" borderId="0"/>
    <xf numFmtId="9" fontId="2" fillId="0" borderId="0" applyFont="0" applyFill="0" applyBorder="0" applyAlignment="0" applyProtection="0"/>
    <xf numFmtId="0" fontId="8" fillId="0" borderId="0"/>
    <xf numFmtId="0" fontId="6" fillId="0" borderId="0"/>
    <xf numFmtId="0" fontId="28" fillId="0" borderId="0" applyNumberFormat="0" applyFill="0" applyBorder="0" applyAlignment="0" applyProtection="0">
      <alignment vertical="top"/>
      <protection locked="0"/>
    </xf>
    <xf numFmtId="0" fontId="8" fillId="7" borderId="5"/>
    <xf numFmtId="0" fontId="8" fillId="6" borderId="5"/>
    <xf numFmtId="0" fontId="8" fillId="20" borderId="5"/>
    <xf numFmtId="0" fontId="30" fillId="3" borderId="5">
      <alignment horizontal="left" vertical="center" wrapText="1"/>
    </xf>
    <xf numFmtId="0" fontId="31" fillId="21" borderId="3">
      <alignment horizontal="center" textRotation="90"/>
    </xf>
    <xf numFmtId="0" fontId="8" fillId="4" borderId="6">
      <alignment horizontal="center" vertical="center"/>
    </xf>
    <xf numFmtId="0" fontId="32" fillId="22" borderId="7" applyBorder="0">
      <alignment horizontal="centerContinuous" vertical="center"/>
    </xf>
    <xf numFmtId="0" fontId="13" fillId="23" borderId="8">
      <alignment horizontal="center" vertical="center" wrapText="1"/>
    </xf>
    <xf numFmtId="0" fontId="33" fillId="2" borderId="9">
      <alignment horizontal="centerContinuous" vertical="center" wrapText="1"/>
    </xf>
    <xf numFmtId="0" fontId="34" fillId="24" borderId="10">
      <alignment horizontal="center" vertical="center" wrapText="1"/>
    </xf>
    <xf numFmtId="0" fontId="9" fillId="3" borderId="3">
      <alignment horizontal="left"/>
    </xf>
    <xf numFmtId="0" fontId="8" fillId="26" borderId="5">
      <alignment vertical="top" wrapText="1"/>
    </xf>
    <xf numFmtId="0" fontId="38" fillId="28" borderId="3">
      <alignment horizontal="left"/>
    </xf>
    <xf numFmtId="0" fontId="39" fillId="0" borderId="0" applyNumberFormat="0" applyFill="0" applyBorder="0" applyAlignment="0" applyProtection="0">
      <alignment vertical="top"/>
      <protection locked="0"/>
    </xf>
    <xf numFmtId="0" fontId="40" fillId="0" borderId="0" applyFont="0" applyFill="0" applyBorder="0" applyAlignment="0" applyProtection="0"/>
    <xf numFmtId="0" fontId="40" fillId="0" borderId="0" applyFont="0" applyFill="0" applyBorder="0" applyAlignment="0" applyProtection="0"/>
    <xf numFmtId="0" fontId="7" fillId="0" borderId="0"/>
    <xf numFmtId="0" fontId="41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8" fillId="0" borderId="0"/>
    <xf numFmtId="0" fontId="29" fillId="0" borderId="0">
      <alignment textRotation="255"/>
    </xf>
    <xf numFmtId="0" fontId="6" fillId="0" borderId="0" applyFill="0" applyProtection="0"/>
    <xf numFmtId="0" fontId="6" fillId="0" borderId="0" applyFill="0" applyProtection="0"/>
    <xf numFmtId="0" fontId="6" fillId="0" borderId="0" applyFill="0" applyProtection="0"/>
    <xf numFmtId="0" fontId="6" fillId="0" borderId="0" applyFill="0" applyProtection="0"/>
    <xf numFmtId="0" fontId="6" fillId="0" borderId="0" applyFill="0" applyProtection="0"/>
    <xf numFmtId="0" fontId="6" fillId="0" borderId="0" applyFill="0" applyProtection="0"/>
    <xf numFmtId="9" fontId="6" fillId="0" borderId="0" applyFont="0" applyFill="0" applyBorder="0" applyAlignment="0" applyProtection="0"/>
    <xf numFmtId="0" fontId="8" fillId="0" borderId="0"/>
    <xf numFmtId="0" fontId="2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9" fontId="2" fillId="0" borderId="0" applyFont="0" applyFill="0" applyBorder="0" applyAlignment="0" applyProtection="0"/>
    <xf numFmtId="0" fontId="8" fillId="0" borderId="0"/>
    <xf numFmtId="9" fontId="10" fillId="0" borderId="0" applyFont="0" applyFill="0" applyBorder="0" applyAlignment="0" applyProtection="0"/>
    <xf numFmtId="0" fontId="44" fillId="0" borderId="0" applyFill="0" applyProtection="0"/>
    <xf numFmtId="0" fontId="3" fillId="0" borderId="0" applyFill="0" applyProtection="0"/>
    <xf numFmtId="0" fontId="3" fillId="0" borderId="0"/>
    <xf numFmtId="164" fontId="2" fillId="0" borderId="0" applyFont="0" applyFill="0" applyBorder="0" applyAlignment="0" applyProtection="0"/>
    <xf numFmtId="0" fontId="45" fillId="0" borderId="0" applyFill="0" applyProtection="0"/>
    <xf numFmtId="9" fontId="3" fillId="0" borderId="0" applyFont="0" applyFill="0" applyBorder="0" applyAlignment="0" applyProtection="0"/>
    <xf numFmtId="0" fontId="46" fillId="0" borderId="0" applyFill="0" applyProtection="0"/>
    <xf numFmtId="0" fontId="8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8" fillId="0" borderId="0"/>
    <xf numFmtId="164" fontId="3" fillId="0" borderId="0" applyFont="0" applyFill="0" applyBorder="0" applyAlignment="0" applyProtection="0"/>
    <xf numFmtId="0" fontId="8" fillId="0" borderId="0"/>
    <xf numFmtId="164" fontId="3" fillId="0" borderId="0" applyFont="0" applyFill="0" applyBorder="0" applyAlignment="0" applyProtection="0"/>
    <xf numFmtId="164" fontId="8" fillId="0" borderId="0" applyFont="0" applyFill="0" applyBorder="0" applyAlignment="0" applyProtection="0"/>
    <xf numFmtId="0" fontId="8" fillId="0" borderId="0"/>
    <xf numFmtId="164" fontId="3" fillId="0" borderId="0" applyFont="0" applyFill="0" applyBorder="0" applyAlignment="0" applyProtection="0"/>
    <xf numFmtId="164" fontId="8" fillId="0" borderId="0" applyFont="0" applyFill="0" applyBorder="0" applyAlignment="0" applyProtection="0"/>
    <xf numFmtId="0" fontId="2" fillId="0" borderId="0"/>
    <xf numFmtId="9" fontId="2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47" fillId="0" borderId="0" applyFill="0" applyProtection="0"/>
    <xf numFmtId="164" fontId="2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47" fillId="0" borderId="0" applyFill="0" applyProtection="0"/>
    <xf numFmtId="164" fontId="2" fillId="0" borderId="0" applyFont="0" applyFill="0" applyBorder="0" applyAlignment="0" applyProtection="0"/>
    <xf numFmtId="0" fontId="47" fillId="0" borderId="0" applyFill="0" applyProtection="0"/>
    <xf numFmtId="164" fontId="2" fillId="0" borderId="0" applyFont="0" applyFill="0" applyBorder="0" applyAlignment="0" applyProtection="0"/>
    <xf numFmtId="0" fontId="48" fillId="0" borderId="0" applyFill="0" applyProtection="0"/>
    <xf numFmtId="0" fontId="49" fillId="0" borderId="0" applyFill="0" applyProtection="0"/>
    <xf numFmtId="0" fontId="49" fillId="0" borderId="0" applyFill="0" applyProtection="0"/>
    <xf numFmtId="0" fontId="3" fillId="0" borderId="0"/>
    <xf numFmtId="164" fontId="2" fillId="0" borderId="0" applyFont="0" applyFill="0" applyBorder="0" applyAlignment="0" applyProtection="0"/>
    <xf numFmtId="0" fontId="3" fillId="0" borderId="0" applyFill="0" applyProtection="0"/>
    <xf numFmtId="0" fontId="3" fillId="0" borderId="0"/>
    <xf numFmtId="0" fontId="3" fillId="0" borderId="0"/>
    <xf numFmtId="0" fontId="3" fillId="0" borderId="0" applyFill="0" applyProtection="0"/>
    <xf numFmtId="0" fontId="3" fillId="0" borderId="0" applyFill="0" applyProtection="0"/>
    <xf numFmtId="0" fontId="3" fillId="0" borderId="0" applyFill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9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9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0" fontId="51" fillId="0" borderId="0" applyFill="0" applyProtection="0"/>
    <xf numFmtId="164" fontId="2" fillId="0" borderId="0" applyFont="0" applyFill="0" applyBorder="0" applyAlignment="0" applyProtection="0"/>
    <xf numFmtId="0" fontId="51" fillId="0" borderId="0" applyFill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0" fontId="52" fillId="0" borderId="0" applyFill="0" applyProtection="0"/>
    <xf numFmtId="0" fontId="52" fillId="0" borderId="0" applyFill="0" applyProtection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0" fontId="3" fillId="0" borderId="0" applyFill="0" applyProtection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0" fontId="53" fillId="0" borderId="0" applyFill="0" applyProtection="0"/>
    <xf numFmtId="0" fontId="53" fillId="0" borderId="0" applyFill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54" fillId="0" borderId="0" applyFill="0" applyProtection="0"/>
    <xf numFmtId="0" fontId="54" fillId="0" borderId="0" applyFill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3" fillId="0" borderId="0" applyFill="0" applyProtection="0"/>
    <xf numFmtId="9" fontId="2" fillId="0" borderId="0" applyFont="0" applyFill="0" applyBorder="0" applyAlignment="0" applyProtection="0"/>
    <xf numFmtId="0" fontId="55" fillId="0" borderId="0" applyFill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8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56" fillId="0" borderId="0" applyFill="0" applyProtection="0"/>
    <xf numFmtId="0" fontId="56" fillId="0" borderId="0" applyFill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57" fillId="0" borderId="0" applyFill="0" applyProtection="0"/>
    <xf numFmtId="164" fontId="2" fillId="0" borderId="0" applyFont="0" applyFill="0" applyBorder="0" applyAlignment="0" applyProtection="0"/>
    <xf numFmtId="0" fontId="58" fillId="0" borderId="0" applyFill="0" applyProtection="0"/>
    <xf numFmtId="0" fontId="58" fillId="0" borderId="0" applyFill="0" applyProtection="0"/>
    <xf numFmtId="164" fontId="2" fillId="0" borderId="0" applyFont="0" applyFill="0" applyBorder="0" applyAlignment="0" applyProtection="0"/>
    <xf numFmtId="0" fontId="59" fillId="0" borderId="0" applyFill="0" applyProtection="0"/>
    <xf numFmtId="0" fontId="59" fillId="0" borderId="0" applyFill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3" fillId="0" borderId="0"/>
    <xf numFmtId="0" fontId="8" fillId="0" borderId="0"/>
    <xf numFmtId="0" fontId="8" fillId="0" borderId="0"/>
    <xf numFmtId="0" fontId="2" fillId="0" borderId="0"/>
    <xf numFmtId="9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60" fillId="0" borderId="0" applyFill="0" applyProtection="0"/>
    <xf numFmtId="0" fontId="60" fillId="0" borderId="0" applyFill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62" fillId="0" borderId="0" applyNumberFormat="0" applyFill="0" applyBorder="0" applyAlignment="0" applyProtection="0"/>
    <xf numFmtId="0" fontId="61" fillId="0" borderId="0"/>
    <xf numFmtId="0" fontId="8" fillId="0" borderId="0"/>
    <xf numFmtId="0" fontId="2" fillId="0" borderId="0"/>
    <xf numFmtId="0" fontId="61" fillId="0" borderId="0"/>
    <xf numFmtId="0" fontId="3" fillId="0" borderId="0" applyFill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61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8" fillId="0" borderId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72" fontId="8" fillId="0" borderId="0"/>
    <xf numFmtId="164" fontId="3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3" fillId="0" borderId="0" applyFont="0" applyFill="0" applyBorder="0" applyAlignment="0" applyProtection="0"/>
    <xf numFmtId="172" fontId="3" fillId="0" borderId="0"/>
    <xf numFmtId="172" fontId="3" fillId="0" borderId="0"/>
    <xf numFmtId="172" fontId="3" fillId="5" borderId="0" applyNumberFormat="0" applyBorder="0" applyAlignment="0" applyProtection="0"/>
    <xf numFmtId="172" fontId="3" fillId="6" borderId="0" applyNumberFormat="0" applyBorder="0" applyAlignment="0" applyProtection="0"/>
    <xf numFmtId="172" fontId="3" fillId="7" borderId="0" applyNumberFormat="0" applyBorder="0" applyAlignment="0" applyProtection="0"/>
    <xf numFmtId="172" fontId="3" fillId="8" borderId="0" applyNumberFormat="0" applyBorder="0" applyAlignment="0" applyProtection="0"/>
    <xf numFmtId="172" fontId="3" fillId="9" borderId="0" applyNumberFormat="0" applyBorder="0" applyAlignment="0" applyProtection="0"/>
    <xf numFmtId="172" fontId="3" fillId="10" borderId="0" applyNumberFormat="0" applyBorder="0" applyAlignment="0" applyProtection="0"/>
    <xf numFmtId="172" fontId="3" fillId="11" borderId="0" applyNumberFormat="0" applyBorder="0" applyAlignment="0" applyProtection="0"/>
    <xf numFmtId="172" fontId="3" fillId="12" borderId="0" applyNumberFormat="0" applyBorder="0" applyAlignment="0" applyProtection="0"/>
    <xf numFmtId="172" fontId="3" fillId="13" borderId="0" applyNumberFormat="0" applyBorder="0" applyAlignment="0" applyProtection="0"/>
    <xf numFmtId="172" fontId="3" fillId="8" borderId="0" applyNumberFormat="0" applyBorder="0" applyAlignment="0" applyProtection="0"/>
    <xf numFmtId="172" fontId="3" fillId="11" borderId="0" applyNumberFormat="0" applyBorder="0" applyAlignment="0" applyProtection="0"/>
    <xf numFmtId="172" fontId="3" fillId="14" borderId="0" applyNumberFormat="0" applyBorder="0" applyAlignment="0" applyProtection="0"/>
    <xf numFmtId="172" fontId="31" fillId="21" borderId="20">
      <alignment horizontal="center" textRotation="90"/>
    </xf>
    <xf numFmtId="166" fontId="9" fillId="3" borderId="20"/>
    <xf numFmtId="172" fontId="9" fillId="3" borderId="20">
      <alignment horizontal="left"/>
    </xf>
    <xf numFmtId="10" fontId="9" fillId="3" borderId="20"/>
    <xf numFmtId="172" fontId="38" fillId="28" borderId="20">
      <alignment horizontal="left"/>
    </xf>
    <xf numFmtId="1" fontId="8" fillId="0" borderId="19" applyNumberFormat="0" applyFont="0" applyBorder="0" applyAlignment="0" applyProtection="0">
      <alignment horizontal="center"/>
      <protection locked="0"/>
    </xf>
    <xf numFmtId="1" fontId="8" fillId="29" borderId="19" applyNumberFormat="0" applyFont="0" applyBorder="0" applyAlignment="0" applyProtection="0">
      <alignment horizontal="center"/>
      <protection locked="0"/>
    </xf>
    <xf numFmtId="1" fontId="8" fillId="3" borderId="19" applyNumberFormat="0" applyFont="0" applyAlignment="0" applyProtection="0">
      <alignment horizontal="center"/>
      <protection locked="0"/>
    </xf>
    <xf numFmtId="1" fontId="8" fillId="30" borderId="19" applyNumberFormat="0" applyFont="0" applyBorder="0" applyAlignment="0" applyProtection="0">
      <alignment horizontal="center"/>
      <protection locked="0"/>
    </xf>
    <xf numFmtId="168" fontId="43" fillId="0" borderId="19">
      <alignment horizontal="center"/>
    </xf>
    <xf numFmtId="172" fontId="3" fillId="35" borderId="18" applyNumberFormat="0" applyFont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8" fillId="0" borderId="0" applyFont="0" applyFill="0" applyBorder="0" applyAlignment="0" applyProtection="0"/>
    <xf numFmtId="172" fontId="3" fillId="0" borderId="0"/>
    <xf numFmtId="172" fontId="31" fillId="21" borderId="20">
      <alignment horizontal="center" textRotation="90"/>
    </xf>
    <xf numFmtId="172" fontId="9" fillId="3" borderId="20">
      <alignment horizontal="left"/>
    </xf>
    <xf numFmtId="172" fontId="38" fillId="28" borderId="20">
      <alignment horizontal="left"/>
    </xf>
    <xf numFmtId="164" fontId="3" fillId="0" borderId="0" applyFont="0" applyFill="0" applyBorder="0" applyAlignment="0" applyProtection="0"/>
    <xf numFmtId="0" fontId="3" fillId="0" borderId="0"/>
    <xf numFmtId="0" fontId="31" fillId="21" borderId="20">
      <alignment horizontal="center" textRotation="90"/>
    </xf>
    <xf numFmtId="0" fontId="9" fillId="3" borderId="20">
      <alignment horizontal="left"/>
    </xf>
    <xf numFmtId="0" fontId="38" fillId="28" borderId="20">
      <alignment horizontal="left"/>
    </xf>
    <xf numFmtId="0" fontId="3" fillId="0" borderId="0" applyFill="0" applyProtection="0"/>
    <xf numFmtId="0" fontId="3" fillId="0" borderId="0" applyFill="0" applyProtection="0"/>
    <xf numFmtId="0" fontId="3" fillId="0" borderId="0" applyFill="0" applyProtection="0"/>
    <xf numFmtId="0" fontId="3" fillId="0" borderId="0" applyFill="0" applyProtection="0"/>
    <xf numFmtId="9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3" fillId="0" borderId="0" applyFill="0" applyProtection="0"/>
    <xf numFmtId="165" fontId="2" fillId="0" borderId="0" applyFont="0" applyFill="0" applyBorder="0" applyAlignment="0" applyProtection="0"/>
    <xf numFmtId="0" fontId="3" fillId="0" borderId="0" applyFill="0" applyProtection="0"/>
    <xf numFmtId="0" fontId="3" fillId="0" borderId="0" applyFill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3" fillId="0" borderId="0" applyFill="0" applyProtection="0"/>
    <xf numFmtId="164" fontId="2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3" fillId="0" borderId="0" applyFill="0" applyProtection="0"/>
    <xf numFmtId="164" fontId="2" fillId="0" borderId="0" applyFont="0" applyFill="0" applyBorder="0" applyAlignment="0" applyProtection="0"/>
    <xf numFmtId="0" fontId="3" fillId="0" borderId="0" applyFill="0" applyProtection="0"/>
    <xf numFmtId="164" fontId="2" fillId="0" borderId="0" applyFont="0" applyFill="0" applyBorder="0" applyAlignment="0" applyProtection="0"/>
    <xf numFmtId="0" fontId="3" fillId="0" borderId="0" applyFill="0" applyProtection="0"/>
    <xf numFmtId="0" fontId="3" fillId="0" borderId="0" applyFill="0" applyProtection="0"/>
    <xf numFmtId="0" fontId="3" fillId="0" borderId="0" applyFill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0" fontId="3" fillId="0" borderId="0" applyFill="0" applyProtection="0"/>
    <xf numFmtId="164" fontId="2" fillId="0" borderId="0" applyFont="0" applyFill="0" applyBorder="0" applyAlignment="0" applyProtection="0"/>
    <xf numFmtId="0" fontId="3" fillId="0" borderId="0" applyFill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0" fontId="3" fillId="0" borderId="0" applyFill="0" applyProtection="0"/>
    <xf numFmtId="0" fontId="3" fillId="0" borderId="0" applyFill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0" fontId="3" fillId="0" borderId="0" applyFill="0" applyProtection="0"/>
    <xf numFmtId="0" fontId="3" fillId="0" borderId="0" applyFill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3" fillId="0" borderId="0" applyFill="0" applyProtection="0"/>
    <xf numFmtId="0" fontId="3" fillId="0" borderId="0" applyFill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3" fillId="0" borderId="0" applyFill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3" fillId="0" borderId="0" applyFill="0" applyProtection="0"/>
    <xf numFmtId="0" fontId="3" fillId="0" borderId="0" applyFill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3" fillId="0" borderId="0" applyFill="0" applyProtection="0"/>
    <xf numFmtId="164" fontId="2" fillId="0" borderId="0" applyFont="0" applyFill="0" applyBorder="0" applyAlignment="0" applyProtection="0"/>
    <xf numFmtId="0" fontId="3" fillId="0" borderId="0" applyFill="0" applyProtection="0"/>
    <xf numFmtId="0" fontId="3" fillId="0" borderId="0" applyFill="0" applyProtection="0"/>
    <xf numFmtId="164" fontId="2" fillId="0" borderId="0" applyFont="0" applyFill="0" applyBorder="0" applyAlignment="0" applyProtection="0"/>
    <xf numFmtId="0" fontId="3" fillId="0" borderId="0" applyFill="0" applyProtection="0"/>
    <xf numFmtId="0" fontId="3" fillId="0" borderId="0" applyFill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3" fillId="0" borderId="0" applyFill="0" applyProtection="0"/>
    <xf numFmtId="0" fontId="3" fillId="0" borderId="0" applyFill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6" fontId="9" fillId="3" borderId="2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61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0" fontId="3" fillId="0" borderId="0" applyFill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61" fillId="0" borderId="0" applyFont="0" applyFill="0" applyBorder="0" applyAlignment="0" applyProtection="0"/>
    <xf numFmtId="164" fontId="61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6" fontId="9" fillId="3" borderId="20"/>
    <xf numFmtId="166" fontId="9" fillId="3" borderId="2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6" fontId="9" fillId="3" borderId="2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61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61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61" fillId="0" borderId="0" applyFont="0" applyFill="0" applyBorder="0" applyAlignment="0" applyProtection="0"/>
    <xf numFmtId="164" fontId="61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0" fontId="2" fillId="0" borderId="0"/>
    <xf numFmtId="164" fontId="8" fillId="0" borderId="0" applyFont="0" applyFill="0" applyBorder="0" applyAlignment="0" applyProtection="0"/>
    <xf numFmtId="166" fontId="9" fillId="3" borderId="2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6" fontId="9" fillId="3" borderId="2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6" fontId="9" fillId="3" borderId="2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61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61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61" fillId="0" borderId="0" applyFont="0" applyFill="0" applyBorder="0" applyAlignment="0" applyProtection="0"/>
    <xf numFmtId="164" fontId="61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61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61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61" fillId="0" borderId="0" applyFont="0" applyFill="0" applyBorder="0" applyAlignment="0" applyProtection="0"/>
    <xf numFmtId="164" fontId="61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6" fontId="9" fillId="3" borderId="20"/>
    <xf numFmtId="166" fontId="9" fillId="3" borderId="2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9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8" fillId="0" borderId="0"/>
    <xf numFmtId="9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</cellStyleXfs>
  <cellXfs count="145">
    <xf numFmtId="0" fontId="0" fillId="0" borderId="0" xfId="0"/>
    <xf numFmtId="3" fontId="0" fillId="0" borderId="19" xfId="0" applyNumberFormat="1" applyBorder="1" applyAlignment="1">
      <alignment horizontal="center" vertical="center"/>
    </xf>
    <xf numFmtId="174" fontId="64" fillId="38" borderId="19" xfId="0" applyNumberFormat="1" applyFont="1" applyFill="1" applyBorder="1" applyAlignment="1">
      <alignment horizontal="center" vertical="center"/>
    </xf>
    <xf numFmtId="0" fontId="64" fillId="37" borderId="19" xfId="0" applyFont="1" applyFill="1" applyBorder="1" applyAlignment="1">
      <alignment horizontal="left" vertical="center"/>
    </xf>
    <xf numFmtId="0" fontId="64" fillId="37" borderId="19" xfId="0" applyFont="1" applyFill="1" applyBorder="1" applyAlignment="1">
      <alignment horizontal="center" vertical="center"/>
    </xf>
    <xf numFmtId="0" fontId="50" fillId="0" borderId="0" xfId="0" applyFont="1"/>
    <xf numFmtId="0" fontId="50" fillId="0" borderId="0" xfId="0" applyFont="1" applyAlignment="1">
      <alignment horizontal="left"/>
    </xf>
    <xf numFmtId="0" fontId="1" fillId="36" borderId="0" xfId="0" applyFont="1" applyFill="1" applyAlignment="1">
      <alignment horizontal="center" vertical="center"/>
    </xf>
    <xf numFmtId="0" fontId="64" fillId="37" borderId="0" xfId="0" applyFont="1" applyFill="1" applyAlignment="1">
      <alignment horizontal="center" vertical="center"/>
    </xf>
    <xf numFmtId="3" fontId="0" fillId="0" borderId="0" xfId="0" applyNumberFormat="1" applyAlignment="1">
      <alignment horizontal="center" vertical="center"/>
    </xf>
    <xf numFmtId="0" fontId="0" fillId="0" borderId="19" xfId="0" applyBorder="1"/>
    <xf numFmtId="3" fontId="0" fillId="0" borderId="19" xfId="0" applyNumberFormat="1" applyBorder="1"/>
    <xf numFmtId="3" fontId="0" fillId="0" borderId="0" xfId="0" applyNumberFormat="1"/>
    <xf numFmtId="0" fontId="68" fillId="0" borderId="0" xfId="0" applyFont="1" applyAlignment="1">
      <alignment horizontal="left"/>
    </xf>
    <xf numFmtId="173" fontId="68" fillId="0" borderId="0" xfId="210" applyNumberFormat="1" applyFont="1" applyAlignment="1">
      <alignment horizontal="left"/>
    </xf>
    <xf numFmtId="0" fontId="66" fillId="0" borderId="0" xfId="0" applyFont="1" applyAlignment="1">
      <alignment horizontal="left"/>
    </xf>
    <xf numFmtId="0" fontId="1" fillId="36" borderId="0" xfId="0" applyFont="1" applyFill="1" applyAlignment="1">
      <alignment vertical="center"/>
    </xf>
    <xf numFmtId="0" fontId="69" fillId="39" borderId="0" xfId="0" applyFont="1" applyFill="1"/>
    <xf numFmtId="0" fontId="69" fillId="39" borderId="24" xfId="0" applyFont="1" applyFill="1" applyBorder="1"/>
    <xf numFmtId="0" fontId="69" fillId="39" borderId="25" xfId="0" applyFont="1" applyFill="1" applyBorder="1"/>
    <xf numFmtId="0" fontId="71" fillId="39" borderId="25" xfId="0" applyFont="1" applyFill="1" applyBorder="1" applyAlignment="1">
      <alignment vertical="center"/>
    </xf>
    <xf numFmtId="0" fontId="72" fillId="39" borderId="25" xfId="0" applyFont="1" applyFill="1" applyBorder="1"/>
    <xf numFmtId="0" fontId="69" fillId="39" borderId="26" xfId="0" applyFont="1" applyFill="1" applyBorder="1"/>
    <xf numFmtId="0" fontId="69" fillId="39" borderId="27" xfId="0" applyFont="1" applyFill="1" applyBorder="1"/>
    <xf numFmtId="0" fontId="69" fillId="39" borderId="28" xfId="0" applyFont="1" applyFill="1" applyBorder="1"/>
    <xf numFmtId="0" fontId="74" fillId="39" borderId="27" xfId="0" applyFont="1" applyFill="1" applyBorder="1" applyAlignment="1">
      <alignment vertical="center"/>
    </xf>
    <xf numFmtId="0" fontId="74" fillId="39" borderId="0" xfId="0" applyFont="1" applyFill="1" applyAlignment="1">
      <alignment vertical="center"/>
    </xf>
    <xf numFmtId="0" fontId="76" fillId="39" borderId="27" xfId="0" applyFont="1" applyFill="1" applyBorder="1"/>
    <xf numFmtId="0" fontId="76" fillId="39" borderId="0" xfId="0" applyFont="1" applyFill="1"/>
    <xf numFmtId="0" fontId="69" fillId="39" borderId="27" xfId="0" applyFont="1" applyFill="1" applyBorder="1" applyAlignment="1">
      <alignment vertical="center"/>
    </xf>
    <xf numFmtId="0" fontId="69" fillId="39" borderId="0" xfId="0" applyFont="1" applyFill="1" applyAlignment="1">
      <alignment vertical="center"/>
    </xf>
    <xf numFmtId="0" fontId="77" fillId="39" borderId="0" xfId="0" applyFont="1" applyFill="1" applyAlignment="1">
      <alignment vertical="center"/>
    </xf>
    <xf numFmtId="0" fontId="69" fillId="39" borderId="28" xfId="0" applyFont="1" applyFill="1" applyBorder="1" applyAlignment="1">
      <alignment vertical="center"/>
    </xf>
    <xf numFmtId="0" fontId="69" fillId="39" borderId="0" xfId="0" applyFont="1" applyFill="1" applyAlignment="1">
      <alignment horizontal="left" vertical="top"/>
    </xf>
    <xf numFmtId="0" fontId="69" fillId="39" borderId="29" xfId="0" applyFont="1" applyFill="1" applyBorder="1"/>
    <xf numFmtId="0" fontId="69" fillId="39" borderId="30" xfId="0" applyFont="1" applyFill="1" applyBorder="1"/>
    <xf numFmtId="0" fontId="69" fillId="39" borderId="31" xfId="0" applyFont="1" applyFill="1" applyBorder="1"/>
    <xf numFmtId="0" fontId="71" fillId="39" borderId="0" xfId="0" applyFont="1" applyFill="1" applyAlignment="1">
      <alignment vertical="center"/>
    </xf>
    <xf numFmtId="0" fontId="67" fillId="39" borderId="0" xfId="0" applyFont="1" applyFill="1" applyAlignment="1">
      <alignment vertical="center"/>
    </xf>
    <xf numFmtId="0" fontId="70" fillId="39" borderId="0" xfId="0" applyFont="1" applyFill="1"/>
    <xf numFmtId="0" fontId="69" fillId="37" borderId="24" xfId="0" applyFont="1" applyFill="1" applyBorder="1"/>
    <xf numFmtId="0" fontId="69" fillId="37" borderId="25" xfId="0" applyFont="1" applyFill="1" applyBorder="1"/>
    <xf numFmtId="0" fontId="73" fillId="37" borderId="25" xfId="0" applyFont="1" applyFill="1" applyBorder="1" applyAlignment="1">
      <alignment horizontal="centerContinuous" vertical="center"/>
    </xf>
    <xf numFmtId="0" fontId="70" fillId="39" borderId="27" xfId="0" applyFont="1" applyFill="1" applyBorder="1"/>
    <xf numFmtId="0" fontId="79" fillId="43" borderId="35" xfId="0" quotePrefix="1" applyFont="1" applyFill="1" applyBorder="1" applyAlignment="1" applyProtection="1">
      <alignment horizontal="left" vertical="center" wrapText="1"/>
      <protection locked="0"/>
    </xf>
    <xf numFmtId="0" fontId="70" fillId="39" borderId="28" xfId="0" applyFont="1" applyFill="1" applyBorder="1"/>
    <xf numFmtId="0" fontId="80" fillId="39" borderId="0" xfId="0" applyFont="1" applyFill="1"/>
    <xf numFmtId="0" fontId="80" fillId="39" borderId="27" xfId="0" applyFont="1" applyFill="1" applyBorder="1"/>
    <xf numFmtId="174" fontId="81" fillId="43" borderId="35" xfId="0" applyNumberFormat="1" applyFont="1" applyFill="1" applyBorder="1" applyAlignment="1">
      <alignment horizontal="right" vertical="center"/>
    </xf>
    <xf numFmtId="0" fontId="80" fillId="39" borderId="28" xfId="0" applyFont="1" applyFill="1" applyBorder="1"/>
    <xf numFmtId="0" fontId="0" fillId="46" borderId="0" xfId="0" applyFill="1"/>
    <xf numFmtId="3" fontId="63" fillId="46" borderId="0" xfId="0" applyNumberFormat="1" applyFont="1" applyFill="1" applyAlignment="1">
      <alignment horizontal="center" vertical="center"/>
    </xf>
    <xf numFmtId="0" fontId="84" fillId="0" borderId="0" xfId="0" applyFont="1" applyAlignment="1">
      <alignment horizontal="left"/>
    </xf>
    <xf numFmtId="0" fontId="66" fillId="42" borderId="0" xfId="0" applyFont="1" applyFill="1" applyAlignment="1">
      <alignment horizontal="left"/>
    </xf>
    <xf numFmtId="173" fontId="66" fillId="0" borderId="0" xfId="0" applyNumberFormat="1" applyFont="1" applyAlignment="1">
      <alignment horizontal="left"/>
    </xf>
    <xf numFmtId="0" fontId="87" fillId="0" borderId="0" xfId="0" applyFont="1" applyAlignment="1">
      <alignment horizontal="left"/>
    </xf>
    <xf numFmtId="14" fontId="50" fillId="0" borderId="0" xfId="0" applyNumberFormat="1" applyFont="1" applyAlignment="1">
      <alignment horizontal="left" vertical="center"/>
    </xf>
    <xf numFmtId="14" fontId="89" fillId="0" borderId="0" xfId="0" applyNumberFormat="1" applyFont="1" applyAlignment="1">
      <alignment horizontal="left" vertical="center"/>
    </xf>
    <xf numFmtId="0" fontId="83" fillId="42" borderId="0" xfId="0" applyFont="1" applyFill="1" applyAlignment="1">
      <alignment horizontal="left" vertical="center"/>
    </xf>
    <xf numFmtId="0" fontId="77" fillId="42" borderId="0" xfId="0" applyFont="1" applyFill="1" applyAlignment="1">
      <alignment horizontal="left" vertical="center"/>
    </xf>
    <xf numFmtId="0" fontId="77" fillId="0" borderId="0" xfId="0" applyFont="1" applyAlignment="1">
      <alignment horizontal="left" vertical="center"/>
    </xf>
    <xf numFmtId="0" fontId="0" fillId="0" borderId="0" xfId="0" applyAlignment="1">
      <alignment horizontal="left"/>
    </xf>
    <xf numFmtId="14" fontId="70" fillId="0" borderId="0" xfId="0" applyNumberFormat="1" applyFont="1" applyAlignment="1">
      <alignment horizontal="left" vertical="center"/>
    </xf>
    <xf numFmtId="0" fontId="90" fillId="47" borderId="35" xfId="0" quotePrefix="1" applyFont="1" applyFill="1" applyBorder="1" applyAlignment="1" applyProtection="1">
      <alignment horizontal="left" wrapText="1"/>
      <protection locked="0"/>
    </xf>
    <xf numFmtId="0" fontId="83" fillId="42" borderId="0" xfId="0" applyFont="1" applyFill="1" applyAlignment="1">
      <alignment horizontal="left"/>
    </xf>
    <xf numFmtId="0" fontId="70" fillId="42" borderId="0" xfId="0" applyFont="1" applyFill="1" applyAlignment="1">
      <alignment horizontal="left"/>
    </xf>
    <xf numFmtId="0" fontId="70" fillId="0" borderId="0" xfId="0" applyFont="1" applyAlignment="1">
      <alignment horizontal="left"/>
    </xf>
    <xf numFmtId="0" fontId="70" fillId="40" borderId="21" xfId="0" applyFont="1" applyFill="1" applyBorder="1" applyAlignment="1">
      <alignment horizontal="left" vertical="top"/>
    </xf>
    <xf numFmtId="0" fontId="69" fillId="40" borderId="22" xfId="0" applyFont="1" applyFill="1" applyBorder="1" applyAlignment="1">
      <alignment horizontal="left" vertical="top"/>
    </xf>
    <xf numFmtId="0" fontId="88" fillId="40" borderId="22" xfId="0" applyFont="1" applyFill="1" applyBorder="1" applyAlignment="1">
      <alignment horizontal="left" vertical="top"/>
    </xf>
    <xf numFmtId="14" fontId="0" fillId="0" borderId="0" xfId="0" applyNumberFormat="1" applyAlignment="1">
      <alignment horizontal="left" vertical="center"/>
    </xf>
    <xf numFmtId="174" fontId="90" fillId="47" borderId="35" xfId="0" applyNumberFormat="1" applyFont="1" applyFill="1" applyBorder="1" applyAlignment="1">
      <alignment horizontal="left"/>
    </xf>
    <xf numFmtId="3" fontId="83" fillId="42" borderId="35" xfId="0" applyNumberFormat="1" applyFont="1" applyFill="1" applyBorder="1" applyAlignment="1">
      <alignment horizontal="left" vertical="center"/>
    </xf>
    <xf numFmtId="0" fontId="0" fillId="42" borderId="0" xfId="0" applyFill="1" applyAlignment="1">
      <alignment horizontal="left"/>
    </xf>
    <xf numFmtId="3" fontId="0" fillId="0" borderId="0" xfId="0" applyNumberFormat="1" applyAlignment="1">
      <alignment horizontal="left"/>
    </xf>
    <xf numFmtId="0" fontId="66" fillId="42" borderId="0" xfId="0" quotePrefix="1" applyFont="1" applyFill="1" applyAlignment="1">
      <alignment horizontal="left" wrapText="1"/>
    </xf>
    <xf numFmtId="173" fontId="0" fillId="0" borderId="0" xfId="0" applyNumberFormat="1" applyAlignment="1">
      <alignment horizontal="center"/>
    </xf>
    <xf numFmtId="0" fontId="0" fillId="0" borderId="0" xfId="0" quotePrefix="1" applyAlignment="1">
      <alignment horizontal="left" wrapText="1"/>
    </xf>
    <xf numFmtId="0" fontId="0" fillId="0" borderId="0" xfId="0" applyAlignment="1">
      <alignment horizontal="center"/>
    </xf>
    <xf numFmtId="0" fontId="1" fillId="0" borderId="38" xfId="0" quotePrefix="1" applyFont="1" applyBorder="1" applyAlignment="1">
      <alignment horizontal="left" vertical="center" wrapText="1"/>
    </xf>
    <xf numFmtId="0" fontId="0" fillId="0" borderId="0" xfId="0" applyAlignment="1">
      <alignment horizontal="left" wrapText="1"/>
    </xf>
    <xf numFmtId="0" fontId="1" fillId="0" borderId="38" xfId="0" quotePrefix="1" applyFont="1" applyBorder="1" applyAlignment="1">
      <alignment horizontal="left" vertical="top" wrapText="1"/>
    </xf>
    <xf numFmtId="0" fontId="92" fillId="0" borderId="0" xfId="0" applyFont="1"/>
    <xf numFmtId="0" fontId="88" fillId="0" borderId="0" xfId="0" quotePrefix="1" applyFont="1" applyAlignment="1">
      <alignment horizontal="left" wrapText="1"/>
    </xf>
    <xf numFmtId="0" fontId="0" fillId="0" borderId="0" xfId="0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49" fontId="0" fillId="0" borderId="0" xfId="0" applyNumberFormat="1"/>
    <xf numFmtId="0" fontId="93" fillId="0" borderId="0" xfId="0" applyFont="1" applyAlignment="1">
      <alignment horizontal="left" vertical="center"/>
    </xf>
    <xf numFmtId="0" fontId="94" fillId="0" borderId="0" xfId="0" applyFont="1" applyAlignment="1">
      <alignment horizontal="center" vertical="center" readingOrder="1"/>
    </xf>
    <xf numFmtId="0" fontId="95" fillId="0" borderId="0" xfId="0" quotePrefix="1" applyFont="1" applyAlignment="1">
      <alignment horizontal="center" vertical="center" readingOrder="1"/>
    </xf>
    <xf numFmtId="0" fontId="97" fillId="37" borderId="0" xfId="0" applyFont="1" applyFill="1" applyAlignment="1">
      <alignment horizontal="left" vertical="center" wrapText="1"/>
    </xf>
    <xf numFmtId="173" fontId="63" fillId="50" borderId="0" xfId="0" applyNumberFormat="1" applyFont="1" applyFill="1" applyAlignment="1">
      <alignment horizontal="left" vertical="center"/>
    </xf>
    <xf numFmtId="0" fontId="67" fillId="40" borderId="22" xfId="0" applyFont="1" applyFill="1" applyBorder="1" applyAlignment="1">
      <alignment horizontal="left" vertical="top"/>
    </xf>
    <xf numFmtId="0" fontId="1" fillId="0" borderId="38" xfId="0" quotePrefix="1" applyFont="1" applyBorder="1" applyAlignment="1">
      <alignment horizontal="left" wrapText="1"/>
    </xf>
    <xf numFmtId="0" fontId="70" fillId="40" borderId="21" xfId="0" quotePrefix="1" applyFont="1" applyFill="1" applyBorder="1" applyAlignment="1">
      <alignment horizontal="left" vertical="top"/>
    </xf>
    <xf numFmtId="164" fontId="0" fillId="0" borderId="0" xfId="0" applyNumberFormat="1"/>
    <xf numFmtId="3" fontId="83" fillId="42" borderId="44" xfId="0" applyNumberFormat="1" applyFont="1" applyFill="1" applyBorder="1" applyAlignment="1">
      <alignment horizontal="left" vertical="center"/>
    </xf>
    <xf numFmtId="174" fontId="90" fillId="47" borderId="44" xfId="0" applyNumberFormat="1" applyFont="1" applyFill="1" applyBorder="1" applyAlignment="1">
      <alignment horizontal="left"/>
    </xf>
    <xf numFmtId="3" fontId="83" fillId="42" borderId="45" xfId="0" applyNumberFormat="1" applyFont="1" applyFill="1" applyBorder="1" applyAlignment="1">
      <alignment horizontal="left" vertical="center"/>
    </xf>
    <xf numFmtId="174" fontId="90" fillId="47" borderId="46" xfId="0" applyNumberFormat="1" applyFont="1" applyFill="1" applyBorder="1" applyAlignment="1">
      <alignment horizontal="left"/>
    </xf>
    <xf numFmtId="0" fontId="98" fillId="0" borderId="38" xfId="0" quotePrefix="1" applyFont="1" applyBorder="1" applyAlignment="1">
      <alignment horizontal="left" vertical="top" wrapText="1"/>
    </xf>
    <xf numFmtId="0" fontId="83" fillId="39" borderId="0" xfId="0" applyFont="1" applyFill="1" applyAlignment="1">
      <alignment horizontal="left" vertical="top" wrapText="1"/>
    </xf>
    <xf numFmtId="0" fontId="78" fillId="37" borderId="25" xfId="0" applyFont="1" applyFill="1" applyBorder="1" applyAlignment="1">
      <alignment vertical="center"/>
    </xf>
    <xf numFmtId="49" fontId="0" fillId="0" borderId="0" xfId="0" quotePrefix="1" applyNumberFormat="1" applyAlignment="1">
      <alignment horizontal="left" vertical="center" wrapText="1" readingOrder="1"/>
    </xf>
    <xf numFmtId="14" fontId="0" fillId="0" borderId="0" xfId="0" applyNumberFormat="1"/>
    <xf numFmtId="0" fontId="100" fillId="0" borderId="0" xfId="0" applyFont="1" applyAlignment="1">
      <alignment horizontal="left"/>
    </xf>
    <xf numFmtId="0" fontId="0" fillId="0" borderId="0" xfId="0" applyAlignment="1">
      <alignment horizontal="left" vertical="center"/>
    </xf>
    <xf numFmtId="0" fontId="1" fillId="0" borderId="0" xfId="0" quotePrefix="1" applyFont="1" applyAlignment="1">
      <alignment horizontal="left" vertical="center" wrapText="1"/>
    </xf>
    <xf numFmtId="1" fontId="90" fillId="47" borderId="35" xfId="0" applyNumberFormat="1" applyFont="1" applyFill="1" applyBorder="1" applyAlignment="1">
      <alignment horizontal="left"/>
    </xf>
    <xf numFmtId="49" fontId="83" fillId="39" borderId="39" xfId="0" applyNumberFormat="1" applyFont="1" applyFill="1" applyBorder="1" applyAlignment="1">
      <alignment horizontal="left" vertical="top" wrapText="1"/>
    </xf>
    <xf numFmtId="0" fontId="83" fillId="39" borderId="0" xfId="0" applyFont="1" applyFill="1" applyAlignment="1">
      <alignment horizontal="left" vertical="top" wrapText="1"/>
    </xf>
    <xf numFmtId="0" fontId="83" fillId="39" borderId="40" xfId="0" applyFont="1" applyFill="1" applyBorder="1" applyAlignment="1">
      <alignment horizontal="left" vertical="top" wrapText="1"/>
    </xf>
    <xf numFmtId="0" fontId="83" fillId="39" borderId="39" xfId="0" applyFont="1" applyFill="1" applyBorder="1" applyAlignment="1">
      <alignment horizontal="left" vertical="top" wrapText="1"/>
    </xf>
    <xf numFmtId="0" fontId="83" fillId="39" borderId="41" xfId="0" applyFont="1" applyFill="1" applyBorder="1" applyAlignment="1">
      <alignment horizontal="left" vertical="top" wrapText="1"/>
    </xf>
    <xf numFmtId="0" fontId="83" fillId="39" borderId="42" xfId="0" applyFont="1" applyFill="1" applyBorder="1" applyAlignment="1">
      <alignment horizontal="left" vertical="top" wrapText="1"/>
    </xf>
    <xf numFmtId="0" fontId="83" fillId="39" borderId="43" xfId="0" applyFont="1" applyFill="1" applyBorder="1" applyAlignment="1">
      <alignment horizontal="left" vertical="top" wrapText="1"/>
    </xf>
    <xf numFmtId="0" fontId="79" fillId="43" borderId="36" xfId="0" quotePrefix="1" applyFont="1" applyFill="1" applyBorder="1" applyAlignment="1" applyProtection="1">
      <alignment horizontal="center" vertical="center" wrapText="1"/>
      <protection locked="0"/>
    </xf>
    <xf numFmtId="0" fontId="79" fillId="43" borderId="37" xfId="0" quotePrefix="1" applyFont="1" applyFill="1" applyBorder="1" applyAlignment="1" applyProtection="1">
      <alignment horizontal="center" vertical="center" wrapText="1"/>
      <protection locked="0"/>
    </xf>
    <xf numFmtId="0" fontId="79" fillId="43" borderId="35" xfId="0" quotePrefix="1" applyFont="1" applyFill="1" applyBorder="1" applyAlignment="1" applyProtection="1">
      <alignment horizontal="center" vertical="center" wrapText="1"/>
      <protection locked="0"/>
    </xf>
    <xf numFmtId="0" fontId="85" fillId="47" borderId="39" xfId="0" applyFont="1" applyFill="1" applyBorder="1" applyAlignment="1">
      <alignment horizontal="center" vertical="center"/>
    </xf>
    <xf numFmtId="0" fontId="85" fillId="47" borderId="0" xfId="0" applyFont="1" applyFill="1" applyAlignment="1">
      <alignment horizontal="center" vertical="center"/>
    </xf>
    <xf numFmtId="3" fontId="81" fillId="0" borderId="35" xfId="0" applyNumberFormat="1" applyFont="1" applyBorder="1" applyAlignment="1">
      <alignment horizontal="center" vertical="center"/>
    </xf>
    <xf numFmtId="0" fontId="0" fillId="0" borderId="35" xfId="0" quotePrefix="1" applyBorder="1" applyAlignment="1">
      <alignment horizontal="left" vertical="center" wrapText="1" readingOrder="1"/>
    </xf>
    <xf numFmtId="14" fontId="71" fillId="44" borderId="30" xfId="0" applyNumberFormat="1" applyFont="1" applyFill="1" applyBorder="1" applyAlignment="1" applyProtection="1">
      <alignment horizontal="center" vertical="center"/>
      <protection locked="0"/>
    </xf>
    <xf numFmtId="175" fontId="78" fillId="37" borderId="25" xfId="0" applyNumberFormat="1" applyFont="1" applyFill="1" applyBorder="1" applyAlignment="1">
      <alignment horizontal="left" vertical="center"/>
    </xf>
    <xf numFmtId="175" fontId="78" fillId="37" borderId="26" xfId="0" applyNumberFormat="1" applyFont="1" applyFill="1" applyBorder="1" applyAlignment="1">
      <alignment horizontal="left" vertical="center"/>
    </xf>
    <xf numFmtId="0" fontId="78" fillId="37" borderId="25" xfId="0" applyFont="1" applyFill="1" applyBorder="1" applyAlignment="1">
      <alignment horizontal="right" vertical="center"/>
    </xf>
    <xf numFmtId="14" fontId="78" fillId="37" borderId="25" xfId="0" applyNumberFormat="1" applyFont="1" applyFill="1" applyBorder="1" applyAlignment="1">
      <alignment horizontal="right" vertical="center"/>
    </xf>
    <xf numFmtId="0" fontId="86" fillId="49" borderId="0" xfId="0" applyFont="1" applyFill="1" applyAlignment="1">
      <alignment horizontal="center" vertical="center" wrapText="1"/>
    </xf>
    <xf numFmtId="0" fontId="99" fillId="37" borderId="0" xfId="0" applyFont="1" applyFill="1" applyAlignment="1">
      <alignment horizontal="center" vertical="center"/>
    </xf>
    <xf numFmtId="0" fontId="78" fillId="37" borderId="25" xfId="0" applyFont="1" applyFill="1" applyBorder="1" applyAlignment="1">
      <alignment horizontal="right"/>
    </xf>
    <xf numFmtId="175" fontId="78" fillId="37" borderId="25" xfId="0" applyNumberFormat="1" applyFont="1" applyFill="1" applyBorder="1" applyAlignment="1">
      <alignment horizontal="left"/>
    </xf>
    <xf numFmtId="175" fontId="78" fillId="37" borderId="26" xfId="0" applyNumberFormat="1" applyFont="1" applyFill="1" applyBorder="1" applyAlignment="1">
      <alignment horizontal="left"/>
    </xf>
    <xf numFmtId="22" fontId="75" fillId="39" borderId="0" xfId="0" applyNumberFormat="1" applyFont="1" applyFill="1" applyAlignment="1">
      <alignment horizontal="center" vertical="center"/>
    </xf>
    <xf numFmtId="0" fontId="75" fillId="39" borderId="0" xfId="0" applyFont="1" applyFill="1" applyAlignment="1">
      <alignment horizontal="right" vertical="center"/>
    </xf>
    <xf numFmtId="173" fontId="96" fillId="45" borderId="22" xfId="210" applyNumberFormat="1" applyFont="1" applyFill="1" applyBorder="1" applyAlignment="1">
      <alignment horizontal="center" vertical="center"/>
    </xf>
    <xf numFmtId="173" fontId="96" fillId="45" borderId="23" xfId="210" applyNumberFormat="1" applyFont="1" applyFill="1" applyBorder="1" applyAlignment="1">
      <alignment horizontal="center" vertical="center"/>
    </xf>
    <xf numFmtId="49" fontId="88" fillId="41" borderId="0" xfId="0" quotePrefix="1" applyNumberFormat="1" applyFont="1" applyFill="1" applyAlignment="1" applyProtection="1">
      <alignment horizontal="left" vertical="top" wrapText="1"/>
      <protection locked="0"/>
    </xf>
    <xf numFmtId="49" fontId="83" fillId="41" borderId="0" xfId="0" quotePrefix="1" applyNumberFormat="1" applyFont="1" applyFill="1" applyAlignment="1" applyProtection="1">
      <alignment horizontal="left" vertical="top" wrapText="1"/>
      <protection locked="0"/>
    </xf>
    <xf numFmtId="49" fontId="91" fillId="41" borderId="0" xfId="0" quotePrefix="1" applyNumberFormat="1" applyFont="1" applyFill="1" applyAlignment="1" applyProtection="1">
      <alignment horizontal="left" vertical="top" wrapText="1"/>
      <protection locked="0"/>
    </xf>
    <xf numFmtId="0" fontId="90" fillId="48" borderId="32" xfId="0" applyFont="1" applyFill="1" applyBorder="1" applyAlignment="1">
      <alignment horizontal="left" vertical="center"/>
    </xf>
    <xf numFmtId="0" fontId="90" fillId="48" borderId="33" xfId="0" applyFont="1" applyFill="1" applyBorder="1" applyAlignment="1">
      <alignment horizontal="left" vertical="center"/>
    </xf>
    <xf numFmtId="0" fontId="90" fillId="48" borderId="34" xfId="0" applyFont="1" applyFill="1" applyBorder="1" applyAlignment="1">
      <alignment horizontal="left" vertical="center"/>
    </xf>
    <xf numFmtId="0" fontId="1" fillId="36" borderId="0" xfId="0" applyFont="1" applyFill="1" applyAlignment="1">
      <alignment horizontal="center" vertical="center"/>
    </xf>
  </cellXfs>
  <cellStyles count="1546">
    <cellStyle name="¿­¾îº» ÇÏÀÌÆÛ¸µÅ©" xfId="22" xr:uid="{00000000-0005-0000-0000-000000000000}"/>
    <cellStyle name="¿­¾îº» ÇÏÀÌÆÛ¸µÅ© 2" xfId="143" xr:uid="{00000000-0005-0000-0000-000001000000}"/>
    <cellStyle name="¿­¾îº» ÇÏÀÌÆÛ¸µÅ© 3" xfId="170" xr:uid="{00000000-0005-0000-0000-000002000000}"/>
    <cellStyle name="½°Ç¥_PRECOEE" xfId="23" xr:uid="{00000000-0005-0000-0000-000003000000}"/>
    <cellStyle name="20% - Ênfase1 2" xfId="24" xr:uid="{00000000-0005-0000-0000-000004000000}"/>
    <cellStyle name="20% - Ênfase1 2 2" xfId="416" xr:uid="{00000000-0005-0000-0000-000005000000}"/>
    <cellStyle name="20% - Ênfase2 2" xfId="25" xr:uid="{00000000-0005-0000-0000-000006000000}"/>
    <cellStyle name="20% - Ênfase2 2 2" xfId="417" xr:uid="{00000000-0005-0000-0000-000007000000}"/>
    <cellStyle name="20% - Ênfase3 2" xfId="26" xr:uid="{00000000-0005-0000-0000-000008000000}"/>
    <cellStyle name="20% - Ênfase3 2 2" xfId="418" xr:uid="{00000000-0005-0000-0000-000009000000}"/>
    <cellStyle name="20% - Ênfase4 2" xfId="27" xr:uid="{00000000-0005-0000-0000-00000A000000}"/>
    <cellStyle name="20% - Ênfase4 2 2" xfId="419" xr:uid="{00000000-0005-0000-0000-00000B000000}"/>
    <cellStyle name="20% - Ênfase5 2" xfId="28" xr:uid="{00000000-0005-0000-0000-00000C000000}"/>
    <cellStyle name="20% - Ênfase5 2 2" xfId="420" xr:uid="{00000000-0005-0000-0000-00000D000000}"/>
    <cellStyle name="20% - Ênfase6 2" xfId="29" xr:uid="{00000000-0005-0000-0000-00000E000000}"/>
    <cellStyle name="20% - Ênfase6 2 2" xfId="421" xr:uid="{00000000-0005-0000-0000-00000F000000}"/>
    <cellStyle name="40% - Ênfase1 2" xfId="30" xr:uid="{00000000-0005-0000-0000-000010000000}"/>
    <cellStyle name="40% - Ênfase1 2 2" xfId="422" xr:uid="{00000000-0005-0000-0000-000011000000}"/>
    <cellStyle name="40% - Ênfase2 2" xfId="31" xr:uid="{00000000-0005-0000-0000-000012000000}"/>
    <cellStyle name="40% - Ênfase2 2 2" xfId="423" xr:uid="{00000000-0005-0000-0000-000013000000}"/>
    <cellStyle name="40% - Ênfase3 2" xfId="32" xr:uid="{00000000-0005-0000-0000-000014000000}"/>
    <cellStyle name="40% - Ênfase3 2 2" xfId="424" xr:uid="{00000000-0005-0000-0000-000015000000}"/>
    <cellStyle name="40% - Ênfase4 2" xfId="33" xr:uid="{00000000-0005-0000-0000-000016000000}"/>
    <cellStyle name="40% - Ênfase4 2 2" xfId="425" xr:uid="{00000000-0005-0000-0000-000017000000}"/>
    <cellStyle name="40% - Ênfase5 2" xfId="34" xr:uid="{00000000-0005-0000-0000-000018000000}"/>
    <cellStyle name="40% - Ênfase5 2 2" xfId="426" xr:uid="{00000000-0005-0000-0000-000019000000}"/>
    <cellStyle name="40% - Ênfase6 2" xfId="35" xr:uid="{00000000-0005-0000-0000-00001A000000}"/>
    <cellStyle name="40% - Ênfase6 2 2" xfId="427" xr:uid="{00000000-0005-0000-0000-00001B000000}"/>
    <cellStyle name="60% - Ênfase1 2" xfId="36" xr:uid="{00000000-0005-0000-0000-00001C000000}"/>
    <cellStyle name="60% - Ênfase2 2" xfId="37" xr:uid="{00000000-0005-0000-0000-00001D000000}"/>
    <cellStyle name="60% - Ênfase3 2" xfId="38" xr:uid="{00000000-0005-0000-0000-00001E000000}"/>
    <cellStyle name="60% - Ênfase4 2" xfId="39" xr:uid="{00000000-0005-0000-0000-00001F000000}"/>
    <cellStyle name="60% - Ênfase5 2" xfId="40" xr:uid="{00000000-0005-0000-0000-000020000000}"/>
    <cellStyle name="60% - Ênfase6 2" xfId="41" xr:uid="{00000000-0005-0000-0000-000021000000}"/>
    <cellStyle name="Alterar t&amp;odas" xfId="42" xr:uid="{00000000-0005-0000-0000-000022000000}"/>
    <cellStyle name="Bom 2" xfId="43" xr:uid="{00000000-0005-0000-0000-000023000000}"/>
    <cellStyle name="Ç¥ÁØ_PRECOEE" xfId="44" xr:uid="{00000000-0005-0000-0000-000024000000}"/>
    <cellStyle name="Cálculo 2" xfId="45" xr:uid="{00000000-0005-0000-0000-000025000000}"/>
    <cellStyle name="Camp Document Field" xfId="46" xr:uid="{00000000-0005-0000-0000-000026000000}"/>
    <cellStyle name="Camp Document Field 2" xfId="144" xr:uid="{00000000-0005-0000-0000-000027000000}"/>
    <cellStyle name="Camp Document Field 3" xfId="171" xr:uid="{00000000-0005-0000-0000-000028000000}"/>
    <cellStyle name="Camp Document Record" xfId="47" xr:uid="{00000000-0005-0000-0000-000029000000}"/>
    <cellStyle name="Camp Document Record 2" xfId="145" xr:uid="{00000000-0005-0000-0000-00002A000000}"/>
    <cellStyle name="Camp Document Record 3" xfId="172" xr:uid="{00000000-0005-0000-0000-00002B000000}"/>
    <cellStyle name="Camp Document Table" xfId="48" xr:uid="{00000000-0005-0000-0000-00002C000000}"/>
    <cellStyle name="Camp Document Table 2" xfId="146" xr:uid="{00000000-0005-0000-0000-00002D000000}"/>
    <cellStyle name="Camp Document Table 3" xfId="173" xr:uid="{00000000-0005-0000-0000-00002E000000}"/>
    <cellStyle name="CAMP H-Label 2" xfId="49" xr:uid="{00000000-0005-0000-0000-00002F000000}"/>
    <cellStyle name="CAMP H-Label 2 2" xfId="147" xr:uid="{00000000-0005-0000-0000-000030000000}"/>
    <cellStyle name="CAMP H-Label 2 3" xfId="174" xr:uid="{00000000-0005-0000-0000-000031000000}"/>
    <cellStyle name="CAMP H-Label 3 Inclined" xfId="50" xr:uid="{00000000-0005-0000-0000-000032000000}"/>
    <cellStyle name="CAMP H-Label 3 Inclined 2" xfId="148" xr:uid="{00000000-0005-0000-0000-000033000000}"/>
    <cellStyle name="CAMP H-Label 3 Inclined 2 2" xfId="443" xr:uid="{00000000-0005-0000-0000-000034000000}"/>
    <cellStyle name="CAMP H-Label 3 Inclined 3" xfId="175" xr:uid="{00000000-0005-0000-0000-000035000000}"/>
    <cellStyle name="CAMP H-Label 3 Inclined 3 2" xfId="448" xr:uid="{00000000-0005-0000-0000-000036000000}"/>
    <cellStyle name="CAMP H-Label 3 Inclined 4" xfId="428" xr:uid="{00000000-0005-0000-0000-000037000000}"/>
    <cellStyle name="Camp Input Field General" xfId="51" xr:uid="{00000000-0005-0000-0000-000038000000}"/>
    <cellStyle name="Camp Input Field General 2" xfId="149" xr:uid="{00000000-0005-0000-0000-000039000000}"/>
    <cellStyle name="Camp Input Field General 3" xfId="176" xr:uid="{00000000-0005-0000-0000-00003A000000}"/>
    <cellStyle name="Camp Input Field Meas" xfId="52" xr:uid="{00000000-0005-0000-0000-00003B000000}"/>
    <cellStyle name="Camp Input Field Percent" xfId="53" xr:uid="{00000000-0005-0000-0000-00003C000000}"/>
    <cellStyle name="Camp Label Column" xfId="54" xr:uid="{00000000-0005-0000-0000-00003D000000}"/>
    <cellStyle name="Camp Label Column 2" xfId="55" xr:uid="{00000000-0005-0000-0000-00003E000000}"/>
    <cellStyle name="Camp Label Column 2 2" xfId="151" xr:uid="{00000000-0005-0000-0000-00003F000000}"/>
    <cellStyle name="Camp Label Column 2 3" xfId="178" xr:uid="{00000000-0005-0000-0000-000040000000}"/>
    <cellStyle name="Camp Label Column 3" xfId="56" xr:uid="{00000000-0005-0000-0000-000041000000}"/>
    <cellStyle name="Camp Label Column 3 2" xfId="152" xr:uid="{00000000-0005-0000-0000-000042000000}"/>
    <cellStyle name="Camp Label Column 3 3" xfId="179" xr:uid="{00000000-0005-0000-0000-000043000000}"/>
    <cellStyle name="Camp Label Column 4" xfId="57" xr:uid="{00000000-0005-0000-0000-000044000000}"/>
    <cellStyle name="Camp Label Column 4 2" xfId="153" xr:uid="{00000000-0005-0000-0000-000045000000}"/>
    <cellStyle name="Camp Label Column 4 3" xfId="180" xr:uid="{00000000-0005-0000-0000-000046000000}"/>
    <cellStyle name="Camp Label Column 5" xfId="150" xr:uid="{00000000-0005-0000-0000-000047000000}"/>
    <cellStyle name="Camp Label Column 6" xfId="177" xr:uid="{00000000-0005-0000-0000-000048000000}"/>
    <cellStyle name="Camp Label Column_~1629650" xfId="58" xr:uid="{00000000-0005-0000-0000-000049000000}"/>
    <cellStyle name="Camp Output Field" xfId="59" xr:uid="{00000000-0005-0000-0000-00004A000000}"/>
    <cellStyle name="Camp Output Field  Without Red" xfId="60" xr:uid="{00000000-0005-0000-0000-00004B000000}"/>
    <cellStyle name="Camp Output Field 10" xfId="952" xr:uid="{00000000-0005-0000-0000-00004C000000}"/>
    <cellStyle name="Camp Output Field 11" xfId="1536" xr:uid="{00000000-0005-0000-0000-00004D000000}"/>
    <cellStyle name="Camp Output Field 2" xfId="429" xr:uid="{00000000-0005-0000-0000-00004E000000}"/>
    <cellStyle name="Camp Output Field 3" xfId="599" xr:uid="{00000000-0005-0000-0000-00004F000000}"/>
    <cellStyle name="Camp Output Field 4" xfId="650" xr:uid="{00000000-0005-0000-0000-000050000000}"/>
    <cellStyle name="Camp Output Field 5" xfId="654" xr:uid="{00000000-0005-0000-0000-000051000000}"/>
    <cellStyle name="Camp Output Field 6" xfId="651" xr:uid="{00000000-0005-0000-0000-000052000000}"/>
    <cellStyle name="Camp Output Field 7" xfId="948" xr:uid="{00000000-0005-0000-0000-000053000000}"/>
    <cellStyle name="Camp Output Field 8" xfId="975" xr:uid="{00000000-0005-0000-0000-000054000000}"/>
    <cellStyle name="Camp Output Field 9" xfId="1535" xr:uid="{00000000-0005-0000-0000-000055000000}"/>
    <cellStyle name="Camp Output Field General" xfId="61" xr:uid="{00000000-0005-0000-0000-000056000000}"/>
    <cellStyle name="Camp Output Field General 2" xfId="154" xr:uid="{00000000-0005-0000-0000-000057000000}"/>
    <cellStyle name="Camp Output Field General 2 2" xfId="444" xr:uid="{00000000-0005-0000-0000-000058000000}"/>
    <cellStyle name="Camp Output Field General 3" xfId="181" xr:uid="{00000000-0005-0000-0000-000059000000}"/>
    <cellStyle name="Camp Output Field General 3 2" xfId="449" xr:uid="{00000000-0005-0000-0000-00005A000000}"/>
    <cellStyle name="Camp Output Field General 4" xfId="430" xr:uid="{00000000-0005-0000-0000-00005B000000}"/>
    <cellStyle name="Camp Output Field Percent" xfId="62" xr:uid="{00000000-0005-0000-0000-00005C000000}"/>
    <cellStyle name="Camp Output Field Percent 2" xfId="431" xr:uid="{00000000-0005-0000-0000-00005D000000}"/>
    <cellStyle name="Camp Output Field Percent With Red" xfId="63" xr:uid="{00000000-0005-0000-0000-00005E000000}"/>
    <cellStyle name="Camp Output Field Percent_~1629650" xfId="64" xr:uid="{00000000-0005-0000-0000-00005F000000}"/>
    <cellStyle name="Camp Output Field_~1629650" xfId="65" xr:uid="{00000000-0005-0000-0000-000060000000}"/>
    <cellStyle name="Camp Percent" xfId="66" xr:uid="{00000000-0005-0000-0000-000061000000}"/>
    <cellStyle name="Camp System" xfId="67" xr:uid="{00000000-0005-0000-0000-000062000000}"/>
    <cellStyle name="Camp System 2" xfId="155" xr:uid="{00000000-0005-0000-0000-000063000000}"/>
    <cellStyle name="Camp System 3" xfId="182" xr:uid="{00000000-0005-0000-0000-000064000000}"/>
    <cellStyle name="Camp Validator Gray Percent" xfId="68" xr:uid="{00000000-0005-0000-0000-000065000000}"/>
    <cellStyle name="Camp Validator Gray Value" xfId="69" xr:uid="{00000000-0005-0000-0000-000066000000}"/>
    <cellStyle name="Camp Validator Green Percent" xfId="70" xr:uid="{00000000-0005-0000-0000-000067000000}"/>
    <cellStyle name="Camp Validator Green Value" xfId="71" xr:uid="{00000000-0005-0000-0000-000068000000}"/>
    <cellStyle name="Camp Validator Red Percent" xfId="72" xr:uid="{00000000-0005-0000-0000-000069000000}"/>
    <cellStyle name="Camp Validator Red Value" xfId="73" xr:uid="{00000000-0005-0000-0000-00006A000000}"/>
    <cellStyle name="Camp Validator Yellow Percent" xfId="74" xr:uid="{00000000-0005-0000-0000-00006B000000}"/>
    <cellStyle name="Camp Validator Yellow Value" xfId="75" xr:uid="{00000000-0005-0000-0000-00006C000000}"/>
    <cellStyle name="CAMP V-Label 3" xfId="76" xr:uid="{00000000-0005-0000-0000-00006D000000}"/>
    <cellStyle name="CAMP V-Label 3 2" xfId="156" xr:uid="{00000000-0005-0000-0000-00006E000000}"/>
    <cellStyle name="CAMP V-Label 3 2 2" xfId="445" xr:uid="{00000000-0005-0000-0000-00006F000000}"/>
    <cellStyle name="CAMP V-Label 3 3" xfId="183" xr:uid="{00000000-0005-0000-0000-000070000000}"/>
    <cellStyle name="CAMP V-Label 3 3 2" xfId="450" xr:uid="{00000000-0005-0000-0000-000071000000}"/>
    <cellStyle name="CAMP V-Label 3 4" xfId="432" xr:uid="{00000000-0005-0000-0000-000072000000}"/>
    <cellStyle name="CampValidationCorrect" xfId="77" xr:uid="{00000000-0005-0000-0000-000073000000}"/>
    <cellStyle name="CampValidationCorrect 2" xfId="433" xr:uid="{00000000-0005-0000-0000-000074000000}"/>
    <cellStyle name="CampValidationCorrectable" xfId="78" xr:uid="{00000000-0005-0000-0000-000075000000}"/>
    <cellStyle name="CampValidationCorrectable 2" xfId="434" xr:uid="{00000000-0005-0000-0000-000076000000}"/>
    <cellStyle name="CampValidationNoData" xfId="79" xr:uid="{00000000-0005-0000-0000-000077000000}"/>
    <cellStyle name="CampValidationNoData 2" xfId="435" xr:uid="{00000000-0005-0000-0000-000078000000}"/>
    <cellStyle name="CampValidationUncorrectable" xfId="80" xr:uid="{00000000-0005-0000-0000-000079000000}"/>
    <cellStyle name="CampValidationUncorrectable 2" xfId="436" xr:uid="{00000000-0005-0000-0000-00007A000000}"/>
    <cellStyle name="Célula de Verificação 2" xfId="81" xr:uid="{00000000-0005-0000-0000-00007B000000}"/>
    <cellStyle name="Célula Vinculada 2" xfId="82" xr:uid="{00000000-0005-0000-0000-00007C000000}"/>
    <cellStyle name="ÇÏÀÌÆÛ¸µÅ©" xfId="83" xr:uid="{00000000-0005-0000-0000-00007D000000}"/>
    <cellStyle name="ÇÏÀÌÆÛ¸µÅ© 2" xfId="157" xr:uid="{00000000-0005-0000-0000-00007E000000}"/>
    <cellStyle name="ÇÏÀÌÆÛ¸µÅ© 3" xfId="184" xr:uid="{00000000-0005-0000-0000-00007F000000}"/>
    <cellStyle name="Comma0" xfId="84" xr:uid="{00000000-0005-0000-0000-000080000000}"/>
    <cellStyle name="Currency0" xfId="85" xr:uid="{00000000-0005-0000-0000-000081000000}"/>
    <cellStyle name="Currency0 2" xfId="158" xr:uid="{00000000-0005-0000-0000-000082000000}"/>
    <cellStyle name="Currency0 3" xfId="185" xr:uid="{00000000-0005-0000-0000-000083000000}"/>
    <cellStyle name="Date" xfId="86" xr:uid="{00000000-0005-0000-0000-000084000000}"/>
    <cellStyle name="Date 2" xfId="159" xr:uid="{00000000-0005-0000-0000-000085000000}"/>
    <cellStyle name="Date 3" xfId="186" xr:uid="{00000000-0005-0000-0000-000086000000}"/>
    <cellStyle name="Ênfase1 2" xfId="87" xr:uid="{00000000-0005-0000-0000-000087000000}"/>
    <cellStyle name="Ênfase2 2" xfId="88" xr:uid="{00000000-0005-0000-0000-000088000000}"/>
    <cellStyle name="Ênfase3 2" xfId="89" xr:uid="{00000000-0005-0000-0000-000089000000}"/>
    <cellStyle name="Ênfase4 2" xfId="90" xr:uid="{00000000-0005-0000-0000-00008A000000}"/>
    <cellStyle name="Ênfase5 2" xfId="91" xr:uid="{00000000-0005-0000-0000-00008B000000}"/>
    <cellStyle name="Ênfase6 2" xfId="92" xr:uid="{00000000-0005-0000-0000-00008C000000}"/>
    <cellStyle name="Entrada 2" xfId="93" xr:uid="{00000000-0005-0000-0000-00008D000000}"/>
    <cellStyle name="Estilo 1" xfId="94" xr:uid="{00000000-0005-0000-0000-00008E000000}"/>
    <cellStyle name="Estilo 1 2" xfId="160" xr:uid="{00000000-0005-0000-0000-00008F000000}"/>
    <cellStyle name="Estilo 1 3" xfId="187" xr:uid="{00000000-0005-0000-0000-000090000000}"/>
    <cellStyle name="Euro" xfId="95" xr:uid="{00000000-0005-0000-0000-000091000000}"/>
    <cellStyle name="Fixed" xfId="96" xr:uid="{00000000-0005-0000-0000-000092000000}"/>
    <cellStyle name="Heading 1" xfId="97" xr:uid="{00000000-0005-0000-0000-000093000000}"/>
    <cellStyle name="Heading 1 2" xfId="161" xr:uid="{00000000-0005-0000-0000-000094000000}"/>
    <cellStyle name="Heading 1 3" xfId="188" xr:uid="{00000000-0005-0000-0000-000095000000}"/>
    <cellStyle name="Heading 2" xfId="98" xr:uid="{00000000-0005-0000-0000-000096000000}"/>
    <cellStyle name="Heading 2 2" xfId="162" xr:uid="{00000000-0005-0000-0000-000097000000}"/>
    <cellStyle name="Heading 2 3" xfId="189" xr:uid="{00000000-0005-0000-0000-000098000000}"/>
    <cellStyle name="Hiperlink 2" xfId="380" xr:uid="{00000000-0005-0000-0000-000099000000}"/>
    <cellStyle name="Hyperlink 2" xfId="10" xr:uid="{00000000-0005-0000-0000-00009A000000}"/>
    <cellStyle name="Incorreto 2" xfId="99" xr:uid="{00000000-0005-0000-0000-00009B000000}"/>
    <cellStyle name="Moeda [0]೟Efetivo de pessoal" xfId="100" xr:uid="{00000000-0005-0000-0000-00009C000000}"/>
    <cellStyle name="Moeda 10" xfId="950" xr:uid="{00000000-0005-0000-0000-00009D000000}"/>
    <cellStyle name="Moeda 11" xfId="1537" xr:uid="{00000000-0005-0000-0000-00009E000000}"/>
    <cellStyle name="Moeda 2" xfId="459" xr:uid="{00000000-0005-0000-0000-00009F000000}"/>
    <cellStyle name="Moeda 2 2" xfId="780" xr:uid="{00000000-0005-0000-0000-0000A0000000}"/>
    <cellStyle name="Moeda 2 2 2" xfId="1369" xr:uid="{00000000-0005-0000-0000-0000A1000000}"/>
    <cellStyle name="Moeda 2 3" xfId="1079" xr:uid="{00000000-0005-0000-0000-0000A2000000}"/>
    <cellStyle name="Moeda 3" xfId="618" xr:uid="{00000000-0005-0000-0000-0000A3000000}"/>
    <cellStyle name="Moeda 3 2" xfId="912" xr:uid="{00000000-0005-0000-0000-0000A4000000}"/>
    <cellStyle name="Moeda 3 2 2" xfId="1501" xr:uid="{00000000-0005-0000-0000-0000A5000000}"/>
    <cellStyle name="Moeda 3 3" xfId="1211" xr:uid="{00000000-0005-0000-0000-0000A6000000}"/>
    <cellStyle name="Moeda 4" xfId="653" xr:uid="{00000000-0005-0000-0000-0000A7000000}"/>
    <cellStyle name="Moeda 4 2" xfId="1243" xr:uid="{00000000-0005-0000-0000-0000A8000000}"/>
    <cellStyle name="Moeda 5" xfId="652" xr:uid="{00000000-0005-0000-0000-0000A9000000}"/>
    <cellStyle name="Moeda 5 2" xfId="1242" xr:uid="{00000000-0005-0000-0000-0000AA000000}"/>
    <cellStyle name="Moeda 6" xfId="943" xr:uid="{00000000-0005-0000-0000-0000AB000000}"/>
    <cellStyle name="Moeda 6 2" xfId="1532" xr:uid="{00000000-0005-0000-0000-0000AC000000}"/>
    <cellStyle name="Moeda 7" xfId="951" xr:uid="{00000000-0005-0000-0000-0000AD000000}"/>
    <cellStyle name="Moeda 8" xfId="949" xr:uid="{00000000-0005-0000-0000-0000AE000000}"/>
    <cellStyle name="Moeda 9" xfId="1538" xr:uid="{00000000-0005-0000-0000-0000AF000000}"/>
    <cellStyle name="Neutra 2" xfId="101" xr:uid="{00000000-0005-0000-0000-0000B0000000}"/>
    <cellStyle name="Normal" xfId="0" builtinId="0"/>
    <cellStyle name="Normal - Style1" xfId="1542" xr:uid="{3E866C15-B24B-4D2E-94D0-7C653E7D8CBC}"/>
    <cellStyle name="Normal 10" xfId="132" xr:uid="{00000000-0005-0000-0000-0000B2000000}"/>
    <cellStyle name="Normal 10 2" xfId="228" xr:uid="{00000000-0005-0000-0000-0000B3000000}"/>
    <cellStyle name="Normal 10 3" xfId="362" xr:uid="{00000000-0005-0000-0000-0000B4000000}"/>
    <cellStyle name="Normal 11" xfId="2" xr:uid="{00000000-0005-0000-0000-0000B5000000}"/>
    <cellStyle name="Normal 11 2" xfId="192" xr:uid="{00000000-0005-0000-0000-0000B6000000}"/>
    <cellStyle name="Normal 11 2 2" xfId="243" xr:uid="{00000000-0005-0000-0000-0000B7000000}"/>
    <cellStyle name="Normal 11 2 2 2" xfId="281" xr:uid="{00000000-0005-0000-0000-0000B8000000}"/>
    <cellStyle name="Normal 11 3" xfId="139" xr:uid="{00000000-0005-0000-0000-0000B9000000}"/>
    <cellStyle name="Normal 11 3 2" xfId="247" xr:uid="{00000000-0005-0000-0000-0000BA000000}"/>
    <cellStyle name="Normal 11 4" xfId="208" xr:uid="{00000000-0005-0000-0000-0000BB000000}"/>
    <cellStyle name="Normal 119" xfId="295" xr:uid="{00000000-0005-0000-0000-0000BC000000}"/>
    <cellStyle name="Normal 12" xfId="166" xr:uid="{00000000-0005-0000-0000-0000BD000000}"/>
    <cellStyle name="Normal 13" xfId="193" xr:uid="{00000000-0005-0000-0000-0000BE000000}"/>
    <cellStyle name="Normal 13 2" xfId="451" xr:uid="{00000000-0005-0000-0000-0000BF000000}"/>
    <cellStyle name="Normal 14" xfId="199" xr:uid="{00000000-0005-0000-0000-0000C0000000}"/>
    <cellStyle name="Normal 15" xfId="203" xr:uid="{00000000-0005-0000-0000-0000C1000000}"/>
    <cellStyle name="Normal 16" xfId="3" xr:uid="{00000000-0005-0000-0000-0000C2000000}"/>
    <cellStyle name="Normal 16 2" xfId="410" xr:uid="{00000000-0005-0000-0000-0000C3000000}"/>
    <cellStyle name="Normal 17" xfId="207" xr:uid="{00000000-0005-0000-0000-0000C4000000}"/>
    <cellStyle name="Normal 17 2" xfId="458" xr:uid="{00000000-0005-0000-0000-0000C5000000}"/>
    <cellStyle name="Normal 18" xfId="211" xr:uid="{00000000-0005-0000-0000-0000C6000000}"/>
    <cellStyle name="Normal 18 2" xfId="460" xr:uid="{00000000-0005-0000-0000-0000C7000000}"/>
    <cellStyle name="Normal 19" xfId="213" xr:uid="{00000000-0005-0000-0000-0000C8000000}"/>
    <cellStyle name="Normal 19 2" xfId="461" xr:uid="{00000000-0005-0000-0000-0000C9000000}"/>
    <cellStyle name="Normal 2" xfId="5" xr:uid="{00000000-0005-0000-0000-0000CA000000}"/>
    <cellStyle name="Normal 2 2" xfId="17" xr:uid="{00000000-0005-0000-0000-0000CB000000}"/>
    <cellStyle name="Normal 2 2 2" xfId="214" xr:uid="{00000000-0005-0000-0000-0000CC000000}"/>
    <cellStyle name="Normal 2 2 2 2" xfId="404" xr:uid="{00000000-0005-0000-0000-0000CD000000}"/>
    <cellStyle name="Normal 2 2 2 6" xfId="363" xr:uid="{00000000-0005-0000-0000-0000CE000000}"/>
    <cellStyle name="Normal 2 2 5" xfId="246" xr:uid="{00000000-0005-0000-0000-0000CF000000}"/>
    <cellStyle name="Normal 2 3" xfId="141" xr:uid="{00000000-0005-0000-0000-0000D0000000}"/>
    <cellStyle name="Normal 2 4" xfId="168" xr:uid="{00000000-0005-0000-0000-0000D1000000}"/>
    <cellStyle name="Normal 2 5" xfId="200" xr:uid="{00000000-0005-0000-0000-0000D2000000}"/>
    <cellStyle name="Normal 2 6" xfId="11" xr:uid="{00000000-0005-0000-0000-0000D3000000}"/>
    <cellStyle name="Normal 2 7" xfId="381" xr:uid="{00000000-0005-0000-0000-0000D4000000}"/>
    <cellStyle name="Normal 2 8" xfId="364" xr:uid="{00000000-0005-0000-0000-0000D5000000}"/>
    <cellStyle name="Normal 2_Inserir D+1" xfId="134" xr:uid="{00000000-0005-0000-0000-0000D6000000}"/>
    <cellStyle name="Normal 20" xfId="231" xr:uid="{00000000-0005-0000-0000-0000D7000000}"/>
    <cellStyle name="Normal 20 2" xfId="471" xr:uid="{00000000-0005-0000-0000-0000D8000000}"/>
    <cellStyle name="Normal 21" xfId="234" xr:uid="{00000000-0005-0000-0000-0000D9000000}"/>
    <cellStyle name="Normal 21 2" xfId="474" xr:uid="{00000000-0005-0000-0000-0000DA000000}"/>
    <cellStyle name="Normal 22" xfId="236" xr:uid="{00000000-0005-0000-0000-0000DB000000}"/>
    <cellStyle name="Normal 22 2" xfId="476" xr:uid="{00000000-0005-0000-0000-0000DC000000}"/>
    <cellStyle name="Normal 23" xfId="238" xr:uid="{00000000-0005-0000-0000-0000DD000000}"/>
    <cellStyle name="Normal 23 2" xfId="478" xr:uid="{00000000-0005-0000-0000-0000DE000000}"/>
    <cellStyle name="Normal 24" xfId="239" xr:uid="{00000000-0005-0000-0000-0000DF000000}"/>
    <cellStyle name="Normal 24 2" xfId="479" xr:uid="{00000000-0005-0000-0000-0000E0000000}"/>
    <cellStyle name="Normal 25" xfId="240" xr:uid="{00000000-0005-0000-0000-0000E1000000}"/>
    <cellStyle name="Normal 25 2" xfId="480" xr:uid="{00000000-0005-0000-0000-0000E2000000}"/>
    <cellStyle name="Normal 26" xfId="268" xr:uid="{00000000-0005-0000-0000-0000E3000000}"/>
    <cellStyle name="Normal 26 2" xfId="498" xr:uid="{00000000-0005-0000-0000-0000E4000000}"/>
    <cellStyle name="Normal 27" xfId="270" xr:uid="{00000000-0005-0000-0000-0000E5000000}"/>
    <cellStyle name="Normal 27 2" xfId="500" xr:uid="{00000000-0005-0000-0000-0000E6000000}"/>
    <cellStyle name="Normal 28" xfId="274" xr:uid="{00000000-0005-0000-0000-0000E7000000}"/>
    <cellStyle name="Normal 28 2" xfId="365" xr:uid="{00000000-0005-0000-0000-0000E8000000}"/>
    <cellStyle name="Normal 28 3" xfId="504" xr:uid="{00000000-0005-0000-0000-0000E9000000}"/>
    <cellStyle name="Normal 29" xfId="275" xr:uid="{00000000-0005-0000-0000-0000EA000000}"/>
    <cellStyle name="Normal 29 2" xfId="505" xr:uid="{00000000-0005-0000-0000-0000EB000000}"/>
    <cellStyle name="Normal 3" xfId="8" xr:uid="{00000000-0005-0000-0000-0000EC000000}"/>
    <cellStyle name="Normal 3 10" xfId="225" xr:uid="{00000000-0005-0000-0000-0000ED000000}"/>
    <cellStyle name="Normal 3 11" xfId="248" xr:uid="{00000000-0005-0000-0000-0000EE000000}"/>
    <cellStyle name="Normal 3 2" xfId="6" xr:uid="{00000000-0005-0000-0000-0000EF000000}"/>
    <cellStyle name="Normal 3 2 2" xfId="18" xr:uid="{00000000-0005-0000-0000-0000F0000000}"/>
    <cellStyle name="Normal 3 2 2 2" xfId="241" xr:uid="{00000000-0005-0000-0000-0000F1000000}"/>
    <cellStyle name="Normal 3 2 2 2 2" xfId="244" xr:uid="{00000000-0005-0000-0000-0000F2000000}"/>
    <cellStyle name="Normal 3 2 2 3" xfId="245" xr:uid="{00000000-0005-0000-0000-0000F3000000}"/>
    <cellStyle name="Normal 3 2 2 4" xfId="415" xr:uid="{00000000-0005-0000-0000-0000F4000000}"/>
    <cellStyle name="Normal 3 2 3" xfId="103" xr:uid="{00000000-0005-0000-0000-0000F5000000}"/>
    <cellStyle name="Normal 3 2 4" xfId="142" xr:uid="{00000000-0005-0000-0000-0000F6000000}"/>
    <cellStyle name="Normal 3 2 4 2" xfId="442" xr:uid="{00000000-0005-0000-0000-0000F7000000}"/>
    <cellStyle name="Normal 3 2 5" xfId="169" xr:uid="{00000000-0005-0000-0000-0000F8000000}"/>
    <cellStyle name="Normal 3 2 5 2" xfId="447" xr:uid="{00000000-0005-0000-0000-0000F9000000}"/>
    <cellStyle name="Normal 3 2 6" xfId="12" xr:uid="{00000000-0005-0000-0000-0000FA000000}"/>
    <cellStyle name="Normal 3 2 7" xfId="209" xr:uid="{00000000-0005-0000-0000-0000FB000000}"/>
    <cellStyle name="Normal 3 2 8" xfId="382" xr:uid="{00000000-0005-0000-0000-0000FC000000}"/>
    <cellStyle name="Normal 3 2_Inserir D+1" xfId="135" xr:uid="{00000000-0005-0000-0000-0000FD000000}"/>
    <cellStyle name="Normal 3 3" xfId="163" xr:uid="{00000000-0005-0000-0000-0000FE000000}"/>
    <cellStyle name="Normal 3 4" xfId="190" xr:uid="{00000000-0005-0000-0000-0000FF000000}"/>
    <cellStyle name="Normal 3 5" xfId="197" xr:uid="{00000000-0005-0000-0000-000000010000}"/>
    <cellStyle name="Normal 3 5 2" xfId="454" xr:uid="{00000000-0005-0000-0000-000001010000}"/>
    <cellStyle name="Normal 3 6" xfId="205" xr:uid="{00000000-0005-0000-0000-000002010000}"/>
    <cellStyle name="Normal 3 7" xfId="102" xr:uid="{00000000-0005-0000-0000-000003010000}"/>
    <cellStyle name="Normal 3 8" xfId="220" xr:uid="{00000000-0005-0000-0000-000004010000}"/>
    <cellStyle name="Normal 3 9" xfId="222" xr:uid="{00000000-0005-0000-0000-000005010000}"/>
    <cellStyle name="Normal 3_Inserir D+1" xfId="138" xr:uid="{00000000-0005-0000-0000-000006010000}"/>
    <cellStyle name="Normal 30" xfId="287" xr:uid="{00000000-0005-0000-0000-000007010000}"/>
    <cellStyle name="Normal 30 2" xfId="514" xr:uid="{00000000-0005-0000-0000-000008010000}"/>
    <cellStyle name="Normal 31" xfId="288" xr:uid="{00000000-0005-0000-0000-000009010000}"/>
    <cellStyle name="Normal 31 2" xfId="515" xr:uid="{00000000-0005-0000-0000-00000A010000}"/>
    <cellStyle name="Normal 32" xfId="291" xr:uid="{00000000-0005-0000-0000-00000B010000}"/>
    <cellStyle name="Normal 32 2" xfId="518" xr:uid="{00000000-0005-0000-0000-00000C010000}"/>
    <cellStyle name="Normal 33" xfId="292" xr:uid="{00000000-0005-0000-0000-00000D010000}"/>
    <cellStyle name="Normal 33 2" xfId="519" xr:uid="{00000000-0005-0000-0000-00000E010000}"/>
    <cellStyle name="Normal 34" xfId="297" xr:uid="{00000000-0005-0000-0000-00000F010000}"/>
    <cellStyle name="Normal 34 2" xfId="522" xr:uid="{00000000-0005-0000-0000-000010010000}"/>
    <cellStyle name="Normal 35" xfId="337" xr:uid="{00000000-0005-0000-0000-000011010000}"/>
    <cellStyle name="Normal 35 2" xfId="561" xr:uid="{00000000-0005-0000-0000-000012010000}"/>
    <cellStyle name="Normal 36" xfId="338" xr:uid="{00000000-0005-0000-0000-000013010000}"/>
    <cellStyle name="Normal 36 2" xfId="562" xr:uid="{00000000-0005-0000-0000-000014010000}"/>
    <cellStyle name="Normal 37" xfId="341" xr:uid="{00000000-0005-0000-0000-000015010000}"/>
    <cellStyle name="Normal 37 2" xfId="565" xr:uid="{00000000-0005-0000-0000-000016010000}"/>
    <cellStyle name="Normal 38" xfId="343" xr:uid="{00000000-0005-0000-0000-000017010000}"/>
    <cellStyle name="Normal 38 2" xfId="567" xr:uid="{00000000-0005-0000-0000-000018010000}"/>
    <cellStyle name="Normal 39" xfId="344" xr:uid="{00000000-0005-0000-0000-000019010000}"/>
    <cellStyle name="Normal 39 2" xfId="568" xr:uid="{00000000-0005-0000-0000-00001A010000}"/>
    <cellStyle name="Normal 4" xfId="1" xr:uid="{00000000-0005-0000-0000-00001B010000}"/>
    <cellStyle name="Normal 4 2" xfId="195" xr:uid="{00000000-0005-0000-0000-00001C010000}"/>
    <cellStyle name="Normal 4 2 2" xfId="383" xr:uid="{00000000-0005-0000-0000-00001D010000}"/>
    <cellStyle name="Normal 4 2 3" xfId="453" xr:uid="{00000000-0005-0000-0000-00001E010000}"/>
    <cellStyle name="Normal 4 3" xfId="16" xr:uid="{00000000-0005-0000-0000-00001F010000}"/>
    <cellStyle name="Normal 4 3 2" xfId="384" xr:uid="{00000000-0005-0000-0000-000020010000}"/>
    <cellStyle name="Normal 4 3 3" xfId="414" xr:uid="{00000000-0005-0000-0000-000021010000}"/>
    <cellStyle name="Normal 4 4" xfId="619" xr:uid="{00000000-0005-0000-0000-000022010000}"/>
    <cellStyle name="Normal 40" xfId="346" xr:uid="{00000000-0005-0000-0000-000023010000}"/>
    <cellStyle name="Normal 40 2" xfId="570" xr:uid="{00000000-0005-0000-0000-000024010000}"/>
    <cellStyle name="Normal 41" xfId="347" xr:uid="{00000000-0005-0000-0000-000025010000}"/>
    <cellStyle name="Normal 41 2" xfId="571" xr:uid="{00000000-0005-0000-0000-000026010000}"/>
    <cellStyle name="Normal 42" xfId="376" xr:uid="{00000000-0005-0000-0000-000027010000}"/>
    <cellStyle name="Normal 42 2" xfId="595" xr:uid="{00000000-0005-0000-0000-000028010000}"/>
    <cellStyle name="Normal 43" xfId="377" xr:uid="{00000000-0005-0000-0000-000029010000}"/>
    <cellStyle name="Normal 43 2" xfId="596" xr:uid="{00000000-0005-0000-0000-00002A010000}"/>
    <cellStyle name="Normal 5" xfId="7" xr:uid="{00000000-0005-0000-0000-00002B010000}"/>
    <cellStyle name="Normal 5 2" xfId="196" xr:uid="{00000000-0005-0000-0000-00002C010000}"/>
    <cellStyle name="Normal 5 2 2" xfId="385" xr:uid="{00000000-0005-0000-0000-00002D010000}"/>
    <cellStyle name="Normal 5 3" xfId="126" xr:uid="{00000000-0005-0000-0000-00002E010000}"/>
    <cellStyle name="Normal 5 4" xfId="254" xr:uid="{00000000-0005-0000-0000-00002F010000}"/>
    <cellStyle name="Normal 6" xfId="127" xr:uid="{00000000-0005-0000-0000-000030010000}"/>
    <cellStyle name="Normal 6 2" xfId="194" xr:uid="{00000000-0005-0000-0000-000031010000}"/>
    <cellStyle name="Normal 6 2 2" xfId="452" xr:uid="{00000000-0005-0000-0000-000032010000}"/>
    <cellStyle name="Normal 6 2 2 2" xfId="946" xr:uid="{00000000-0005-0000-0000-000033010000}"/>
    <cellStyle name="Normal 6 3" xfId="300" xr:uid="{00000000-0005-0000-0000-000034010000}"/>
    <cellStyle name="Normal 7" xfId="21" xr:uid="{00000000-0005-0000-0000-000035010000}"/>
    <cellStyle name="Normal 8" xfId="128" xr:uid="{00000000-0005-0000-0000-000036010000}"/>
    <cellStyle name="Normal 9" xfId="130" xr:uid="{00000000-0005-0000-0000-000037010000}"/>
    <cellStyle name="Normal1" xfId="104" xr:uid="{00000000-0005-0000-0000-000038010000}"/>
    <cellStyle name="Normal1 2" xfId="437" xr:uid="{00000000-0005-0000-0000-000039010000}"/>
    <cellStyle name="Nota 2" xfId="105" xr:uid="{00000000-0005-0000-0000-00003A010000}"/>
    <cellStyle name="Nota 2 2" xfId="438" xr:uid="{00000000-0005-0000-0000-00003B010000}"/>
    <cellStyle name="NUBIA" xfId="106" xr:uid="{00000000-0005-0000-0000-00003C010000}"/>
    <cellStyle name="NUBIA 2" xfId="164" xr:uid="{00000000-0005-0000-0000-00003D010000}"/>
    <cellStyle name="NUBIA 3" xfId="191" xr:uid="{00000000-0005-0000-0000-00003E010000}"/>
    <cellStyle name="Opções de Autoformatação" xfId="107" xr:uid="{00000000-0005-0000-0000-00003F010000}"/>
    <cellStyle name="Padrão_pilhas (2)" xfId="108" xr:uid="{00000000-0005-0000-0000-000040010000}"/>
    <cellStyle name="Porcentagem 10" xfId="198" xr:uid="{00000000-0005-0000-0000-000041010000}"/>
    <cellStyle name="Porcentagem 10 2" xfId="455" xr:uid="{00000000-0005-0000-0000-000042010000}"/>
    <cellStyle name="Porcentagem 11" xfId="204" xr:uid="{00000000-0005-0000-0000-000043010000}"/>
    <cellStyle name="Porcentagem 12" xfId="206" xr:uid="{00000000-0005-0000-0000-000044010000}"/>
    <cellStyle name="Porcentagem 12 2" xfId="457" xr:uid="{00000000-0005-0000-0000-000045010000}"/>
    <cellStyle name="Porcentagem 13" xfId="212" xr:uid="{00000000-0005-0000-0000-000046010000}"/>
    <cellStyle name="Porcentagem 15" xfId="944" xr:uid="{00000000-0005-0000-0000-000047010000}"/>
    <cellStyle name="Porcentagem 16 2" xfId="229" xr:uid="{00000000-0005-0000-0000-000048010000}"/>
    <cellStyle name="Porcentagem 18" xfId="277" xr:uid="{00000000-0005-0000-0000-000049010000}"/>
    <cellStyle name="Porcentagem 18 10" xfId="406" xr:uid="{00000000-0005-0000-0000-00004A010000}"/>
    <cellStyle name="Porcentagem 18 11" xfId="296" xr:uid="{00000000-0005-0000-0000-00004B010000}"/>
    <cellStyle name="Porcentagem 18 16" xfId="405" xr:uid="{00000000-0005-0000-0000-00004C010000}"/>
    <cellStyle name="Porcentagem 18 3" xfId="283" xr:uid="{00000000-0005-0000-0000-00004D010000}"/>
    <cellStyle name="Porcentagem 2" xfId="4" xr:uid="{00000000-0005-0000-0000-00004E010000}"/>
    <cellStyle name="Porcentagem 2 10 2 2 3" xfId="1543" xr:uid="{543EED55-ABDC-4F53-9F3F-15CCC8086B61}"/>
    <cellStyle name="Porcentagem 2 2" xfId="19" xr:uid="{00000000-0005-0000-0000-00004F010000}"/>
    <cellStyle name="Porcentagem 2 2 3" xfId="403" xr:uid="{00000000-0005-0000-0000-000050010000}"/>
    <cellStyle name="Porcentagem 2 2 7" xfId="252" xr:uid="{00000000-0005-0000-0000-000051010000}"/>
    <cellStyle name="Porcentagem 2 3" xfId="202" xr:uid="{00000000-0005-0000-0000-000052010000}"/>
    <cellStyle name="Porcentagem 2 3 2" xfId="366" xr:uid="{00000000-0005-0000-0000-000053010000}"/>
    <cellStyle name="Porcentagem 2 4" xfId="1539" xr:uid="{00000000-0005-0000-0000-000054010000}"/>
    <cellStyle name="Porcentagem 3" xfId="109" xr:uid="{00000000-0005-0000-0000-000055010000}"/>
    <cellStyle name="Porcentagem 3 2" xfId="110" xr:uid="{00000000-0005-0000-0000-000056010000}"/>
    <cellStyle name="Porcentagem 3 3" xfId="255" xr:uid="{00000000-0005-0000-0000-000057010000}"/>
    <cellStyle name="Porcentagem 35" xfId="402" xr:uid="{00000000-0005-0000-0000-000058010000}"/>
    <cellStyle name="Porcentagem 4" xfId="125" xr:uid="{00000000-0005-0000-0000-000059010000}"/>
    <cellStyle name="Porcentagem 5" xfId="129" xr:uid="{00000000-0005-0000-0000-00005A010000}"/>
    <cellStyle name="Porcentagem 6" xfId="131" xr:uid="{00000000-0005-0000-0000-00005B010000}"/>
    <cellStyle name="Porcentagem 7" xfId="133" xr:uid="{00000000-0005-0000-0000-00005C010000}"/>
    <cellStyle name="Porcentagem 8" xfId="140" xr:uid="{00000000-0005-0000-0000-00005D010000}"/>
    <cellStyle name="Porcentagem 9" xfId="167" xr:uid="{00000000-0005-0000-0000-00005E010000}"/>
    <cellStyle name="PSDec" xfId="111" xr:uid="{00000000-0005-0000-0000-00005F010000}"/>
    <cellStyle name="Saída 2" xfId="112" xr:uid="{00000000-0005-0000-0000-000060010000}"/>
    <cellStyle name="Sep. milhar [0]" xfId="113" xr:uid="{00000000-0005-0000-0000-000061010000}"/>
    <cellStyle name="Separador de milhares 2" xfId="9" xr:uid="{00000000-0005-0000-0000-000062010000}"/>
    <cellStyle name="Separador de milhares 2 2" xfId="20" xr:uid="{00000000-0005-0000-0000-000063010000}"/>
    <cellStyle name="Separador de milhares 2 2 2" xfId="387" xr:uid="{00000000-0005-0000-0000-000064010000}"/>
    <cellStyle name="Separador de milhares 2 2 2 2" xfId="601" xr:uid="{00000000-0005-0000-0000-000065010000}"/>
    <cellStyle name="Separador de milhares 2 2 2 2 2" xfId="895" xr:uid="{00000000-0005-0000-0000-000066010000}"/>
    <cellStyle name="Separador de milhares 2 2 2 2 2 2" xfId="1484" xr:uid="{00000000-0005-0000-0000-000067010000}"/>
    <cellStyle name="Separador de milhares 2 2 2 2 3" xfId="1194" xr:uid="{00000000-0005-0000-0000-000068010000}"/>
    <cellStyle name="Separador de milhares 2 2 2 3" xfId="622" xr:uid="{00000000-0005-0000-0000-000069010000}"/>
    <cellStyle name="Separador de milhares 2 2 2 3 2" xfId="915" xr:uid="{00000000-0005-0000-0000-00006A010000}"/>
    <cellStyle name="Separador de milhares 2 2 2 3 2 2" xfId="1504" xr:uid="{00000000-0005-0000-0000-00006B010000}"/>
    <cellStyle name="Separador de milhares 2 2 2 3 3" xfId="1214" xr:uid="{00000000-0005-0000-0000-00006C010000}"/>
    <cellStyle name="Separador de milhares 2 2 2 4" xfId="756" xr:uid="{00000000-0005-0000-0000-00006D010000}"/>
    <cellStyle name="Separador de milhares 2 2 2 4 2" xfId="1345" xr:uid="{00000000-0005-0000-0000-00006E010000}"/>
    <cellStyle name="Separador de milhares 2 2 2 5" xfId="1055" xr:uid="{00000000-0005-0000-0000-00006F010000}"/>
    <cellStyle name="Separador de milhares 2 2 3" xfId="621" xr:uid="{00000000-0005-0000-0000-000070010000}"/>
    <cellStyle name="Separador de milhares 2 2 3 2" xfId="914" xr:uid="{00000000-0005-0000-0000-000071010000}"/>
    <cellStyle name="Separador de milhares 2 2 3 2 2" xfId="1503" xr:uid="{00000000-0005-0000-0000-000072010000}"/>
    <cellStyle name="Separador de milhares 2 2 3 3" xfId="1213" xr:uid="{00000000-0005-0000-0000-000073010000}"/>
    <cellStyle name="Separador de milhares 2 3" xfId="13" xr:uid="{00000000-0005-0000-0000-000074010000}"/>
    <cellStyle name="Separador de milhares 2 3 2" xfId="412" xr:uid="{00000000-0005-0000-0000-000075010000}"/>
    <cellStyle name="Separador de milhares 2 3 2 2" xfId="773" xr:uid="{00000000-0005-0000-0000-000076010000}"/>
    <cellStyle name="Separador de milhares 2 3 2 2 2" xfId="1362" xr:uid="{00000000-0005-0000-0000-000077010000}"/>
    <cellStyle name="Separador de milhares 2 3 2 3" xfId="1072" xr:uid="{00000000-0005-0000-0000-000078010000}"/>
    <cellStyle name="Separador de milhares 2 3 3" xfId="623" xr:uid="{00000000-0005-0000-0000-000079010000}"/>
    <cellStyle name="Separador de milhares 2 3 3 2" xfId="916" xr:uid="{00000000-0005-0000-0000-00007A010000}"/>
    <cellStyle name="Separador de milhares 2 3 3 2 2" xfId="1505" xr:uid="{00000000-0005-0000-0000-00007B010000}"/>
    <cellStyle name="Separador de milhares 2 3 3 3" xfId="1215" xr:uid="{00000000-0005-0000-0000-00007C010000}"/>
    <cellStyle name="Separador de milhares 2 4" xfId="386" xr:uid="{00000000-0005-0000-0000-00007D010000}"/>
    <cellStyle name="Separador de milhares 2 4 2" xfId="600" xr:uid="{00000000-0005-0000-0000-00007E010000}"/>
    <cellStyle name="Separador de milhares 2 4 2 2" xfId="894" xr:uid="{00000000-0005-0000-0000-00007F010000}"/>
    <cellStyle name="Separador de milhares 2 4 2 2 2" xfId="1483" xr:uid="{00000000-0005-0000-0000-000080010000}"/>
    <cellStyle name="Separador de milhares 2 4 2 3" xfId="1193" xr:uid="{00000000-0005-0000-0000-000081010000}"/>
    <cellStyle name="Separador de milhares 2 4 3" xfId="755" xr:uid="{00000000-0005-0000-0000-000082010000}"/>
    <cellStyle name="Separador de milhares 2 4 3 2" xfId="1344" xr:uid="{00000000-0005-0000-0000-000083010000}"/>
    <cellStyle name="Separador de milhares 2 4 4" xfId="1054" xr:uid="{00000000-0005-0000-0000-000084010000}"/>
    <cellStyle name="Separador de milhares 2 5" xfId="411" xr:uid="{00000000-0005-0000-0000-000085010000}"/>
    <cellStyle name="Separador de milhares 2 5 2" xfId="772" xr:uid="{00000000-0005-0000-0000-000086010000}"/>
    <cellStyle name="Separador de milhares 2 5 2 2" xfId="1361" xr:uid="{00000000-0005-0000-0000-000087010000}"/>
    <cellStyle name="Separador de milhares 2 5 3" xfId="1071" xr:uid="{00000000-0005-0000-0000-000088010000}"/>
    <cellStyle name="Separador de milhares 2 6" xfId="620" xr:uid="{00000000-0005-0000-0000-000089010000}"/>
    <cellStyle name="Separador de milhares 2 6 2" xfId="913" xr:uid="{00000000-0005-0000-0000-00008A010000}"/>
    <cellStyle name="Separador de milhares 2 6 2 2" xfId="1502" xr:uid="{00000000-0005-0000-0000-00008B010000}"/>
    <cellStyle name="Separador de milhares 2 6 3" xfId="1212" xr:uid="{00000000-0005-0000-0000-00008C010000}"/>
    <cellStyle name="Separador de milhares 3" xfId="137" xr:uid="{00000000-0005-0000-0000-00008D010000}"/>
    <cellStyle name="Separador de milhares 3 2" xfId="441" xr:uid="{00000000-0005-0000-0000-00008E010000}"/>
    <cellStyle name="Separador de milhares 3 2 2" xfId="777" xr:uid="{00000000-0005-0000-0000-00008F010000}"/>
    <cellStyle name="Separador de milhares 3 2 2 2" xfId="1366" xr:uid="{00000000-0005-0000-0000-000090010000}"/>
    <cellStyle name="Separador de milhares 3 2 3" xfId="1076" xr:uid="{00000000-0005-0000-0000-000091010000}"/>
    <cellStyle name="Standard_RP100_01 (metr.)" xfId="114" xr:uid="{00000000-0005-0000-0000-000092010000}"/>
    <cellStyle name="Texto de Aviso 2" xfId="115" xr:uid="{00000000-0005-0000-0000-000093010000}"/>
    <cellStyle name="Texto Explicativo 2" xfId="116" xr:uid="{00000000-0005-0000-0000-000094010000}"/>
    <cellStyle name="Título 1 2" xfId="117" xr:uid="{00000000-0005-0000-0000-000095010000}"/>
    <cellStyle name="Título 2 2" xfId="118" xr:uid="{00000000-0005-0000-0000-000096010000}"/>
    <cellStyle name="Título 3 2" xfId="119" xr:uid="{00000000-0005-0000-0000-000097010000}"/>
    <cellStyle name="Título 4 2" xfId="120" xr:uid="{00000000-0005-0000-0000-000098010000}"/>
    <cellStyle name="Título 5" xfId="121" xr:uid="{00000000-0005-0000-0000-000099010000}"/>
    <cellStyle name="Total 2" xfId="122" xr:uid="{00000000-0005-0000-0000-00009A010000}"/>
    <cellStyle name="Vírgula" xfId="210" builtinId="3"/>
    <cellStyle name="Vírgula 10" xfId="237" xr:uid="{00000000-0005-0000-0000-00009C010000}"/>
    <cellStyle name="Vírgula 10 2" xfId="477" xr:uid="{00000000-0005-0000-0000-00009D010000}"/>
    <cellStyle name="Vírgula 10 2 2" xfId="793" xr:uid="{00000000-0005-0000-0000-00009E010000}"/>
    <cellStyle name="Vírgula 10 2 2 2" xfId="1382" xr:uid="{00000000-0005-0000-0000-00009F010000}"/>
    <cellStyle name="Vírgula 10 2 3" xfId="1092" xr:uid="{00000000-0005-0000-0000-0000A0010000}"/>
    <cellStyle name="Vírgula 11" xfId="242" xr:uid="{00000000-0005-0000-0000-0000A1010000}"/>
    <cellStyle name="Vírgula 11 2" xfId="481" xr:uid="{00000000-0005-0000-0000-0000A2010000}"/>
    <cellStyle name="Vírgula 11 2 2" xfId="794" xr:uid="{00000000-0005-0000-0000-0000A3010000}"/>
    <cellStyle name="Vírgula 11 2 2 2" xfId="1383" xr:uid="{00000000-0005-0000-0000-0000A4010000}"/>
    <cellStyle name="Vírgula 11 2 3" xfId="1093" xr:uid="{00000000-0005-0000-0000-0000A5010000}"/>
    <cellStyle name="Vírgula 11 3" xfId="655" xr:uid="{00000000-0005-0000-0000-0000A6010000}"/>
    <cellStyle name="Vírgula 11 3 2" xfId="1244" xr:uid="{00000000-0005-0000-0000-0000A7010000}"/>
    <cellStyle name="Vírgula 11 4" xfId="953" xr:uid="{00000000-0005-0000-0000-0000A8010000}"/>
    <cellStyle name="Vírgula 12" xfId="269" xr:uid="{00000000-0005-0000-0000-0000A9010000}"/>
    <cellStyle name="Vírgula 12 2" xfId="499" xr:uid="{00000000-0005-0000-0000-0000AA010000}"/>
    <cellStyle name="Vírgula 12 2 2" xfId="811" xr:uid="{00000000-0005-0000-0000-0000AB010000}"/>
    <cellStyle name="Vírgula 12 2 2 2" xfId="1400" xr:uid="{00000000-0005-0000-0000-0000AC010000}"/>
    <cellStyle name="Vírgula 12 2 3" xfId="1110" xr:uid="{00000000-0005-0000-0000-0000AD010000}"/>
    <cellStyle name="Vírgula 12 3" xfId="672" xr:uid="{00000000-0005-0000-0000-0000AE010000}"/>
    <cellStyle name="Vírgula 12 3 2" xfId="1261" xr:uid="{00000000-0005-0000-0000-0000AF010000}"/>
    <cellStyle name="Vírgula 12 4" xfId="970" xr:uid="{00000000-0005-0000-0000-0000B0010000}"/>
    <cellStyle name="Vírgula 13" xfId="276" xr:uid="{00000000-0005-0000-0000-0000B1010000}"/>
    <cellStyle name="Vírgula 13 2" xfId="506" xr:uid="{00000000-0005-0000-0000-0000B2010000}"/>
    <cellStyle name="Vírgula 13 2 2" xfId="815" xr:uid="{00000000-0005-0000-0000-0000B3010000}"/>
    <cellStyle name="Vírgula 13 2 2 2" xfId="1404" xr:uid="{00000000-0005-0000-0000-0000B4010000}"/>
    <cellStyle name="Vírgula 13 2 3" xfId="1114" xr:uid="{00000000-0005-0000-0000-0000B5010000}"/>
    <cellStyle name="Vírgula 13 3" xfId="676" xr:uid="{00000000-0005-0000-0000-0000B6010000}"/>
    <cellStyle name="Vírgula 13 3 2" xfId="1265" xr:uid="{00000000-0005-0000-0000-0000B7010000}"/>
    <cellStyle name="Vírgula 13 4" xfId="974" xr:uid="{00000000-0005-0000-0000-0000B8010000}"/>
    <cellStyle name="Vírgula 14" xfId="289" xr:uid="{00000000-0005-0000-0000-0000B9010000}"/>
    <cellStyle name="Vírgula 14 2" xfId="516" xr:uid="{00000000-0005-0000-0000-0000BA010000}"/>
    <cellStyle name="Vírgula 14 2 2" xfId="823" xr:uid="{00000000-0005-0000-0000-0000BB010000}"/>
    <cellStyle name="Vírgula 14 2 2 2" xfId="1412" xr:uid="{00000000-0005-0000-0000-0000BC010000}"/>
    <cellStyle name="Vírgula 14 2 3" xfId="1122" xr:uid="{00000000-0005-0000-0000-0000BD010000}"/>
    <cellStyle name="Vírgula 14 3" xfId="684" xr:uid="{00000000-0005-0000-0000-0000BE010000}"/>
    <cellStyle name="Vírgula 14 3 2" xfId="1273" xr:uid="{00000000-0005-0000-0000-0000BF010000}"/>
    <cellStyle name="Vírgula 14 4" xfId="983" xr:uid="{00000000-0005-0000-0000-0000C0010000}"/>
    <cellStyle name="Vírgula 15" xfId="378" xr:uid="{00000000-0005-0000-0000-0000C1010000}"/>
    <cellStyle name="Vírgula 15 2" xfId="597" xr:uid="{00000000-0005-0000-0000-0000C2010000}"/>
    <cellStyle name="Vírgula 15 2 2" xfId="892" xr:uid="{00000000-0005-0000-0000-0000C3010000}"/>
    <cellStyle name="Vírgula 15 2 2 2" xfId="1481" xr:uid="{00000000-0005-0000-0000-0000C4010000}"/>
    <cellStyle name="Vírgula 15 2 3" xfId="1191" xr:uid="{00000000-0005-0000-0000-0000C5010000}"/>
    <cellStyle name="Vírgula 15 3" xfId="753" xr:uid="{00000000-0005-0000-0000-0000C6010000}"/>
    <cellStyle name="Vírgula 15 3 2" xfId="1342" xr:uid="{00000000-0005-0000-0000-0000C7010000}"/>
    <cellStyle name="Vírgula 15 4" xfId="1052" xr:uid="{00000000-0005-0000-0000-0000C8010000}"/>
    <cellStyle name="Vírgula 16" xfId="1540" xr:uid="{7495B7AB-5F8A-430C-BD16-0490E86082ED}"/>
    <cellStyle name="Vírgula 17" xfId="1544" xr:uid="{6F7EF763-77F8-46DA-A289-459D17785A0E}"/>
    <cellStyle name="Vírgula 2" xfId="14" xr:uid="{00000000-0005-0000-0000-0000C9010000}"/>
    <cellStyle name="Vírgula 2 10" xfId="233" xr:uid="{00000000-0005-0000-0000-0000CA010000}"/>
    <cellStyle name="Vírgula 2 10 2" xfId="473" xr:uid="{00000000-0005-0000-0000-0000CB010000}"/>
    <cellStyle name="Vírgula 2 10 2 2" xfId="791" xr:uid="{00000000-0005-0000-0000-0000CC010000}"/>
    <cellStyle name="Vírgula 2 10 2 2 2" xfId="1380" xr:uid="{00000000-0005-0000-0000-0000CD010000}"/>
    <cellStyle name="Vírgula 2 10 2 2 3" xfId="407" xr:uid="{00000000-0005-0000-0000-0000CE010000}"/>
    <cellStyle name="Vírgula 2 10 2 2 3 2" xfId="408" xr:uid="{00000000-0005-0000-0000-0000CF010000}"/>
    <cellStyle name="Vírgula 2 10 2 2 3 2 2" xfId="409" xr:uid="{00000000-0005-0000-0000-0000D0010000}"/>
    <cellStyle name="Vírgula 2 10 2 2 3 2 2 2" xfId="617" xr:uid="{00000000-0005-0000-0000-0000D1010000}"/>
    <cellStyle name="Vírgula 2 10 2 2 3 2 2 2 2" xfId="911" xr:uid="{00000000-0005-0000-0000-0000D2010000}"/>
    <cellStyle name="Vírgula 2 10 2 2 3 2 2 2 2 2" xfId="1500" xr:uid="{00000000-0005-0000-0000-0000D3010000}"/>
    <cellStyle name="Vírgula 2 10 2 2 3 2 2 2 3" xfId="1210" xr:uid="{00000000-0005-0000-0000-0000D4010000}"/>
    <cellStyle name="Vírgula 2 10 2 2 3 2 2 3" xfId="771" xr:uid="{00000000-0005-0000-0000-0000D5010000}"/>
    <cellStyle name="Vírgula 2 10 2 2 3 2 2 3 2" xfId="1360" xr:uid="{00000000-0005-0000-0000-0000D6010000}"/>
    <cellStyle name="Vírgula 2 10 2 2 3 2 2 4" xfId="1070" xr:uid="{00000000-0005-0000-0000-0000D7010000}"/>
    <cellStyle name="Vírgula 2 10 2 2 3 2 3" xfId="1541" xr:uid="{2708D109-CBEC-41E5-9BFD-01FA0FA7F353}"/>
    <cellStyle name="Vírgula 2 10 2 2 3 2 4" xfId="1545" xr:uid="{1A6BA160-0F60-4A63-8405-BAFD296DF675}"/>
    <cellStyle name="Vírgula 2 10 2 2 3 3" xfId="616" xr:uid="{00000000-0005-0000-0000-0000D8010000}"/>
    <cellStyle name="Vírgula 2 10 2 2 3 3 2" xfId="910" xr:uid="{00000000-0005-0000-0000-0000D9010000}"/>
    <cellStyle name="Vírgula 2 10 2 2 3 3 2 2" xfId="1499" xr:uid="{00000000-0005-0000-0000-0000DA010000}"/>
    <cellStyle name="Vírgula 2 10 2 2 3 3 3" xfId="1209" xr:uid="{00000000-0005-0000-0000-0000DB010000}"/>
    <cellStyle name="Vírgula 2 10 2 3" xfId="253" xr:uid="{00000000-0005-0000-0000-0000DC010000}"/>
    <cellStyle name="Vírgula 2 10 2 3 2" xfId="485" xr:uid="{00000000-0005-0000-0000-0000DD010000}"/>
    <cellStyle name="Vírgula 2 10 2 3 2 2" xfId="798" xr:uid="{00000000-0005-0000-0000-0000DE010000}"/>
    <cellStyle name="Vírgula 2 10 2 3 2 2 2" xfId="1387" xr:uid="{00000000-0005-0000-0000-0000DF010000}"/>
    <cellStyle name="Vírgula 2 10 2 3 2 3" xfId="1097" xr:uid="{00000000-0005-0000-0000-0000E0010000}"/>
    <cellStyle name="Vírgula 2 10 2 3 3" xfId="659" xr:uid="{00000000-0005-0000-0000-0000E1010000}"/>
    <cellStyle name="Vírgula 2 10 2 3 3 2" xfId="1248" xr:uid="{00000000-0005-0000-0000-0000E2010000}"/>
    <cellStyle name="Vírgula 2 10 2 3 4" xfId="957" xr:uid="{00000000-0005-0000-0000-0000E3010000}"/>
    <cellStyle name="Vírgula 2 10 2 4" xfId="1090" xr:uid="{00000000-0005-0000-0000-0000E4010000}"/>
    <cellStyle name="Vírgula 2 11" xfId="249" xr:uid="{00000000-0005-0000-0000-0000E5010000}"/>
    <cellStyle name="Vírgula 2 11 2" xfId="482" xr:uid="{00000000-0005-0000-0000-0000E6010000}"/>
    <cellStyle name="Vírgula 2 11 2 2" xfId="795" xr:uid="{00000000-0005-0000-0000-0000E7010000}"/>
    <cellStyle name="Vírgula 2 11 2 2 2" xfId="1384" xr:uid="{00000000-0005-0000-0000-0000E8010000}"/>
    <cellStyle name="Vírgula 2 11 2 3" xfId="1094" xr:uid="{00000000-0005-0000-0000-0000E9010000}"/>
    <cellStyle name="Vírgula 2 11 3" xfId="656" xr:uid="{00000000-0005-0000-0000-0000EA010000}"/>
    <cellStyle name="Vírgula 2 11 3 2" xfId="1245" xr:uid="{00000000-0005-0000-0000-0000EB010000}"/>
    <cellStyle name="Vírgula 2 11 4" xfId="954" xr:uid="{00000000-0005-0000-0000-0000EC010000}"/>
    <cellStyle name="Vírgula 2 12" xfId="251" xr:uid="{00000000-0005-0000-0000-0000ED010000}"/>
    <cellStyle name="Vírgula 2 12 2" xfId="484" xr:uid="{00000000-0005-0000-0000-0000EE010000}"/>
    <cellStyle name="Vírgula 2 12 2 2" xfId="797" xr:uid="{00000000-0005-0000-0000-0000EF010000}"/>
    <cellStyle name="Vírgula 2 12 2 2 2" xfId="1386" xr:uid="{00000000-0005-0000-0000-0000F0010000}"/>
    <cellStyle name="Vírgula 2 12 2 3" xfId="1096" xr:uid="{00000000-0005-0000-0000-0000F1010000}"/>
    <cellStyle name="Vírgula 2 12 3" xfId="658" xr:uid="{00000000-0005-0000-0000-0000F2010000}"/>
    <cellStyle name="Vírgula 2 12 3 2" xfId="1247" xr:uid="{00000000-0005-0000-0000-0000F3010000}"/>
    <cellStyle name="Vírgula 2 12 4" xfId="956" xr:uid="{00000000-0005-0000-0000-0000F4010000}"/>
    <cellStyle name="Vírgula 2 13" xfId="256" xr:uid="{00000000-0005-0000-0000-0000F5010000}"/>
    <cellStyle name="Vírgula 2 13 2" xfId="486" xr:uid="{00000000-0005-0000-0000-0000F6010000}"/>
    <cellStyle name="Vírgula 2 13 2 2" xfId="799" xr:uid="{00000000-0005-0000-0000-0000F7010000}"/>
    <cellStyle name="Vírgula 2 13 2 2 2" xfId="1388" xr:uid="{00000000-0005-0000-0000-0000F8010000}"/>
    <cellStyle name="Vírgula 2 13 2 3" xfId="1098" xr:uid="{00000000-0005-0000-0000-0000F9010000}"/>
    <cellStyle name="Vírgula 2 13 3" xfId="660" xr:uid="{00000000-0005-0000-0000-0000FA010000}"/>
    <cellStyle name="Vírgula 2 13 3 2" xfId="1249" xr:uid="{00000000-0005-0000-0000-0000FB010000}"/>
    <cellStyle name="Vírgula 2 13 4" xfId="958" xr:uid="{00000000-0005-0000-0000-0000FC010000}"/>
    <cellStyle name="Vírgula 2 14" xfId="259" xr:uid="{00000000-0005-0000-0000-0000FD010000}"/>
    <cellStyle name="Vírgula 2 14 2" xfId="489" xr:uid="{00000000-0005-0000-0000-0000FE010000}"/>
    <cellStyle name="Vírgula 2 14 2 2" xfId="802" xr:uid="{00000000-0005-0000-0000-0000FF010000}"/>
    <cellStyle name="Vírgula 2 14 2 2 2" xfId="1391" xr:uid="{00000000-0005-0000-0000-000000020000}"/>
    <cellStyle name="Vírgula 2 14 2 3" xfId="1101" xr:uid="{00000000-0005-0000-0000-000001020000}"/>
    <cellStyle name="Vírgula 2 14 3" xfId="663" xr:uid="{00000000-0005-0000-0000-000002020000}"/>
    <cellStyle name="Vírgula 2 14 3 2" xfId="1252" xr:uid="{00000000-0005-0000-0000-000003020000}"/>
    <cellStyle name="Vírgula 2 14 4" xfId="961" xr:uid="{00000000-0005-0000-0000-000004020000}"/>
    <cellStyle name="Vírgula 2 15" xfId="262" xr:uid="{00000000-0005-0000-0000-000005020000}"/>
    <cellStyle name="Vírgula 2 15 2" xfId="492" xr:uid="{00000000-0005-0000-0000-000006020000}"/>
    <cellStyle name="Vírgula 2 15 2 2" xfId="805" xr:uid="{00000000-0005-0000-0000-000007020000}"/>
    <cellStyle name="Vírgula 2 15 2 2 2" xfId="1394" xr:uid="{00000000-0005-0000-0000-000008020000}"/>
    <cellStyle name="Vírgula 2 15 2 3" xfId="1104" xr:uid="{00000000-0005-0000-0000-000009020000}"/>
    <cellStyle name="Vírgula 2 15 3" xfId="666" xr:uid="{00000000-0005-0000-0000-00000A020000}"/>
    <cellStyle name="Vírgula 2 15 3 2" xfId="1255" xr:uid="{00000000-0005-0000-0000-00000B020000}"/>
    <cellStyle name="Vírgula 2 15 4" xfId="964" xr:uid="{00000000-0005-0000-0000-00000C020000}"/>
    <cellStyle name="Vírgula 2 16" xfId="265" xr:uid="{00000000-0005-0000-0000-00000D020000}"/>
    <cellStyle name="Vírgula 2 16 2" xfId="495" xr:uid="{00000000-0005-0000-0000-00000E020000}"/>
    <cellStyle name="Vírgula 2 16 2 2" xfId="808" xr:uid="{00000000-0005-0000-0000-00000F020000}"/>
    <cellStyle name="Vírgula 2 16 2 2 2" xfId="1397" xr:uid="{00000000-0005-0000-0000-000010020000}"/>
    <cellStyle name="Vírgula 2 16 2 3" xfId="1107" xr:uid="{00000000-0005-0000-0000-000011020000}"/>
    <cellStyle name="Vírgula 2 16 3" xfId="669" xr:uid="{00000000-0005-0000-0000-000012020000}"/>
    <cellStyle name="Vírgula 2 16 3 2" xfId="1258" xr:uid="{00000000-0005-0000-0000-000013020000}"/>
    <cellStyle name="Vírgula 2 16 4" xfId="967" xr:uid="{00000000-0005-0000-0000-000014020000}"/>
    <cellStyle name="Vírgula 2 17" xfId="271" xr:uid="{00000000-0005-0000-0000-000015020000}"/>
    <cellStyle name="Vírgula 2 17 2" xfId="501" xr:uid="{00000000-0005-0000-0000-000016020000}"/>
    <cellStyle name="Vírgula 2 17 2 2" xfId="812" xr:uid="{00000000-0005-0000-0000-000017020000}"/>
    <cellStyle name="Vírgula 2 17 2 2 2" xfId="1401" xr:uid="{00000000-0005-0000-0000-000018020000}"/>
    <cellStyle name="Vírgula 2 17 2 3" xfId="1111" xr:uid="{00000000-0005-0000-0000-000019020000}"/>
    <cellStyle name="Vírgula 2 17 3" xfId="673" xr:uid="{00000000-0005-0000-0000-00001A020000}"/>
    <cellStyle name="Vírgula 2 17 3 2" xfId="1262" xr:uid="{00000000-0005-0000-0000-00001B020000}"/>
    <cellStyle name="Vírgula 2 17 4" xfId="971" xr:uid="{00000000-0005-0000-0000-00001C020000}"/>
    <cellStyle name="Vírgula 2 18" xfId="278" xr:uid="{00000000-0005-0000-0000-00001D020000}"/>
    <cellStyle name="Vírgula 2 18 2" xfId="507" xr:uid="{00000000-0005-0000-0000-00001E020000}"/>
    <cellStyle name="Vírgula 2 18 2 2" xfId="816" xr:uid="{00000000-0005-0000-0000-00001F020000}"/>
    <cellStyle name="Vírgula 2 18 2 2 2" xfId="1405" xr:uid="{00000000-0005-0000-0000-000020020000}"/>
    <cellStyle name="Vírgula 2 18 2 3" xfId="1115" xr:uid="{00000000-0005-0000-0000-000021020000}"/>
    <cellStyle name="Vírgula 2 18 3" xfId="677" xr:uid="{00000000-0005-0000-0000-000022020000}"/>
    <cellStyle name="Vírgula 2 18 3 2" xfId="1266" xr:uid="{00000000-0005-0000-0000-000023020000}"/>
    <cellStyle name="Vírgula 2 18 4" xfId="976" xr:uid="{00000000-0005-0000-0000-000024020000}"/>
    <cellStyle name="Vírgula 2 19" xfId="250" xr:uid="{00000000-0005-0000-0000-000025020000}"/>
    <cellStyle name="Vírgula 2 19 2" xfId="483" xr:uid="{00000000-0005-0000-0000-000026020000}"/>
    <cellStyle name="Vírgula 2 19 2 2" xfId="796" xr:uid="{00000000-0005-0000-0000-000027020000}"/>
    <cellStyle name="Vírgula 2 19 2 2 2" xfId="1385" xr:uid="{00000000-0005-0000-0000-000028020000}"/>
    <cellStyle name="Vírgula 2 19 2 3" xfId="1095" xr:uid="{00000000-0005-0000-0000-000029020000}"/>
    <cellStyle name="Vírgula 2 19 3" xfId="657" xr:uid="{00000000-0005-0000-0000-00002A020000}"/>
    <cellStyle name="Vírgula 2 19 3 2" xfId="1246" xr:uid="{00000000-0005-0000-0000-00002B020000}"/>
    <cellStyle name="Vírgula 2 19 4" xfId="955" xr:uid="{00000000-0005-0000-0000-00002C020000}"/>
    <cellStyle name="Vírgula 2 2" xfId="15" xr:uid="{00000000-0005-0000-0000-00002D020000}"/>
    <cellStyle name="Vírgula 2 2 10" xfId="302" xr:uid="{00000000-0005-0000-0000-00002E020000}"/>
    <cellStyle name="Vírgula 2 2 10 2" xfId="526" xr:uid="{00000000-0005-0000-0000-00002F020000}"/>
    <cellStyle name="Vírgula 2 2 10 2 2" xfId="830" xr:uid="{00000000-0005-0000-0000-000030020000}"/>
    <cellStyle name="Vírgula 2 2 10 2 2 2" xfId="1419" xr:uid="{00000000-0005-0000-0000-000031020000}"/>
    <cellStyle name="Vírgula 2 2 10 2 3" xfId="1129" xr:uid="{00000000-0005-0000-0000-000032020000}"/>
    <cellStyle name="Vírgula 2 2 10 3" xfId="691" xr:uid="{00000000-0005-0000-0000-000033020000}"/>
    <cellStyle name="Vírgula 2 2 10 3 2" xfId="1280" xr:uid="{00000000-0005-0000-0000-000034020000}"/>
    <cellStyle name="Vírgula 2 2 10 4" xfId="990" xr:uid="{00000000-0005-0000-0000-000035020000}"/>
    <cellStyle name="Vírgula 2 2 11" xfId="308" xr:uid="{00000000-0005-0000-0000-000036020000}"/>
    <cellStyle name="Vírgula 2 2 11 2" xfId="532" xr:uid="{00000000-0005-0000-0000-000037020000}"/>
    <cellStyle name="Vírgula 2 2 11 2 2" xfId="836" xr:uid="{00000000-0005-0000-0000-000038020000}"/>
    <cellStyle name="Vírgula 2 2 11 2 2 2" xfId="1425" xr:uid="{00000000-0005-0000-0000-000039020000}"/>
    <cellStyle name="Vírgula 2 2 11 2 3" xfId="1135" xr:uid="{00000000-0005-0000-0000-00003A020000}"/>
    <cellStyle name="Vírgula 2 2 11 3" xfId="697" xr:uid="{00000000-0005-0000-0000-00003B020000}"/>
    <cellStyle name="Vírgula 2 2 11 3 2" xfId="1286" xr:uid="{00000000-0005-0000-0000-00003C020000}"/>
    <cellStyle name="Vírgula 2 2 11 4" xfId="996" xr:uid="{00000000-0005-0000-0000-00003D020000}"/>
    <cellStyle name="Vírgula 2 2 12" xfId="314" xr:uid="{00000000-0005-0000-0000-00003E020000}"/>
    <cellStyle name="Vírgula 2 2 12 2" xfId="538" xr:uid="{00000000-0005-0000-0000-00003F020000}"/>
    <cellStyle name="Vírgula 2 2 12 2 2" xfId="842" xr:uid="{00000000-0005-0000-0000-000040020000}"/>
    <cellStyle name="Vírgula 2 2 12 2 2 2" xfId="1431" xr:uid="{00000000-0005-0000-0000-000041020000}"/>
    <cellStyle name="Vírgula 2 2 12 2 3" xfId="1141" xr:uid="{00000000-0005-0000-0000-000042020000}"/>
    <cellStyle name="Vírgula 2 2 12 3" xfId="703" xr:uid="{00000000-0005-0000-0000-000043020000}"/>
    <cellStyle name="Vírgula 2 2 12 3 2" xfId="1292" xr:uid="{00000000-0005-0000-0000-000044020000}"/>
    <cellStyle name="Vírgula 2 2 12 4" xfId="1002" xr:uid="{00000000-0005-0000-0000-000045020000}"/>
    <cellStyle name="Vírgula 2 2 13" xfId="320" xr:uid="{00000000-0005-0000-0000-000046020000}"/>
    <cellStyle name="Vírgula 2 2 13 2" xfId="544" xr:uid="{00000000-0005-0000-0000-000047020000}"/>
    <cellStyle name="Vírgula 2 2 13 2 2" xfId="848" xr:uid="{00000000-0005-0000-0000-000048020000}"/>
    <cellStyle name="Vírgula 2 2 13 2 2 2" xfId="1437" xr:uid="{00000000-0005-0000-0000-000049020000}"/>
    <cellStyle name="Vírgula 2 2 13 2 3" xfId="1147" xr:uid="{00000000-0005-0000-0000-00004A020000}"/>
    <cellStyle name="Vírgula 2 2 13 3" xfId="709" xr:uid="{00000000-0005-0000-0000-00004B020000}"/>
    <cellStyle name="Vírgula 2 2 13 3 2" xfId="1298" xr:uid="{00000000-0005-0000-0000-00004C020000}"/>
    <cellStyle name="Vírgula 2 2 13 4" xfId="1008" xr:uid="{00000000-0005-0000-0000-00004D020000}"/>
    <cellStyle name="Vírgula 2 2 14" xfId="326" xr:uid="{00000000-0005-0000-0000-00004E020000}"/>
    <cellStyle name="Vírgula 2 2 14 2" xfId="550" xr:uid="{00000000-0005-0000-0000-00004F020000}"/>
    <cellStyle name="Vírgula 2 2 14 2 2" xfId="854" xr:uid="{00000000-0005-0000-0000-000050020000}"/>
    <cellStyle name="Vírgula 2 2 14 2 2 2" xfId="1443" xr:uid="{00000000-0005-0000-0000-000051020000}"/>
    <cellStyle name="Vírgula 2 2 14 2 3" xfId="1153" xr:uid="{00000000-0005-0000-0000-000052020000}"/>
    <cellStyle name="Vírgula 2 2 14 3" xfId="715" xr:uid="{00000000-0005-0000-0000-000053020000}"/>
    <cellStyle name="Vírgula 2 2 14 3 2" xfId="1304" xr:uid="{00000000-0005-0000-0000-000054020000}"/>
    <cellStyle name="Vírgula 2 2 14 4" xfId="1014" xr:uid="{00000000-0005-0000-0000-000055020000}"/>
    <cellStyle name="Vírgula 2 2 15" xfId="332" xr:uid="{00000000-0005-0000-0000-000056020000}"/>
    <cellStyle name="Vírgula 2 2 15 2" xfId="556" xr:uid="{00000000-0005-0000-0000-000057020000}"/>
    <cellStyle name="Vírgula 2 2 15 2 2" xfId="860" xr:uid="{00000000-0005-0000-0000-000058020000}"/>
    <cellStyle name="Vírgula 2 2 15 2 2 2" xfId="1449" xr:uid="{00000000-0005-0000-0000-000059020000}"/>
    <cellStyle name="Vírgula 2 2 15 2 3" xfId="1159" xr:uid="{00000000-0005-0000-0000-00005A020000}"/>
    <cellStyle name="Vírgula 2 2 15 3" xfId="721" xr:uid="{00000000-0005-0000-0000-00005B020000}"/>
    <cellStyle name="Vírgula 2 2 15 3 2" xfId="1310" xr:uid="{00000000-0005-0000-0000-00005C020000}"/>
    <cellStyle name="Vírgula 2 2 15 4" xfId="1020" xr:uid="{00000000-0005-0000-0000-00005D020000}"/>
    <cellStyle name="Vírgula 2 2 16" xfId="350" xr:uid="{00000000-0005-0000-0000-00005E020000}"/>
    <cellStyle name="Vírgula 2 2 16 2" xfId="574" xr:uid="{00000000-0005-0000-0000-00005F020000}"/>
    <cellStyle name="Vírgula 2 2 16 2 2" xfId="871" xr:uid="{00000000-0005-0000-0000-000060020000}"/>
    <cellStyle name="Vírgula 2 2 16 2 2 2" xfId="1460" xr:uid="{00000000-0005-0000-0000-000061020000}"/>
    <cellStyle name="Vírgula 2 2 16 2 3" xfId="1170" xr:uid="{00000000-0005-0000-0000-000062020000}"/>
    <cellStyle name="Vírgula 2 2 16 3" xfId="732" xr:uid="{00000000-0005-0000-0000-000063020000}"/>
    <cellStyle name="Vírgula 2 2 16 3 2" xfId="1321" xr:uid="{00000000-0005-0000-0000-000064020000}"/>
    <cellStyle name="Vírgula 2 2 16 4" xfId="1031" xr:uid="{00000000-0005-0000-0000-000065020000}"/>
    <cellStyle name="Vírgula 2 2 17" xfId="356" xr:uid="{00000000-0005-0000-0000-000066020000}"/>
    <cellStyle name="Vírgula 2 2 17 2" xfId="580" xr:uid="{00000000-0005-0000-0000-000067020000}"/>
    <cellStyle name="Vírgula 2 2 17 2 2" xfId="877" xr:uid="{00000000-0005-0000-0000-000068020000}"/>
    <cellStyle name="Vírgula 2 2 17 2 2 2" xfId="1466" xr:uid="{00000000-0005-0000-0000-000069020000}"/>
    <cellStyle name="Vírgula 2 2 17 2 3" xfId="1176" xr:uid="{00000000-0005-0000-0000-00006A020000}"/>
    <cellStyle name="Vírgula 2 2 17 3" xfId="738" xr:uid="{00000000-0005-0000-0000-00006B020000}"/>
    <cellStyle name="Vírgula 2 2 17 3 2" xfId="1327" xr:uid="{00000000-0005-0000-0000-00006C020000}"/>
    <cellStyle name="Vírgula 2 2 17 4" xfId="1037" xr:uid="{00000000-0005-0000-0000-00006D020000}"/>
    <cellStyle name="Vírgula 2 2 18" xfId="368" xr:uid="{00000000-0005-0000-0000-00006E020000}"/>
    <cellStyle name="Vírgula 2 2 18 2" xfId="587" xr:uid="{00000000-0005-0000-0000-00006F020000}"/>
    <cellStyle name="Vírgula 2 2 18 2 2" xfId="884" xr:uid="{00000000-0005-0000-0000-000070020000}"/>
    <cellStyle name="Vírgula 2 2 18 2 2 2" xfId="1473" xr:uid="{00000000-0005-0000-0000-000071020000}"/>
    <cellStyle name="Vírgula 2 2 18 2 3" xfId="1183" xr:uid="{00000000-0005-0000-0000-000072020000}"/>
    <cellStyle name="Vírgula 2 2 18 3" xfId="745" xr:uid="{00000000-0005-0000-0000-000073020000}"/>
    <cellStyle name="Vírgula 2 2 18 3 2" xfId="1334" xr:uid="{00000000-0005-0000-0000-000074020000}"/>
    <cellStyle name="Vírgula 2 2 18 4" xfId="1044" xr:uid="{00000000-0005-0000-0000-000075020000}"/>
    <cellStyle name="Vírgula 2 2 19" xfId="389" xr:uid="{00000000-0005-0000-0000-000076020000}"/>
    <cellStyle name="Vírgula 2 2 19 2" xfId="603" xr:uid="{00000000-0005-0000-0000-000077020000}"/>
    <cellStyle name="Vírgula 2 2 19 2 2" xfId="897" xr:uid="{00000000-0005-0000-0000-000078020000}"/>
    <cellStyle name="Vírgula 2 2 19 2 2 2" xfId="1486" xr:uid="{00000000-0005-0000-0000-000079020000}"/>
    <cellStyle name="Vírgula 2 2 19 2 3" xfId="1196" xr:uid="{00000000-0005-0000-0000-00007A020000}"/>
    <cellStyle name="Vírgula 2 2 19 3" xfId="758" xr:uid="{00000000-0005-0000-0000-00007B020000}"/>
    <cellStyle name="Vírgula 2 2 19 3 2" xfId="1347" xr:uid="{00000000-0005-0000-0000-00007C020000}"/>
    <cellStyle name="Vírgula 2 2 19 4" xfId="1057" xr:uid="{00000000-0005-0000-0000-00007D020000}"/>
    <cellStyle name="Vírgula 2 2 2" xfId="219" xr:uid="{00000000-0005-0000-0000-00007E020000}"/>
    <cellStyle name="Vírgula 2 2 2 10" xfId="369" xr:uid="{00000000-0005-0000-0000-00007F020000}"/>
    <cellStyle name="Vírgula 2 2 2 10 2" xfId="588" xr:uid="{00000000-0005-0000-0000-000080020000}"/>
    <cellStyle name="Vírgula 2 2 2 10 2 2" xfId="885" xr:uid="{00000000-0005-0000-0000-000081020000}"/>
    <cellStyle name="Vírgula 2 2 2 10 2 2 2" xfId="1474" xr:uid="{00000000-0005-0000-0000-000082020000}"/>
    <cellStyle name="Vírgula 2 2 2 10 2 3" xfId="1184" xr:uid="{00000000-0005-0000-0000-000083020000}"/>
    <cellStyle name="Vírgula 2 2 2 10 3" xfId="746" xr:uid="{00000000-0005-0000-0000-000084020000}"/>
    <cellStyle name="Vírgula 2 2 2 10 3 2" xfId="1335" xr:uid="{00000000-0005-0000-0000-000085020000}"/>
    <cellStyle name="Vírgula 2 2 2 10 4" xfId="1045" xr:uid="{00000000-0005-0000-0000-000086020000}"/>
    <cellStyle name="Vírgula 2 2 2 11" xfId="390" xr:uid="{00000000-0005-0000-0000-000087020000}"/>
    <cellStyle name="Vírgula 2 2 2 11 2" xfId="604" xr:uid="{00000000-0005-0000-0000-000088020000}"/>
    <cellStyle name="Vírgula 2 2 2 11 2 2" xfId="898" xr:uid="{00000000-0005-0000-0000-000089020000}"/>
    <cellStyle name="Vírgula 2 2 2 11 2 2 2" xfId="1487" xr:uid="{00000000-0005-0000-0000-00008A020000}"/>
    <cellStyle name="Vírgula 2 2 2 11 2 3" xfId="1197" xr:uid="{00000000-0005-0000-0000-00008B020000}"/>
    <cellStyle name="Vírgula 2 2 2 11 3" xfId="759" xr:uid="{00000000-0005-0000-0000-00008C020000}"/>
    <cellStyle name="Vírgula 2 2 2 11 3 2" xfId="1348" xr:uid="{00000000-0005-0000-0000-00008D020000}"/>
    <cellStyle name="Vírgula 2 2 2 11 4" xfId="1058" xr:uid="{00000000-0005-0000-0000-00008E020000}"/>
    <cellStyle name="Vírgula 2 2 2 12" xfId="464" xr:uid="{00000000-0005-0000-0000-00008F020000}"/>
    <cellStyle name="Vírgula 2 2 2 12 2" xfId="783" xr:uid="{00000000-0005-0000-0000-000090020000}"/>
    <cellStyle name="Vírgula 2 2 2 12 2 2" xfId="1372" xr:uid="{00000000-0005-0000-0000-000091020000}"/>
    <cellStyle name="Vírgula 2 2 2 12 3" xfId="1082" xr:uid="{00000000-0005-0000-0000-000092020000}"/>
    <cellStyle name="Vírgula 2 2 2 13" xfId="626" xr:uid="{00000000-0005-0000-0000-000093020000}"/>
    <cellStyle name="Vírgula 2 2 2 13 2" xfId="919" xr:uid="{00000000-0005-0000-0000-000094020000}"/>
    <cellStyle name="Vírgula 2 2 2 13 2 2" xfId="1508" xr:uid="{00000000-0005-0000-0000-000095020000}"/>
    <cellStyle name="Vírgula 2 2 2 13 3" xfId="1218" xr:uid="{00000000-0005-0000-0000-000096020000}"/>
    <cellStyle name="Vírgula 2 2 2 2" xfId="303" xr:uid="{00000000-0005-0000-0000-000097020000}"/>
    <cellStyle name="Vírgula 2 2 2 2 2" xfId="527" xr:uid="{00000000-0005-0000-0000-000098020000}"/>
    <cellStyle name="Vírgula 2 2 2 2 2 2" xfId="831" xr:uid="{00000000-0005-0000-0000-000099020000}"/>
    <cellStyle name="Vírgula 2 2 2 2 2 2 2" xfId="1420" xr:uid="{00000000-0005-0000-0000-00009A020000}"/>
    <cellStyle name="Vírgula 2 2 2 2 2 3" xfId="1130" xr:uid="{00000000-0005-0000-0000-00009B020000}"/>
    <cellStyle name="Vírgula 2 2 2 2 3" xfId="627" xr:uid="{00000000-0005-0000-0000-00009C020000}"/>
    <cellStyle name="Vírgula 2 2 2 2 3 2" xfId="920" xr:uid="{00000000-0005-0000-0000-00009D020000}"/>
    <cellStyle name="Vírgula 2 2 2 2 3 2 2" xfId="1509" xr:uid="{00000000-0005-0000-0000-00009E020000}"/>
    <cellStyle name="Vírgula 2 2 2 2 3 3" xfId="1219" xr:uid="{00000000-0005-0000-0000-00009F020000}"/>
    <cellStyle name="Vírgula 2 2 2 2 4" xfId="692" xr:uid="{00000000-0005-0000-0000-0000A0020000}"/>
    <cellStyle name="Vírgula 2 2 2 2 4 2" xfId="1281" xr:uid="{00000000-0005-0000-0000-0000A1020000}"/>
    <cellStyle name="Vírgula 2 2 2 2 5" xfId="991" xr:uid="{00000000-0005-0000-0000-0000A2020000}"/>
    <cellStyle name="Vírgula 2 2 2 3" xfId="309" xr:uid="{00000000-0005-0000-0000-0000A3020000}"/>
    <cellStyle name="Vírgula 2 2 2 3 2" xfId="533" xr:uid="{00000000-0005-0000-0000-0000A4020000}"/>
    <cellStyle name="Vírgula 2 2 2 3 2 2" xfId="837" xr:uid="{00000000-0005-0000-0000-0000A5020000}"/>
    <cellStyle name="Vírgula 2 2 2 3 2 2 2" xfId="1426" xr:uid="{00000000-0005-0000-0000-0000A6020000}"/>
    <cellStyle name="Vírgula 2 2 2 3 2 3" xfId="1136" xr:uid="{00000000-0005-0000-0000-0000A7020000}"/>
    <cellStyle name="Vírgula 2 2 2 3 3" xfId="698" xr:uid="{00000000-0005-0000-0000-0000A8020000}"/>
    <cellStyle name="Vírgula 2 2 2 3 3 2" xfId="1287" xr:uid="{00000000-0005-0000-0000-0000A9020000}"/>
    <cellStyle name="Vírgula 2 2 2 3 4" xfId="997" xr:uid="{00000000-0005-0000-0000-0000AA020000}"/>
    <cellStyle name="Vírgula 2 2 2 4" xfId="315" xr:uid="{00000000-0005-0000-0000-0000AB020000}"/>
    <cellStyle name="Vírgula 2 2 2 4 2" xfId="539" xr:uid="{00000000-0005-0000-0000-0000AC020000}"/>
    <cellStyle name="Vírgula 2 2 2 4 2 2" xfId="843" xr:uid="{00000000-0005-0000-0000-0000AD020000}"/>
    <cellStyle name="Vírgula 2 2 2 4 2 2 2" xfId="1432" xr:uid="{00000000-0005-0000-0000-0000AE020000}"/>
    <cellStyle name="Vírgula 2 2 2 4 2 3" xfId="1142" xr:uid="{00000000-0005-0000-0000-0000AF020000}"/>
    <cellStyle name="Vírgula 2 2 2 4 3" xfId="704" xr:uid="{00000000-0005-0000-0000-0000B0020000}"/>
    <cellStyle name="Vírgula 2 2 2 4 3 2" xfId="1293" xr:uid="{00000000-0005-0000-0000-0000B1020000}"/>
    <cellStyle name="Vírgula 2 2 2 4 4" xfId="1003" xr:uid="{00000000-0005-0000-0000-0000B2020000}"/>
    <cellStyle name="Vírgula 2 2 2 5" xfId="321" xr:uid="{00000000-0005-0000-0000-0000B3020000}"/>
    <cellStyle name="Vírgula 2 2 2 5 2" xfId="545" xr:uid="{00000000-0005-0000-0000-0000B4020000}"/>
    <cellStyle name="Vírgula 2 2 2 5 2 2" xfId="849" xr:uid="{00000000-0005-0000-0000-0000B5020000}"/>
    <cellStyle name="Vírgula 2 2 2 5 2 2 2" xfId="1438" xr:uid="{00000000-0005-0000-0000-0000B6020000}"/>
    <cellStyle name="Vírgula 2 2 2 5 2 3" xfId="1148" xr:uid="{00000000-0005-0000-0000-0000B7020000}"/>
    <cellStyle name="Vírgula 2 2 2 5 3" xfId="710" xr:uid="{00000000-0005-0000-0000-0000B8020000}"/>
    <cellStyle name="Vírgula 2 2 2 5 3 2" xfId="1299" xr:uid="{00000000-0005-0000-0000-0000B9020000}"/>
    <cellStyle name="Vírgula 2 2 2 5 4" xfId="1009" xr:uid="{00000000-0005-0000-0000-0000BA020000}"/>
    <cellStyle name="Vírgula 2 2 2 6" xfId="327" xr:uid="{00000000-0005-0000-0000-0000BB020000}"/>
    <cellStyle name="Vírgula 2 2 2 6 2" xfId="551" xr:uid="{00000000-0005-0000-0000-0000BC020000}"/>
    <cellStyle name="Vírgula 2 2 2 6 2 2" xfId="855" xr:uid="{00000000-0005-0000-0000-0000BD020000}"/>
    <cellStyle name="Vírgula 2 2 2 6 2 2 2" xfId="1444" xr:uid="{00000000-0005-0000-0000-0000BE020000}"/>
    <cellStyle name="Vírgula 2 2 2 6 2 3" xfId="1154" xr:uid="{00000000-0005-0000-0000-0000BF020000}"/>
    <cellStyle name="Vírgula 2 2 2 6 3" xfId="716" xr:uid="{00000000-0005-0000-0000-0000C0020000}"/>
    <cellStyle name="Vírgula 2 2 2 6 3 2" xfId="1305" xr:uid="{00000000-0005-0000-0000-0000C1020000}"/>
    <cellStyle name="Vírgula 2 2 2 6 4" xfId="1015" xr:uid="{00000000-0005-0000-0000-0000C2020000}"/>
    <cellStyle name="Vírgula 2 2 2 7" xfId="333" xr:uid="{00000000-0005-0000-0000-0000C3020000}"/>
    <cellStyle name="Vírgula 2 2 2 7 2" xfId="557" xr:uid="{00000000-0005-0000-0000-0000C4020000}"/>
    <cellStyle name="Vírgula 2 2 2 7 2 2" xfId="861" xr:uid="{00000000-0005-0000-0000-0000C5020000}"/>
    <cellStyle name="Vírgula 2 2 2 7 2 2 2" xfId="1450" xr:uid="{00000000-0005-0000-0000-0000C6020000}"/>
    <cellStyle name="Vírgula 2 2 2 7 2 3" xfId="1160" xr:uid="{00000000-0005-0000-0000-0000C7020000}"/>
    <cellStyle name="Vírgula 2 2 2 7 3" xfId="722" xr:uid="{00000000-0005-0000-0000-0000C8020000}"/>
    <cellStyle name="Vírgula 2 2 2 7 3 2" xfId="1311" xr:uid="{00000000-0005-0000-0000-0000C9020000}"/>
    <cellStyle name="Vírgula 2 2 2 7 4" xfId="1021" xr:uid="{00000000-0005-0000-0000-0000CA020000}"/>
    <cellStyle name="Vírgula 2 2 2 8" xfId="351" xr:uid="{00000000-0005-0000-0000-0000CB020000}"/>
    <cellStyle name="Vírgula 2 2 2 8 2" xfId="575" xr:uid="{00000000-0005-0000-0000-0000CC020000}"/>
    <cellStyle name="Vírgula 2 2 2 8 2 2" xfId="872" xr:uid="{00000000-0005-0000-0000-0000CD020000}"/>
    <cellStyle name="Vírgula 2 2 2 8 2 2 2" xfId="1461" xr:uid="{00000000-0005-0000-0000-0000CE020000}"/>
    <cellStyle name="Vírgula 2 2 2 8 2 3" xfId="1171" xr:uid="{00000000-0005-0000-0000-0000CF020000}"/>
    <cellStyle name="Vírgula 2 2 2 8 3" xfId="733" xr:uid="{00000000-0005-0000-0000-0000D0020000}"/>
    <cellStyle name="Vírgula 2 2 2 8 3 2" xfId="1322" xr:uid="{00000000-0005-0000-0000-0000D1020000}"/>
    <cellStyle name="Vírgula 2 2 2 8 4" xfId="1032" xr:uid="{00000000-0005-0000-0000-0000D2020000}"/>
    <cellStyle name="Vírgula 2 2 2 9" xfId="357" xr:uid="{00000000-0005-0000-0000-0000D3020000}"/>
    <cellStyle name="Vírgula 2 2 2 9 2" xfId="581" xr:uid="{00000000-0005-0000-0000-0000D4020000}"/>
    <cellStyle name="Vírgula 2 2 2 9 2 2" xfId="878" xr:uid="{00000000-0005-0000-0000-0000D5020000}"/>
    <cellStyle name="Vírgula 2 2 2 9 2 2 2" xfId="1467" xr:uid="{00000000-0005-0000-0000-0000D6020000}"/>
    <cellStyle name="Vírgula 2 2 2 9 2 3" xfId="1177" xr:uid="{00000000-0005-0000-0000-0000D7020000}"/>
    <cellStyle name="Vírgula 2 2 2 9 3" xfId="739" xr:uid="{00000000-0005-0000-0000-0000D8020000}"/>
    <cellStyle name="Vírgula 2 2 2 9 3 2" xfId="1328" xr:uid="{00000000-0005-0000-0000-0000D9020000}"/>
    <cellStyle name="Vírgula 2 2 2 9 4" xfId="1038" xr:uid="{00000000-0005-0000-0000-0000DA020000}"/>
    <cellStyle name="Vírgula 2 2 20" xfId="413" xr:uid="{00000000-0005-0000-0000-0000DB020000}"/>
    <cellStyle name="Vírgula 2 2 20 2" xfId="774" xr:uid="{00000000-0005-0000-0000-0000DC020000}"/>
    <cellStyle name="Vírgula 2 2 20 2 2" xfId="1363" xr:uid="{00000000-0005-0000-0000-0000DD020000}"/>
    <cellStyle name="Vírgula 2 2 20 3" xfId="1073" xr:uid="{00000000-0005-0000-0000-0000DE020000}"/>
    <cellStyle name="Vírgula 2 2 21" xfId="625" xr:uid="{00000000-0005-0000-0000-0000DF020000}"/>
    <cellStyle name="Vírgula 2 2 21 2" xfId="918" xr:uid="{00000000-0005-0000-0000-0000E0020000}"/>
    <cellStyle name="Vírgula 2 2 21 2 2" xfId="1507" xr:uid="{00000000-0005-0000-0000-0000E1020000}"/>
    <cellStyle name="Vírgula 2 2 21 3" xfId="1217" xr:uid="{00000000-0005-0000-0000-0000E2020000}"/>
    <cellStyle name="Vírgula 2 2 22" xfId="945" xr:uid="{00000000-0005-0000-0000-0000E3020000}"/>
    <cellStyle name="Vírgula 2 2 22 2" xfId="1533" xr:uid="{00000000-0005-0000-0000-0000E4020000}"/>
    <cellStyle name="Vírgula 2 2 3" xfId="257" xr:uid="{00000000-0005-0000-0000-0000E5020000}"/>
    <cellStyle name="Vírgula 2 2 3 2" xfId="487" xr:uid="{00000000-0005-0000-0000-0000E6020000}"/>
    <cellStyle name="Vírgula 2 2 3 2 2" xfId="800" xr:uid="{00000000-0005-0000-0000-0000E7020000}"/>
    <cellStyle name="Vírgula 2 2 3 2 2 2" xfId="1389" xr:uid="{00000000-0005-0000-0000-0000E8020000}"/>
    <cellStyle name="Vírgula 2 2 3 2 3" xfId="1099" xr:uid="{00000000-0005-0000-0000-0000E9020000}"/>
    <cellStyle name="Vírgula 2 2 3 3" xfId="628" xr:uid="{00000000-0005-0000-0000-0000EA020000}"/>
    <cellStyle name="Vírgula 2 2 3 3 2" xfId="921" xr:uid="{00000000-0005-0000-0000-0000EB020000}"/>
    <cellStyle name="Vírgula 2 2 3 3 2 2" xfId="1510" xr:uid="{00000000-0005-0000-0000-0000EC020000}"/>
    <cellStyle name="Vírgula 2 2 3 3 3" xfId="1220" xr:uid="{00000000-0005-0000-0000-0000ED020000}"/>
    <cellStyle name="Vírgula 2 2 3 4" xfId="661" xr:uid="{00000000-0005-0000-0000-0000EE020000}"/>
    <cellStyle name="Vírgula 2 2 3 4 2" xfId="1250" xr:uid="{00000000-0005-0000-0000-0000EF020000}"/>
    <cellStyle name="Vírgula 2 2 3 5" xfId="959" xr:uid="{00000000-0005-0000-0000-0000F0020000}"/>
    <cellStyle name="Vírgula 2 2 4" xfId="260" xr:uid="{00000000-0005-0000-0000-0000F1020000}"/>
    <cellStyle name="Vírgula 2 2 4 2" xfId="490" xr:uid="{00000000-0005-0000-0000-0000F2020000}"/>
    <cellStyle name="Vírgula 2 2 4 2 2" xfId="803" xr:uid="{00000000-0005-0000-0000-0000F3020000}"/>
    <cellStyle name="Vírgula 2 2 4 2 2 2" xfId="1392" xr:uid="{00000000-0005-0000-0000-0000F4020000}"/>
    <cellStyle name="Vírgula 2 2 4 2 3" xfId="1102" xr:uid="{00000000-0005-0000-0000-0000F5020000}"/>
    <cellStyle name="Vírgula 2 2 4 3" xfId="664" xr:uid="{00000000-0005-0000-0000-0000F6020000}"/>
    <cellStyle name="Vírgula 2 2 4 3 2" xfId="1253" xr:uid="{00000000-0005-0000-0000-0000F7020000}"/>
    <cellStyle name="Vírgula 2 2 4 4" xfId="962" xr:uid="{00000000-0005-0000-0000-0000F8020000}"/>
    <cellStyle name="Vírgula 2 2 5" xfId="263" xr:uid="{00000000-0005-0000-0000-0000F9020000}"/>
    <cellStyle name="Vírgula 2 2 5 2" xfId="493" xr:uid="{00000000-0005-0000-0000-0000FA020000}"/>
    <cellStyle name="Vírgula 2 2 5 2 2" xfId="806" xr:uid="{00000000-0005-0000-0000-0000FB020000}"/>
    <cellStyle name="Vírgula 2 2 5 2 2 2" xfId="1395" xr:uid="{00000000-0005-0000-0000-0000FC020000}"/>
    <cellStyle name="Vírgula 2 2 5 2 3" xfId="1105" xr:uid="{00000000-0005-0000-0000-0000FD020000}"/>
    <cellStyle name="Vírgula 2 2 5 3" xfId="667" xr:uid="{00000000-0005-0000-0000-0000FE020000}"/>
    <cellStyle name="Vírgula 2 2 5 3 2" xfId="1256" xr:uid="{00000000-0005-0000-0000-0000FF020000}"/>
    <cellStyle name="Vírgula 2 2 5 4" xfId="965" xr:uid="{00000000-0005-0000-0000-000000030000}"/>
    <cellStyle name="Vírgula 2 2 6" xfId="266" xr:uid="{00000000-0005-0000-0000-000001030000}"/>
    <cellStyle name="Vírgula 2 2 6 2" xfId="496" xr:uid="{00000000-0005-0000-0000-000002030000}"/>
    <cellStyle name="Vírgula 2 2 6 2 2" xfId="809" xr:uid="{00000000-0005-0000-0000-000003030000}"/>
    <cellStyle name="Vírgula 2 2 6 2 2 2" xfId="1398" xr:uid="{00000000-0005-0000-0000-000004030000}"/>
    <cellStyle name="Vírgula 2 2 6 2 3" xfId="1108" xr:uid="{00000000-0005-0000-0000-000005030000}"/>
    <cellStyle name="Vírgula 2 2 6 3" xfId="670" xr:uid="{00000000-0005-0000-0000-000006030000}"/>
    <cellStyle name="Vírgula 2 2 6 3 2" xfId="1259" xr:uid="{00000000-0005-0000-0000-000007030000}"/>
    <cellStyle name="Vírgula 2 2 6 4" xfId="968" xr:uid="{00000000-0005-0000-0000-000008030000}"/>
    <cellStyle name="Vírgula 2 2 7" xfId="272" xr:uid="{00000000-0005-0000-0000-000009030000}"/>
    <cellStyle name="Vírgula 2 2 7 2" xfId="502" xr:uid="{00000000-0005-0000-0000-00000A030000}"/>
    <cellStyle name="Vírgula 2 2 7 2 2" xfId="813" xr:uid="{00000000-0005-0000-0000-00000B030000}"/>
    <cellStyle name="Vírgula 2 2 7 2 2 2" xfId="1402" xr:uid="{00000000-0005-0000-0000-00000C030000}"/>
    <cellStyle name="Vírgula 2 2 7 2 3" xfId="1112" xr:uid="{00000000-0005-0000-0000-00000D030000}"/>
    <cellStyle name="Vírgula 2 2 7 3" xfId="674" xr:uid="{00000000-0005-0000-0000-00000E030000}"/>
    <cellStyle name="Vírgula 2 2 7 3 2" xfId="1263" xr:uid="{00000000-0005-0000-0000-00000F030000}"/>
    <cellStyle name="Vírgula 2 2 7 4" xfId="972" xr:uid="{00000000-0005-0000-0000-000010030000}"/>
    <cellStyle name="Vírgula 2 2 8" xfId="279" xr:uid="{00000000-0005-0000-0000-000011030000}"/>
    <cellStyle name="Vírgula 2 2 8 2" xfId="508" xr:uid="{00000000-0005-0000-0000-000012030000}"/>
    <cellStyle name="Vírgula 2 2 8 2 2" xfId="817" xr:uid="{00000000-0005-0000-0000-000013030000}"/>
    <cellStyle name="Vírgula 2 2 8 2 2 2" xfId="1406" xr:uid="{00000000-0005-0000-0000-000014030000}"/>
    <cellStyle name="Vírgula 2 2 8 2 3" xfId="1116" xr:uid="{00000000-0005-0000-0000-000015030000}"/>
    <cellStyle name="Vírgula 2 2 8 3" xfId="678" xr:uid="{00000000-0005-0000-0000-000016030000}"/>
    <cellStyle name="Vírgula 2 2 8 3 2" xfId="1267" xr:uid="{00000000-0005-0000-0000-000017030000}"/>
    <cellStyle name="Vírgula 2 2 8 4" xfId="977" xr:uid="{00000000-0005-0000-0000-000018030000}"/>
    <cellStyle name="Vírgula 2 2 9" xfId="285" xr:uid="{00000000-0005-0000-0000-000019030000}"/>
    <cellStyle name="Vírgula 2 2 9 2" xfId="512" xr:uid="{00000000-0005-0000-0000-00001A030000}"/>
    <cellStyle name="Vírgula 2 2 9 2 2" xfId="821" xr:uid="{00000000-0005-0000-0000-00001B030000}"/>
    <cellStyle name="Vírgula 2 2 9 2 2 2" xfId="1410" xr:uid="{00000000-0005-0000-0000-00001C030000}"/>
    <cellStyle name="Vírgula 2 2 9 2 3" xfId="1120" xr:uid="{00000000-0005-0000-0000-00001D030000}"/>
    <cellStyle name="Vírgula 2 2 9 3" xfId="682" xr:uid="{00000000-0005-0000-0000-00001E030000}"/>
    <cellStyle name="Vírgula 2 2 9 3 2" xfId="1271" xr:uid="{00000000-0005-0000-0000-00001F030000}"/>
    <cellStyle name="Vírgula 2 2 9 4" xfId="981" xr:uid="{00000000-0005-0000-0000-000020030000}"/>
    <cellStyle name="Vírgula 2 20" xfId="284" xr:uid="{00000000-0005-0000-0000-000021030000}"/>
    <cellStyle name="Vírgula 2 20 2" xfId="511" xr:uid="{00000000-0005-0000-0000-000022030000}"/>
    <cellStyle name="Vírgula 2 20 2 2" xfId="820" xr:uid="{00000000-0005-0000-0000-000023030000}"/>
    <cellStyle name="Vírgula 2 20 2 2 2" xfId="1409" xr:uid="{00000000-0005-0000-0000-000024030000}"/>
    <cellStyle name="Vírgula 2 20 2 3" xfId="1119" xr:uid="{00000000-0005-0000-0000-000025030000}"/>
    <cellStyle name="Vírgula 2 20 3" xfId="681" xr:uid="{00000000-0005-0000-0000-000026030000}"/>
    <cellStyle name="Vírgula 2 20 3 2" xfId="1270" xr:uid="{00000000-0005-0000-0000-000027030000}"/>
    <cellStyle name="Vírgula 2 20 4" xfId="980" xr:uid="{00000000-0005-0000-0000-000028030000}"/>
    <cellStyle name="Vírgula 2 21" xfId="290" xr:uid="{00000000-0005-0000-0000-000029030000}"/>
    <cellStyle name="Vírgula 2 21 2" xfId="517" xr:uid="{00000000-0005-0000-0000-00002A030000}"/>
    <cellStyle name="Vírgula 2 21 2 2" xfId="824" xr:uid="{00000000-0005-0000-0000-00002B030000}"/>
    <cellStyle name="Vírgula 2 21 2 2 2" xfId="1413" xr:uid="{00000000-0005-0000-0000-00002C030000}"/>
    <cellStyle name="Vírgula 2 21 2 3" xfId="1123" xr:uid="{00000000-0005-0000-0000-00002D030000}"/>
    <cellStyle name="Vírgula 2 21 3" xfId="685" xr:uid="{00000000-0005-0000-0000-00002E030000}"/>
    <cellStyle name="Vírgula 2 21 3 2" xfId="1274" xr:uid="{00000000-0005-0000-0000-00002F030000}"/>
    <cellStyle name="Vírgula 2 21 4" xfId="984" xr:uid="{00000000-0005-0000-0000-000030030000}"/>
    <cellStyle name="Vírgula 2 22" xfId="293" xr:uid="{00000000-0005-0000-0000-000031030000}"/>
    <cellStyle name="Vírgula 2 22 2" xfId="520" xr:uid="{00000000-0005-0000-0000-000032030000}"/>
    <cellStyle name="Vírgula 2 22 2 2" xfId="825" xr:uid="{00000000-0005-0000-0000-000033030000}"/>
    <cellStyle name="Vírgula 2 22 2 2 2" xfId="1414" xr:uid="{00000000-0005-0000-0000-000034030000}"/>
    <cellStyle name="Vírgula 2 22 2 3" xfId="1124" xr:uid="{00000000-0005-0000-0000-000035030000}"/>
    <cellStyle name="Vírgula 2 22 3" xfId="686" xr:uid="{00000000-0005-0000-0000-000036030000}"/>
    <cellStyle name="Vírgula 2 22 3 2" xfId="1275" xr:uid="{00000000-0005-0000-0000-000037030000}"/>
    <cellStyle name="Vírgula 2 22 4" xfId="985" xr:uid="{00000000-0005-0000-0000-000038030000}"/>
    <cellStyle name="Vírgula 2 23" xfId="298" xr:uid="{00000000-0005-0000-0000-000039030000}"/>
    <cellStyle name="Vírgula 2 23 2" xfId="523" xr:uid="{00000000-0005-0000-0000-00003A030000}"/>
    <cellStyle name="Vírgula 2 23 2 2" xfId="827" xr:uid="{00000000-0005-0000-0000-00003B030000}"/>
    <cellStyle name="Vírgula 2 23 2 2 2" xfId="1416" xr:uid="{00000000-0005-0000-0000-00003C030000}"/>
    <cellStyle name="Vírgula 2 23 2 3" xfId="1126" xr:uid="{00000000-0005-0000-0000-00003D030000}"/>
    <cellStyle name="Vírgula 2 23 3" xfId="688" xr:uid="{00000000-0005-0000-0000-00003E030000}"/>
    <cellStyle name="Vírgula 2 23 3 2" xfId="1277" xr:uid="{00000000-0005-0000-0000-00003F030000}"/>
    <cellStyle name="Vírgula 2 23 4" xfId="987" xr:uid="{00000000-0005-0000-0000-000040030000}"/>
    <cellStyle name="Vírgula 2 24" xfId="301" xr:uid="{00000000-0005-0000-0000-000041030000}"/>
    <cellStyle name="Vírgula 2 24 2" xfId="525" xr:uid="{00000000-0005-0000-0000-000042030000}"/>
    <cellStyle name="Vírgula 2 24 2 2" xfId="829" xr:uid="{00000000-0005-0000-0000-000043030000}"/>
    <cellStyle name="Vírgula 2 24 2 2 2" xfId="1418" xr:uid="{00000000-0005-0000-0000-000044030000}"/>
    <cellStyle name="Vírgula 2 24 2 3" xfId="1128" xr:uid="{00000000-0005-0000-0000-000045030000}"/>
    <cellStyle name="Vírgula 2 24 3" xfId="690" xr:uid="{00000000-0005-0000-0000-000046030000}"/>
    <cellStyle name="Vírgula 2 24 3 2" xfId="1279" xr:uid="{00000000-0005-0000-0000-000047030000}"/>
    <cellStyle name="Vírgula 2 24 4" xfId="989" xr:uid="{00000000-0005-0000-0000-000048030000}"/>
    <cellStyle name="Vírgula 2 25" xfId="307" xr:uid="{00000000-0005-0000-0000-000049030000}"/>
    <cellStyle name="Vírgula 2 25 2" xfId="531" xr:uid="{00000000-0005-0000-0000-00004A030000}"/>
    <cellStyle name="Vírgula 2 25 2 2" xfId="835" xr:uid="{00000000-0005-0000-0000-00004B030000}"/>
    <cellStyle name="Vírgula 2 25 2 2 2" xfId="1424" xr:uid="{00000000-0005-0000-0000-00004C030000}"/>
    <cellStyle name="Vírgula 2 25 2 3" xfId="1134" xr:uid="{00000000-0005-0000-0000-00004D030000}"/>
    <cellStyle name="Vírgula 2 25 3" xfId="696" xr:uid="{00000000-0005-0000-0000-00004E030000}"/>
    <cellStyle name="Vírgula 2 25 3 2" xfId="1285" xr:uid="{00000000-0005-0000-0000-00004F030000}"/>
    <cellStyle name="Vírgula 2 25 4" xfId="995" xr:uid="{00000000-0005-0000-0000-000050030000}"/>
    <cellStyle name="Vírgula 2 26" xfId="313" xr:uid="{00000000-0005-0000-0000-000051030000}"/>
    <cellStyle name="Vírgula 2 26 2" xfId="537" xr:uid="{00000000-0005-0000-0000-000052030000}"/>
    <cellStyle name="Vírgula 2 26 2 2" xfId="841" xr:uid="{00000000-0005-0000-0000-000053030000}"/>
    <cellStyle name="Vírgula 2 26 2 2 2" xfId="1430" xr:uid="{00000000-0005-0000-0000-000054030000}"/>
    <cellStyle name="Vírgula 2 26 2 3" xfId="1140" xr:uid="{00000000-0005-0000-0000-000055030000}"/>
    <cellStyle name="Vírgula 2 26 3" xfId="702" xr:uid="{00000000-0005-0000-0000-000056030000}"/>
    <cellStyle name="Vírgula 2 26 3 2" xfId="1291" xr:uid="{00000000-0005-0000-0000-000057030000}"/>
    <cellStyle name="Vírgula 2 26 4" xfId="1001" xr:uid="{00000000-0005-0000-0000-000058030000}"/>
    <cellStyle name="Vírgula 2 27" xfId="319" xr:uid="{00000000-0005-0000-0000-000059030000}"/>
    <cellStyle name="Vírgula 2 27 2" xfId="543" xr:uid="{00000000-0005-0000-0000-00005A030000}"/>
    <cellStyle name="Vírgula 2 27 2 2" xfId="847" xr:uid="{00000000-0005-0000-0000-00005B030000}"/>
    <cellStyle name="Vírgula 2 27 2 2 2" xfId="1436" xr:uid="{00000000-0005-0000-0000-00005C030000}"/>
    <cellStyle name="Vírgula 2 27 2 3" xfId="1146" xr:uid="{00000000-0005-0000-0000-00005D030000}"/>
    <cellStyle name="Vírgula 2 27 3" xfId="708" xr:uid="{00000000-0005-0000-0000-00005E030000}"/>
    <cellStyle name="Vírgula 2 27 3 2" xfId="1297" xr:uid="{00000000-0005-0000-0000-00005F030000}"/>
    <cellStyle name="Vírgula 2 27 4" xfId="1007" xr:uid="{00000000-0005-0000-0000-000060030000}"/>
    <cellStyle name="Vírgula 2 28" xfId="325" xr:uid="{00000000-0005-0000-0000-000061030000}"/>
    <cellStyle name="Vírgula 2 28 2" xfId="549" xr:uid="{00000000-0005-0000-0000-000062030000}"/>
    <cellStyle name="Vírgula 2 28 2 2" xfId="853" xr:uid="{00000000-0005-0000-0000-000063030000}"/>
    <cellStyle name="Vírgula 2 28 2 2 2" xfId="1442" xr:uid="{00000000-0005-0000-0000-000064030000}"/>
    <cellStyle name="Vírgula 2 28 2 3" xfId="1152" xr:uid="{00000000-0005-0000-0000-000065030000}"/>
    <cellStyle name="Vírgula 2 28 3" xfId="714" xr:uid="{00000000-0005-0000-0000-000066030000}"/>
    <cellStyle name="Vírgula 2 28 3 2" xfId="1303" xr:uid="{00000000-0005-0000-0000-000067030000}"/>
    <cellStyle name="Vírgula 2 28 4" xfId="1013" xr:uid="{00000000-0005-0000-0000-000068030000}"/>
    <cellStyle name="Vírgula 2 29" xfId="331" xr:uid="{00000000-0005-0000-0000-000069030000}"/>
    <cellStyle name="Vírgula 2 29 2" xfId="555" xr:uid="{00000000-0005-0000-0000-00006A030000}"/>
    <cellStyle name="Vírgula 2 29 2 2" xfId="859" xr:uid="{00000000-0005-0000-0000-00006B030000}"/>
    <cellStyle name="Vírgula 2 29 2 2 2" xfId="1448" xr:uid="{00000000-0005-0000-0000-00006C030000}"/>
    <cellStyle name="Vírgula 2 29 2 3" xfId="1158" xr:uid="{00000000-0005-0000-0000-00006D030000}"/>
    <cellStyle name="Vírgula 2 29 3" xfId="720" xr:uid="{00000000-0005-0000-0000-00006E030000}"/>
    <cellStyle name="Vírgula 2 29 3 2" xfId="1309" xr:uid="{00000000-0005-0000-0000-00006F030000}"/>
    <cellStyle name="Vírgula 2 29 4" xfId="1019" xr:uid="{00000000-0005-0000-0000-000070030000}"/>
    <cellStyle name="Vírgula 2 3" xfId="123" xr:uid="{00000000-0005-0000-0000-000071030000}"/>
    <cellStyle name="Vírgula 2 3 10" xfId="352" xr:uid="{00000000-0005-0000-0000-000072030000}"/>
    <cellStyle name="Vírgula 2 3 10 2" xfId="576" xr:uid="{00000000-0005-0000-0000-000073030000}"/>
    <cellStyle name="Vírgula 2 3 10 2 2" xfId="873" xr:uid="{00000000-0005-0000-0000-000074030000}"/>
    <cellStyle name="Vírgula 2 3 10 2 2 2" xfId="1462" xr:uid="{00000000-0005-0000-0000-000075030000}"/>
    <cellStyle name="Vírgula 2 3 10 2 3" xfId="1172" xr:uid="{00000000-0005-0000-0000-000076030000}"/>
    <cellStyle name="Vírgula 2 3 10 3" xfId="734" xr:uid="{00000000-0005-0000-0000-000077030000}"/>
    <cellStyle name="Vírgula 2 3 10 3 2" xfId="1323" xr:uid="{00000000-0005-0000-0000-000078030000}"/>
    <cellStyle name="Vírgula 2 3 10 4" xfId="1033" xr:uid="{00000000-0005-0000-0000-000079030000}"/>
    <cellStyle name="Vírgula 2 3 11" xfId="358" xr:uid="{00000000-0005-0000-0000-00007A030000}"/>
    <cellStyle name="Vírgula 2 3 11 2" xfId="582" xr:uid="{00000000-0005-0000-0000-00007B030000}"/>
    <cellStyle name="Vírgula 2 3 11 2 2" xfId="879" xr:uid="{00000000-0005-0000-0000-00007C030000}"/>
    <cellStyle name="Vírgula 2 3 11 2 2 2" xfId="1468" xr:uid="{00000000-0005-0000-0000-00007D030000}"/>
    <cellStyle name="Vírgula 2 3 11 2 3" xfId="1178" xr:uid="{00000000-0005-0000-0000-00007E030000}"/>
    <cellStyle name="Vírgula 2 3 11 3" xfId="740" xr:uid="{00000000-0005-0000-0000-00007F030000}"/>
    <cellStyle name="Vírgula 2 3 11 3 2" xfId="1329" xr:uid="{00000000-0005-0000-0000-000080030000}"/>
    <cellStyle name="Vírgula 2 3 11 4" xfId="1039" xr:uid="{00000000-0005-0000-0000-000081030000}"/>
    <cellStyle name="Vírgula 2 3 12" xfId="370" xr:uid="{00000000-0005-0000-0000-000082030000}"/>
    <cellStyle name="Vírgula 2 3 12 2" xfId="589" xr:uid="{00000000-0005-0000-0000-000083030000}"/>
    <cellStyle name="Vírgula 2 3 12 2 2" xfId="886" xr:uid="{00000000-0005-0000-0000-000084030000}"/>
    <cellStyle name="Vírgula 2 3 12 2 2 2" xfId="1475" xr:uid="{00000000-0005-0000-0000-000085030000}"/>
    <cellStyle name="Vírgula 2 3 12 2 3" xfId="1185" xr:uid="{00000000-0005-0000-0000-000086030000}"/>
    <cellStyle name="Vírgula 2 3 12 3" xfId="747" xr:uid="{00000000-0005-0000-0000-000087030000}"/>
    <cellStyle name="Vírgula 2 3 12 3 2" xfId="1336" xr:uid="{00000000-0005-0000-0000-000088030000}"/>
    <cellStyle name="Vírgula 2 3 12 4" xfId="1046" xr:uid="{00000000-0005-0000-0000-000089030000}"/>
    <cellStyle name="Vírgula 2 3 13" xfId="391" xr:uid="{00000000-0005-0000-0000-00008A030000}"/>
    <cellStyle name="Vírgula 2 3 13 2" xfId="605" xr:uid="{00000000-0005-0000-0000-00008B030000}"/>
    <cellStyle name="Vírgula 2 3 13 2 2" xfId="899" xr:uid="{00000000-0005-0000-0000-00008C030000}"/>
    <cellStyle name="Vírgula 2 3 13 2 2 2" xfId="1488" xr:uid="{00000000-0005-0000-0000-00008D030000}"/>
    <cellStyle name="Vírgula 2 3 13 2 3" xfId="1198" xr:uid="{00000000-0005-0000-0000-00008E030000}"/>
    <cellStyle name="Vírgula 2 3 13 3" xfId="760" xr:uid="{00000000-0005-0000-0000-00008F030000}"/>
    <cellStyle name="Vírgula 2 3 13 3 2" xfId="1349" xr:uid="{00000000-0005-0000-0000-000090030000}"/>
    <cellStyle name="Vírgula 2 3 13 4" xfId="1059" xr:uid="{00000000-0005-0000-0000-000091030000}"/>
    <cellStyle name="Vírgula 2 3 14" xfId="439" xr:uid="{00000000-0005-0000-0000-000092030000}"/>
    <cellStyle name="Vírgula 2 3 14 2" xfId="775" xr:uid="{00000000-0005-0000-0000-000093030000}"/>
    <cellStyle name="Vírgula 2 3 14 2 2" xfId="1364" xr:uid="{00000000-0005-0000-0000-000094030000}"/>
    <cellStyle name="Vírgula 2 3 14 3" xfId="1074" xr:uid="{00000000-0005-0000-0000-000095030000}"/>
    <cellStyle name="Vírgula 2 3 15" xfId="629" xr:uid="{00000000-0005-0000-0000-000096030000}"/>
    <cellStyle name="Vírgula 2 3 15 2" xfId="922" xr:uid="{00000000-0005-0000-0000-000097030000}"/>
    <cellStyle name="Vírgula 2 3 15 2 2" xfId="1511" xr:uid="{00000000-0005-0000-0000-000098030000}"/>
    <cellStyle name="Vírgula 2 3 15 3" xfId="1221" xr:uid="{00000000-0005-0000-0000-000099030000}"/>
    <cellStyle name="Vírgula 2 3 2" xfId="224" xr:uid="{00000000-0005-0000-0000-00009A030000}"/>
    <cellStyle name="Vírgula 2 3 2 2" xfId="467" xr:uid="{00000000-0005-0000-0000-00009B030000}"/>
    <cellStyle name="Vírgula 2 3 2 2 2" xfId="786" xr:uid="{00000000-0005-0000-0000-00009C030000}"/>
    <cellStyle name="Vírgula 2 3 2 2 2 2" xfId="1375" xr:uid="{00000000-0005-0000-0000-00009D030000}"/>
    <cellStyle name="Vírgula 2 3 2 2 3" xfId="1085" xr:uid="{00000000-0005-0000-0000-00009E030000}"/>
    <cellStyle name="Vírgula 2 3 2 3" xfId="630" xr:uid="{00000000-0005-0000-0000-00009F030000}"/>
    <cellStyle name="Vírgula 2 3 2 3 2" xfId="923" xr:uid="{00000000-0005-0000-0000-0000A0030000}"/>
    <cellStyle name="Vírgula 2 3 2 3 2 2" xfId="1512" xr:uid="{00000000-0005-0000-0000-0000A1030000}"/>
    <cellStyle name="Vírgula 2 3 2 3 3" xfId="1222" xr:uid="{00000000-0005-0000-0000-0000A2030000}"/>
    <cellStyle name="Vírgula 2 3 3" xfId="227" xr:uid="{00000000-0005-0000-0000-0000A3030000}"/>
    <cellStyle name="Vírgula 2 3 3 2" xfId="469" xr:uid="{00000000-0005-0000-0000-0000A4030000}"/>
    <cellStyle name="Vírgula 2 3 3 2 2" xfId="788" xr:uid="{00000000-0005-0000-0000-0000A5030000}"/>
    <cellStyle name="Vírgula 2 3 3 2 2 2" xfId="1377" xr:uid="{00000000-0005-0000-0000-0000A6030000}"/>
    <cellStyle name="Vírgula 2 3 3 2 3" xfId="1087" xr:uid="{00000000-0005-0000-0000-0000A7030000}"/>
    <cellStyle name="Vírgula 2 3 4" xfId="304" xr:uid="{00000000-0005-0000-0000-0000A8030000}"/>
    <cellStyle name="Vírgula 2 3 4 2" xfId="528" xr:uid="{00000000-0005-0000-0000-0000A9030000}"/>
    <cellStyle name="Vírgula 2 3 4 2 2" xfId="832" xr:uid="{00000000-0005-0000-0000-0000AA030000}"/>
    <cellStyle name="Vírgula 2 3 4 2 2 2" xfId="1421" xr:uid="{00000000-0005-0000-0000-0000AB030000}"/>
    <cellStyle name="Vírgula 2 3 4 2 3" xfId="1131" xr:uid="{00000000-0005-0000-0000-0000AC030000}"/>
    <cellStyle name="Vírgula 2 3 4 3" xfId="693" xr:uid="{00000000-0005-0000-0000-0000AD030000}"/>
    <cellStyle name="Vírgula 2 3 4 3 2" xfId="1282" xr:uid="{00000000-0005-0000-0000-0000AE030000}"/>
    <cellStyle name="Vírgula 2 3 4 4" xfId="992" xr:uid="{00000000-0005-0000-0000-0000AF030000}"/>
    <cellStyle name="Vírgula 2 3 5" xfId="310" xr:uid="{00000000-0005-0000-0000-0000B0030000}"/>
    <cellStyle name="Vírgula 2 3 5 2" xfId="534" xr:uid="{00000000-0005-0000-0000-0000B1030000}"/>
    <cellStyle name="Vírgula 2 3 5 2 2" xfId="838" xr:uid="{00000000-0005-0000-0000-0000B2030000}"/>
    <cellStyle name="Vírgula 2 3 5 2 2 2" xfId="1427" xr:uid="{00000000-0005-0000-0000-0000B3030000}"/>
    <cellStyle name="Vírgula 2 3 5 2 3" xfId="1137" xr:uid="{00000000-0005-0000-0000-0000B4030000}"/>
    <cellStyle name="Vírgula 2 3 5 3" xfId="699" xr:uid="{00000000-0005-0000-0000-0000B5030000}"/>
    <cellStyle name="Vírgula 2 3 5 3 2" xfId="1288" xr:uid="{00000000-0005-0000-0000-0000B6030000}"/>
    <cellStyle name="Vírgula 2 3 5 4" xfId="998" xr:uid="{00000000-0005-0000-0000-0000B7030000}"/>
    <cellStyle name="Vírgula 2 3 6" xfId="316" xr:uid="{00000000-0005-0000-0000-0000B8030000}"/>
    <cellStyle name="Vírgula 2 3 6 2" xfId="540" xr:uid="{00000000-0005-0000-0000-0000B9030000}"/>
    <cellStyle name="Vírgula 2 3 6 2 2" xfId="844" xr:uid="{00000000-0005-0000-0000-0000BA030000}"/>
    <cellStyle name="Vírgula 2 3 6 2 2 2" xfId="1433" xr:uid="{00000000-0005-0000-0000-0000BB030000}"/>
    <cellStyle name="Vírgula 2 3 6 2 3" xfId="1143" xr:uid="{00000000-0005-0000-0000-0000BC030000}"/>
    <cellStyle name="Vírgula 2 3 6 3" xfId="705" xr:uid="{00000000-0005-0000-0000-0000BD030000}"/>
    <cellStyle name="Vírgula 2 3 6 3 2" xfId="1294" xr:uid="{00000000-0005-0000-0000-0000BE030000}"/>
    <cellStyle name="Vírgula 2 3 6 4" xfId="1004" xr:uid="{00000000-0005-0000-0000-0000BF030000}"/>
    <cellStyle name="Vírgula 2 3 7" xfId="322" xr:uid="{00000000-0005-0000-0000-0000C0030000}"/>
    <cellStyle name="Vírgula 2 3 7 2" xfId="546" xr:uid="{00000000-0005-0000-0000-0000C1030000}"/>
    <cellStyle name="Vírgula 2 3 7 2 2" xfId="850" xr:uid="{00000000-0005-0000-0000-0000C2030000}"/>
    <cellStyle name="Vírgula 2 3 7 2 2 2" xfId="1439" xr:uid="{00000000-0005-0000-0000-0000C3030000}"/>
    <cellStyle name="Vírgula 2 3 7 2 3" xfId="1149" xr:uid="{00000000-0005-0000-0000-0000C4030000}"/>
    <cellStyle name="Vírgula 2 3 7 3" xfId="711" xr:uid="{00000000-0005-0000-0000-0000C5030000}"/>
    <cellStyle name="Vírgula 2 3 7 3 2" xfId="1300" xr:uid="{00000000-0005-0000-0000-0000C6030000}"/>
    <cellStyle name="Vírgula 2 3 7 4" xfId="1010" xr:uid="{00000000-0005-0000-0000-0000C7030000}"/>
    <cellStyle name="Vírgula 2 3 8" xfId="328" xr:uid="{00000000-0005-0000-0000-0000C8030000}"/>
    <cellStyle name="Vírgula 2 3 8 2" xfId="552" xr:uid="{00000000-0005-0000-0000-0000C9030000}"/>
    <cellStyle name="Vírgula 2 3 8 2 2" xfId="856" xr:uid="{00000000-0005-0000-0000-0000CA030000}"/>
    <cellStyle name="Vírgula 2 3 8 2 2 2" xfId="1445" xr:uid="{00000000-0005-0000-0000-0000CB030000}"/>
    <cellStyle name="Vírgula 2 3 8 2 3" xfId="1155" xr:uid="{00000000-0005-0000-0000-0000CC030000}"/>
    <cellStyle name="Vírgula 2 3 8 3" xfId="717" xr:uid="{00000000-0005-0000-0000-0000CD030000}"/>
    <cellStyle name="Vírgula 2 3 8 3 2" xfId="1306" xr:uid="{00000000-0005-0000-0000-0000CE030000}"/>
    <cellStyle name="Vírgula 2 3 8 4" xfId="1016" xr:uid="{00000000-0005-0000-0000-0000CF030000}"/>
    <cellStyle name="Vírgula 2 3 9" xfId="334" xr:uid="{00000000-0005-0000-0000-0000D0030000}"/>
    <cellStyle name="Vírgula 2 3 9 2" xfId="558" xr:uid="{00000000-0005-0000-0000-0000D1030000}"/>
    <cellStyle name="Vírgula 2 3 9 2 2" xfId="862" xr:uid="{00000000-0005-0000-0000-0000D2030000}"/>
    <cellStyle name="Vírgula 2 3 9 2 2 2" xfId="1451" xr:uid="{00000000-0005-0000-0000-0000D3030000}"/>
    <cellStyle name="Vírgula 2 3 9 2 3" xfId="1161" xr:uid="{00000000-0005-0000-0000-0000D4030000}"/>
    <cellStyle name="Vírgula 2 3 9 3" xfId="723" xr:uid="{00000000-0005-0000-0000-0000D5030000}"/>
    <cellStyle name="Vírgula 2 3 9 3 2" xfId="1312" xr:uid="{00000000-0005-0000-0000-0000D6030000}"/>
    <cellStyle name="Vírgula 2 3 9 4" xfId="1022" xr:uid="{00000000-0005-0000-0000-0000D7030000}"/>
    <cellStyle name="Vírgula 2 30" xfId="339" xr:uid="{00000000-0005-0000-0000-0000D8030000}"/>
    <cellStyle name="Vírgula 2 30 2" xfId="563" xr:uid="{00000000-0005-0000-0000-0000D9030000}"/>
    <cellStyle name="Vírgula 2 30 2 2" xfId="865" xr:uid="{00000000-0005-0000-0000-0000DA030000}"/>
    <cellStyle name="Vírgula 2 30 2 2 2" xfId="1454" xr:uid="{00000000-0005-0000-0000-0000DB030000}"/>
    <cellStyle name="Vírgula 2 30 2 3" xfId="1164" xr:uid="{00000000-0005-0000-0000-0000DC030000}"/>
    <cellStyle name="Vírgula 2 30 3" xfId="726" xr:uid="{00000000-0005-0000-0000-0000DD030000}"/>
    <cellStyle name="Vírgula 2 30 3 2" xfId="1315" xr:uid="{00000000-0005-0000-0000-0000DE030000}"/>
    <cellStyle name="Vírgula 2 30 4" xfId="1025" xr:uid="{00000000-0005-0000-0000-0000DF030000}"/>
    <cellStyle name="Vírgula 2 31" xfId="342" xr:uid="{00000000-0005-0000-0000-0000E0030000}"/>
    <cellStyle name="Vírgula 2 31 2" xfId="566" xr:uid="{00000000-0005-0000-0000-0000E1030000}"/>
    <cellStyle name="Vírgula 2 31 2 2" xfId="867" xr:uid="{00000000-0005-0000-0000-0000E2030000}"/>
    <cellStyle name="Vírgula 2 31 2 2 2" xfId="1456" xr:uid="{00000000-0005-0000-0000-0000E3030000}"/>
    <cellStyle name="Vírgula 2 31 2 3" xfId="1166" xr:uid="{00000000-0005-0000-0000-0000E4030000}"/>
    <cellStyle name="Vírgula 2 31 3" xfId="728" xr:uid="{00000000-0005-0000-0000-0000E5030000}"/>
    <cellStyle name="Vírgula 2 31 3 2" xfId="1317" xr:uid="{00000000-0005-0000-0000-0000E6030000}"/>
    <cellStyle name="Vírgula 2 31 4" xfId="1027" xr:uid="{00000000-0005-0000-0000-0000E7030000}"/>
    <cellStyle name="Vírgula 2 32" xfId="345" xr:uid="{00000000-0005-0000-0000-0000E8030000}"/>
    <cellStyle name="Vírgula 2 32 2" xfId="569" xr:uid="{00000000-0005-0000-0000-0000E9030000}"/>
    <cellStyle name="Vírgula 2 32 2 2" xfId="868" xr:uid="{00000000-0005-0000-0000-0000EA030000}"/>
    <cellStyle name="Vírgula 2 32 2 2 2" xfId="1457" xr:uid="{00000000-0005-0000-0000-0000EB030000}"/>
    <cellStyle name="Vírgula 2 32 2 3" xfId="1167" xr:uid="{00000000-0005-0000-0000-0000EC030000}"/>
    <cellStyle name="Vírgula 2 32 3" xfId="729" xr:uid="{00000000-0005-0000-0000-0000ED030000}"/>
    <cellStyle name="Vírgula 2 32 3 2" xfId="1318" xr:uid="{00000000-0005-0000-0000-0000EE030000}"/>
    <cellStyle name="Vírgula 2 32 4" xfId="1028" xr:uid="{00000000-0005-0000-0000-0000EF030000}"/>
    <cellStyle name="Vírgula 2 33" xfId="348" xr:uid="{00000000-0005-0000-0000-0000F0030000}"/>
    <cellStyle name="Vírgula 2 33 2" xfId="572" xr:uid="{00000000-0005-0000-0000-0000F1030000}"/>
    <cellStyle name="Vírgula 2 33 2 2" xfId="869" xr:uid="{00000000-0005-0000-0000-0000F2030000}"/>
    <cellStyle name="Vírgula 2 33 2 2 2" xfId="1458" xr:uid="{00000000-0005-0000-0000-0000F3030000}"/>
    <cellStyle name="Vírgula 2 33 2 3" xfId="1168" xr:uid="{00000000-0005-0000-0000-0000F4030000}"/>
    <cellStyle name="Vírgula 2 33 3" xfId="730" xr:uid="{00000000-0005-0000-0000-0000F5030000}"/>
    <cellStyle name="Vírgula 2 33 3 2" xfId="1319" xr:uid="{00000000-0005-0000-0000-0000F6030000}"/>
    <cellStyle name="Vírgula 2 33 4" xfId="1029" xr:uid="{00000000-0005-0000-0000-0000F7030000}"/>
    <cellStyle name="Vírgula 2 34" xfId="349" xr:uid="{00000000-0005-0000-0000-0000F8030000}"/>
    <cellStyle name="Vírgula 2 34 2" xfId="573" xr:uid="{00000000-0005-0000-0000-0000F9030000}"/>
    <cellStyle name="Vírgula 2 34 2 2" xfId="870" xr:uid="{00000000-0005-0000-0000-0000FA030000}"/>
    <cellStyle name="Vírgula 2 34 2 2 2" xfId="1459" xr:uid="{00000000-0005-0000-0000-0000FB030000}"/>
    <cellStyle name="Vírgula 2 34 2 3" xfId="1169" xr:uid="{00000000-0005-0000-0000-0000FC030000}"/>
    <cellStyle name="Vírgula 2 34 3" xfId="731" xr:uid="{00000000-0005-0000-0000-0000FD030000}"/>
    <cellStyle name="Vírgula 2 34 3 2" xfId="1320" xr:uid="{00000000-0005-0000-0000-0000FE030000}"/>
    <cellStyle name="Vírgula 2 34 4" xfId="1030" xr:uid="{00000000-0005-0000-0000-0000FF030000}"/>
    <cellStyle name="Vírgula 2 35" xfId="355" xr:uid="{00000000-0005-0000-0000-000000040000}"/>
    <cellStyle name="Vírgula 2 35 2" xfId="579" xr:uid="{00000000-0005-0000-0000-000001040000}"/>
    <cellStyle name="Vírgula 2 35 2 2" xfId="876" xr:uid="{00000000-0005-0000-0000-000002040000}"/>
    <cellStyle name="Vírgula 2 35 2 2 2" xfId="1465" xr:uid="{00000000-0005-0000-0000-000003040000}"/>
    <cellStyle name="Vírgula 2 35 2 3" xfId="1175" xr:uid="{00000000-0005-0000-0000-000004040000}"/>
    <cellStyle name="Vírgula 2 35 3" xfId="737" xr:uid="{00000000-0005-0000-0000-000005040000}"/>
    <cellStyle name="Vírgula 2 35 3 2" xfId="1326" xr:uid="{00000000-0005-0000-0000-000006040000}"/>
    <cellStyle name="Vírgula 2 35 4" xfId="1036" xr:uid="{00000000-0005-0000-0000-000007040000}"/>
    <cellStyle name="Vírgula 2 36" xfId="361" xr:uid="{00000000-0005-0000-0000-000008040000}"/>
    <cellStyle name="Vírgula 2 36 2" xfId="585" xr:uid="{00000000-0005-0000-0000-000009040000}"/>
    <cellStyle name="Vírgula 2 36 2 2" xfId="882" xr:uid="{00000000-0005-0000-0000-00000A040000}"/>
    <cellStyle name="Vírgula 2 36 2 2 2" xfId="1471" xr:uid="{00000000-0005-0000-0000-00000B040000}"/>
    <cellStyle name="Vírgula 2 36 2 3" xfId="1181" xr:uid="{00000000-0005-0000-0000-00000C040000}"/>
    <cellStyle name="Vírgula 2 36 3" xfId="743" xr:uid="{00000000-0005-0000-0000-00000D040000}"/>
    <cellStyle name="Vírgula 2 36 3 2" xfId="1332" xr:uid="{00000000-0005-0000-0000-00000E040000}"/>
    <cellStyle name="Vírgula 2 36 4" xfId="1042" xr:uid="{00000000-0005-0000-0000-00000F040000}"/>
    <cellStyle name="Vírgula 2 37" xfId="367" xr:uid="{00000000-0005-0000-0000-000010040000}"/>
    <cellStyle name="Vírgula 2 37 2" xfId="586" xr:uid="{00000000-0005-0000-0000-000011040000}"/>
    <cellStyle name="Vírgula 2 37 2 2" xfId="883" xr:uid="{00000000-0005-0000-0000-000012040000}"/>
    <cellStyle name="Vírgula 2 37 2 2 2" xfId="1472" xr:uid="{00000000-0005-0000-0000-000013040000}"/>
    <cellStyle name="Vírgula 2 37 2 3" xfId="1182" xr:uid="{00000000-0005-0000-0000-000014040000}"/>
    <cellStyle name="Vírgula 2 37 3" xfId="744" xr:uid="{00000000-0005-0000-0000-000015040000}"/>
    <cellStyle name="Vírgula 2 37 3 2" xfId="1333" xr:uid="{00000000-0005-0000-0000-000016040000}"/>
    <cellStyle name="Vírgula 2 37 4" xfId="1043" xr:uid="{00000000-0005-0000-0000-000017040000}"/>
    <cellStyle name="Vírgula 2 38" xfId="379" xr:uid="{00000000-0005-0000-0000-000018040000}"/>
    <cellStyle name="Vírgula 2 38 2" xfId="598" xr:uid="{00000000-0005-0000-0000-000019040000}"/>
    <cellStyle name="Vírgula 2 38 2 2" xfId="893" xr:uid="{00000000-0005-0000-0000-00001A040000}"/>
    <cellStyle name="Vírgula 2 38 2 2 2" xfId="1482" xr:uid="{00000000-0005-0000-0000-00001B040000}"/>
    <cellStyle name="Vírgula 2 38 2 3" xfId="1192" xr:uid="{00000000-0005-0000-0000-00001C040000}"/>
    <cellStyle name="Vírgula 2 38 3" xfId="754" xr:uid="{00000000-0005-0000-0000-00001D040000}"/>
    <cellStyle name="Vírgula 2 38 3 2" xfId="1343" xr:uid="{00000000-0005-0000-0000-00001E040000}"/>
    <cellStyle name="Vírgula 2 38 4" xfId="1053" xr:uid="{00000000-0005-0000-0000-00001F040000}"/>
    <cellStyle name="Vírgula 2 39" xfId="388" xr:uid="{00000000-0005-0000-0000-000020040000}"/>
    <cellStyle name="Vírgula 2 39 2" xfId="602" xr:uid="{00000000-0005-0000-0000-000021040000}"/>
    <cellStyle name="Vírgula 2 39 2 2" xfId="896" xr:uid="{00000000-0005-0000-0000-000022040000}"/>
    <cellStyle name="Vírgula 2 39 2 2 2" xfId="1485" xr:uid="{00000000-0005-0000-0000-000023040000}"/>
    <cellStyle name="Vírgula 2 39 2 3" xfId="1195" xr:uid="{00000000-0005-0000-0000-000024040000}"/>
    <cellStyle name="Vírgula 2 39 3" xfId="757" xr:uid="{00000000-0005-0000-0000-000025040000}"/>
    <cellStyle name="Vírgula 2 39 3 2" xfId="1346" xr:uid="{00000000-0005-0000-0000-000026040000}"/>
    <cellStyle name="Vírgula 2 39 4" xfId="1056" xr:uid="{00000000-0005-0000-0000-000027040000}"/>
    <cellStyle name="Vírgula 2 4" xfId="165" xr:uid="{00000000-0005-0000-0000-000028040000}"/>
    <cellStyle name="Vírgula 2 4 2" xfId="371" xr:uid="{00000000-0005-0000-0000-000029040000}"/>
    <cellStyle name="Vírgula 2 4 2 2" xfId="590" xr:uid="{00000000-0005-0000-0000-00002A040000}"/>
    <cellStyle name="Vírgula 2 4 2 2 2" xfId="887" xr:uid="{00000000-0005-0000-0000-00002B040000}"/>
    <cellStyle name="Vírgula 2 4 2 2 2 2" xfId="1476" xr:uid="{00000000-0005-0000-0000-00002C040000}"/>
    <cellStyle name="Vírgula 2 4 2 2 3" xfId="1186" xr:uid="{00000000-0005-0000-0000-00002D040000}"/>
    <cellStyle name="Vírgula 2 4 2 3" xfId="632" xr:uid="{00000000-0005-0000-0000-00002E040000}"/>
    <cellStyle name="Vírgula 2 4 2 3 2" xfId="925" xr:uid="{00000000-0005-0000-0000-00002F040000}"/>
    <cellStyle name="Vírgula 2 4 2 3 2 2" xfId="1514" xr:uid="{00000000-0005-0000-0000-000030040000}"/>
    <cellStyle name="Vírgula 2 4 2 3 3" xfId="1224" xr:uid="{00000000-0005-0000-0000-000031040000}"/>
    <cellStyle name="Vírgula 2 4 2 4" xfId="748" xr:uid="{00000000-0005-0000-0000-000032040000}"/>
    <cellStyle name="Vírgula 2 4 2 4 2" xfId="1337" xr:uid="{00000000-0005-0000-0000-000033040000}"/>
    <cellStyle name="Vírgula 2 4 2 5" xfId="1047" xr:uid="{00000000-0005-0000-0000-000034040000}"/>
    <cellStyle name="Vírgula 2 4 3" xfId="392" xr:uid="{00000000-0005-0000-0000-000035040000}"/>
    <cellStyle name="Vírgula 2 4 3 2" xfId="606" xr:uid="{00000000-0005-0000-0000-000036040000}"/>
    <cellStyle name="Vírgula 2 4 3 2 2" xfId="900" xr:uid="{00000000-0005-0000-0000-000037040000}"/>
    <cellStyle name="Vírgula 2 4 3 2 2 2" xfId="1489" xr:uid="{00000000-0005-0000-0000-000038040000}"/>
    <cellStyle name="Vírgula 2 4 3 2 3" xfId="1199" xr:uid="{00000000-0005-0000-0000-000039040000}"/>
    <cellStyle name="Vírgula 2 4 3 3" xfId="761" xr:uid="{00000000-0005-0000-0000-00003A040000}"/>
    <cellStyle name="Vírgula 2 4 3 3 2" xfId="1350" xr:uid="{00000000-0005-0000-0000-00003B040000}"/>
    <cellStyle name="Vírgula 2 4 3 4" xfId="1060" xr:uid="{00000000-0005-0000-0000-00003C040000}"/>
    <cellStyle name="Vírgula 2 4 4" xfId="446" xr:uid="{00000000-0005-0000-0000-00003D040000}"/>
    <cellStyle name="Vírgula 2 4 4 2" xfId="778" xr:uid="{00000000-0005-0000-0000-00003E040000}"/>
    <cellStyle name="Vírgula 2 4 4 2 2" xfId="1367" xr:uid="{00000000-0005-0000-0000-00003F040000}"/>
    <cellStyle name="Vírgula 2 4 4 3" xfId="1077" xr:uid="{00000000-0005-0000-0000-000040040000}"/>
    <cellStyle name="Vírgula 2 4 5" xfId="631" xr:uid="{00000000-0005-0000-0000-000041040000}"/>
    <cellStyle name="Vírgula 2 4 5 2" xfId="924" xr:uid="{00000000-0005-0000-0000-000042040000}"/>
    <cellStyle name="Vírgula 2 4 5 2 2" xfId="1513" xr:uid="{00000000-0005-0000-0000-000043040000}"/>
    <cellStyle name="Vírgula 2 4 5 3" xfId="1223" xr:uid="{00000000-0005-0000-0000-000044040000}"/>
    <cellStyle name="Vírgula 2 40" xfId="624" xr:uid="{00000000-0005-0000-0000-000045040000}"/>
    <cellStyle name="Vírgula 2 40 2" xfId="917" xr:uid="{00000000-0005-0000-0000-000046040000}"/>
    <cellStyle name="Vírgula 2 40 2 2" xfId="1506" xr:uid="{00000000-0005-0000-0000-000047040000}"/>
    <cellStyle name="Vírgula 2 40 3" xfId="1216" xr:uid="{00000000-0005-0000-0000-000048040000}"/>
    <cellStyle name="Vírgula 2 5" xfId="201" xr:uid="{00000000-0005-0000-0000-000049040000}"/>
    <cellStyle name="Vírgula 2 5 10" xfId="311" xr:uid="{00000000-0005-0000-0000-00004A040000}"/>
    <cellStyle name="Vírgula 2 5 10 2" xfId="535" xr:uid="{00000000-0005-0000-0000-00004B040000}"/>
    <cellStyle name="Vírgula 2 5 10 2 2" xfId="839" xr:uid="{00000000-0005-0000-0000-00004C040000}"/>
    <cellStyle name="Vírgula 2 5 10 2 2 2" xfId="1428" xr:uid="{00000000-0005-0000-0000-00004D040000}"/>
    <cellStyle name="Vírgula 2 5 10 2 3" xfId="1138" xr:uid="{00000000-0005-0000-0000-00004E040000}"/>
    <cellStyle name="Vírgula 2 5 10 3" xfId="700" xr:uid="{00000000-0005-0000-0000-00004F040000}"/>
    <cellStyle name="Vírgula 2 5 10 3 2" xfId="1289" xr:uid="{00000000-0005-0000-0000-000050040000}"/>
    <cellStyle name="Vírgula 2 5 10 4" xfId="999" xr:uid="{00000000-0005-0000-0000-000051040000}"/>
    <cellStyle name="Vírgula 2 5 11" xfId="317" xr:uid="{00000000-0005-0000-0000-000052040000}"/>
    <cellStyle name="Vírgula 2 5 11 2" xfId="541" xr:uid="{00000000-0005-0000-0000-000053040000}"/>
    <cellStyle name="Vírgula 2 5 11 2 2" xfId="845" xr:uid="{00000000-0005-0000-0000-000054040000}"/>
    <cellStyle name="Vírgula 2 5 11 2 2 2" xfId="1434" xr:uid="{00000000-0005-0000-0000-000055040000}"/>
    <cellStyle name="Vírgula 2 5 11 2 3" xfId="1144" xr:uid="{00000000-0005-0000-0000-000056040000}"/>
    <cellStyle name="Vírgula 2 5 11 3" xfId="706" xr:uid="{00000000-0005-0000-0000-000057040000}"/>
    <cellStyle name="Vírgula 2 5 11 3 2" xfId="1295" xr:uid="{00000000-0005-0000-0000-000058040000}"/>
    <cellStyle name="Vírgula 2 5 11 4" xfId="1005" xr:uid="{00000000-0005-0000-0000-000059040000}"/>
    <cellStyle name="Vírgula 2 5 12" xfId="323" xr:uid="{00000000-0005-0000-0000-00005A040000}"/>
    <cellStyle name="Vírgula 2 5 12 2" xfId="547" xr:uid="{00000000-0005-0000-0000-00005B040000}"/>
    <cellStyle name="Vírgula 2 5 12 2 2" xfId="851" xr:uid="{00000000-0005-0000-0000-00005C040000}"/>
    <cellStyle name="Vírgula 2 5 12 2 2 2" xfId="1440" xr:uid="{00000000-0005-0000-0000-00005D040000}"/>
    <cellStyle name="Vírgula 2 5 12 2 3" xfId="1150" xr:uid="{00000000-0005-0000-0000-00005E040000}"/>
    <cellStyle name="Vírgula 2 5 12 3" xfId="712" xr:uid="{00000000-0005-0000-0000-00005F040000}"/>
    <cellStyle name="Vírgula 2 5 12 3 2" xfId="1301" xr:uid="{00000000-0005-0000-0000-000060040000}"/>
    <cellStyle name="Vírgula 2 5 12 4" xfId="1011" xr:uid="{00000000-0005-0000-0000-000061040000}"/>
    <cellStyle name="Vírgula 2 5 13" xfId="329" xr:uid="{00000000-0005-0000-0000-000062040000}"/>
    <cellStyle name="Vírgula 2 5 13 2" xfId="553" xr:uid="{00000000-0005-0000-0000-000063040000}"/>
    <cellStyle name="Vírgula 2 5 13 2 2" xfId="857" xr:uid="{00000000-0005-0000-0000-000064040000}"/>
    <cellStyle name="Vírgula 2 5 13 2 2 2" xfId="1446" xr:uid="{00000000-0005-0000-0000-000065040000}"/>
    <cellStyle name="Vírgula 2 5 13 2 3" xfId="1156" xr:uid="{00000000-0005-0000-0000-000066040000}"/>
    <cellStyle name="Vírgula 2 5 13 3" xfId="718" xr:uid="{00000000-0005-0000-0000-000067040000}"/>
    <cellStyle name="Vírgula 2 5 13 3 2" xfId="1307" xr:uid="{00000000-0005-0000-0000-000068040000}"/>
    <cellStyle name="Vírgula 2 5 13 4" xfId="1017" xr:uid="{00000000-0005-0000-0000-000069040000}"/>
    <cellStyle name="Vírgula 2 5 14" xfId="335" xr:uid="{00000000-0005-0000-0000-00006A040000}"/>
    <cellStyle name="Vírgula 2 5 14 2" xfId="559" xr:uid="{00000000-0005-0000-0000-00006B040000}"/>
    <cellStyle name="Vírgula 2 5 14 2 2" xfId="863" xr:uid="{00000000-0005-0000-0000-00006C040000}"/>
    <cellStyle name="Vírgula 2 5 14 2 2 2" xfId="1452" xr:uid="{00000000-0005-0000-0000-00006D040000}"/>
    <cellStyle name="Vírgula 2 5 14 2 3" xfId="1162" xr:uid="{00000000-0005-0000-0000-00006E040000}"/>
    <cellStyle name="Vírgula 2 5 14 3" xfId="724" xr:uid="{00000000-0005-0000-0000-00006F040000}"/>
    <cellStyle name="Vírgula 2 5 14 3 2" xfId="1313" xr:uid="{00000000-0005-0000-0000-000070040000}"/>
    <cellStyle name="Vírgula 2 5 14 4" xfId="1023" xr:uid="{00000000-0005-0000-0000-000071040000}"/>
    <cellStyle name="Vírgula 2 5 15" xfId="353" xr:uid="{00000000-0005-0000-0000-000072040000}"/>
    <cellStyle name="Vírgula 2 5 15 2" xfId="577" xr:uid="{00000000-0005-0000-0000-000073040000}"/>
    <cellStyle name="Vírgula 2 5 15 2 2" xfId="874" xr:uid="{00000000-0005-0000-0000-000074040000}"/>
    <cellStyle name="Vírgula 2 5 15 2 2 2" xfId="1463" xr:uid="{00000000-0005-0000-0000-000075040000}"/>
    <cellStyle name="Vírgula 2 5 15 2 3" xfId="1173" xr:uid="{00000000-0005-0000-0000-000076040000}"/>
    <cellStyle name="Vírgula 2 5 15 3" xfId="735" xr:uid="{00000000-0005-0000-0000-000077040000}"/>
    <cellStyle name="Vírgula 2 5 15 3 2" xfId="1324" xr:uid="{00000000-0005-0000-0000-000078040000}"/>
    <cellStyle name="Vírgula 2 5 15 4" xfId="1034" xr:uid="{00000000-0005-0000-0000-000079040000}"/>
    <cellStyle name="Vírgula 2 5 16" xfId="359" xr:uid="{00000000-0005-0000-0000-00007A040000}"/>
    <cellStyle name="Vírgula 2 5 16 2" xfId="583" xr:uid="{00000000-0005-0000-0000-00007B040000}"/>
    <cellStyle name="Vírgula 2 5 16 2 2" xfId="880" xr:uid="{00000000-0005-0000-0000-00007C040000}"/>
    <cellStyle name="Vírgula 2 5 16 2 2 2" xfId="1469" xr:uid="{00000000-0005-0000-0000-00007D040000}"/>
    <cellStyle name="Vírgula 2 5 16 2 3" xfId="1179" xr:uid="{00000000-0005-0000-0000-00007E040000}"/>
    <cellStyle name="Vírgula 2 5 16 3" xfId="741" xr:uid="{00000000-0005-0000-0000-00007F040000}"/>
    <cellStyle name="Vírgula 2 5 16 3 2" xfId="1330" xr:uid="{00000000-0005-0000-0000-000080040000}"/>
    <cellStyle name="Vírgula 2 5 16 4" xfId="1040" xr:uid="{00000000-0005-0000-0000-000081040000}"/>
    <cellStyle name="Vírgula 2 5 17" xfId="372" xr:uid="{00000000-0005-0000-0000-000082040000}"/>
    <cellStyle name="Vírgula 2 5 17 2" xfId="591" xr:uid="{00000000-0005-0000-0000-000083040000}"/>
    <cellStyle name="Vírgula 2 5 17 2 2" xfId="888" xr:uid="{00000000-0005-0000-0000-000084040000}"/>
    <cellStyle name="Vírgula 2 5 17 2 2 2" xfId="1477" xr:uid="{00000000-0005-0000-0000-000085040000}"/>
    <cellStyle name="Vírgula 2 5 17 2 3" xfId="1187" xr:uid="{00000000-0005-0000-0000-000086040000}"/>
    <cellStyle name="Vírgula 2 5 17 3" xfId="749" xr:uid="{00000000-0005-0000-0000-000087040000}"/>
    <cellStyle name="Vírgula 2 5 17 3 2" xfId="1338" xr:uid="{00000000-0005-0000-0000-000088040000}"/>
    <cellStyle name="Vírgula 2 5 17 4" xfId="1048" xr:uid="{00000000-0005-0000-0000-000089040000}"/>
    <cellStyle name="Vírgula 2 5 18" xfId="393" xr:uid="{00000000-0005-0000-0000-00008A040000}"/>
    <cellStyle name="Vírgula 2 5 18 2" xfId="607" xr:uid="{00000000-0005-0000-0000-00008B040000}"/>
    <cellStyle name="Vírgula 2 5 18 2 2" xfId="901" xr:uid="{00000000-0005-0000-0000-00008C040000}"/>
    <cellStyle name="Vírgula 2 5 18 2 2 2" xfId="1490" xr:uid="{00000000-0005-0000-0000-00008D040000}"/>
    <cellStyle name="Vírgula 2 5 18 2 3" xfId="1200" xr:uid="{00000000-0005-0000-0000-00008E040000}"/>
    <cellStyle name="Vírgula 2 5 18 3" xfId="762" xr:uid="{00000000-0005-0000-0000-00008F040000}"/>
    <cellStyle name="Vírgula 2 5 18 3 2" xfId="1351" xr:uid="{00000000-0005-0000-0000-000090040000}"/>
    <cellStyle name="Vírgula 2 5 18 4" xfId="1061" xr:uid="{00000000-0005-0000-0000-000091040000}"/>
    <cellStyle name="Vírgula 2 5 19" xfId="456" xr:uid="{00000000-0005-0000-0000-000092040000}"/>
    <cellStyle name="Vírgula 2 5 19 2" xfId="779" xr:uid="{00000000-0005-0000-0000-000093040000}"/>
    <cellStyle name="Vírgula 2 5 19 2 2" xfId="1368" xr:uid="{00000000-0005-0000-0000-000094040000}"/>
    <cellStyle name="Vírgula 2 5 19 3" xfId="1078" xr:uid="{00000000-0005-0000-0000-000095040000}"/>
    <cellStyle name="Vírgula 2 5 2" xfId="258" xr:uid="{00000000-0005-0000-0000-000096040000}"/>
    <cellStyle name="Vírgula 2 5 2 2" xfId="488" xr:uid="{00000000-0005-0000-0000-000097040000}"/>
    <cellStyle name="Vírgula 2 5 2 2 2" xfId="801" xr:uid="{00000000-0005-0000-0000-000098040000}"/>
    <cellStyle name="Vírgula 2 5 2 2 2 2" xfId="1390" xr:uid="{00000000-0005-0000-0000-000099040000}"/>
    <cellStyle name="Vírgula 2 5 2 2 3" xfId="1100" xr:uid="{00000000-0005-0000-0000-00009A040000}"/>
    <cellStyle name="Vírgula 2 5 2 3" xfId="634" xr:uid="{00000000-0005-0000-0000-00009B040000}"/>
    <cellStyle name="Vírgula 2 5 2 3 2" xfId="927" xr:uid="{00000000-0005-0000-0000-00009C040000}"/>
    <cellStyle name="Vírgula 2 5 2 3 2 2" xfId="1516" xr:uid="{00000000-0005-0000-0000-00009D040000}"/>
    <cellStyle name="Vírgula 2 5 2 3 3" xfId="1226" xr:uid="{00000000-0005-0000-0000-00009E040000}"/>
    <cellStyle name="Vírgula 2 5 2 4" xfId="662" xr:uid="{00000000-0005-0000-0000-00009F040000}"/>
    <cellStyle name="Vírgula 2 5 2 4 2" xfId="1251" xr:uid="{00000000-0005-0000-0000-0000A0040000}"/>
    <cellStyle name="Vírgula 2 5 2 5" xfId="960" xr:uid="{00000000-0005-0000-0000-0000A1040000}"/>
    <cellStyle name="Vírgula 2 5 20" xfId="633" xr:uid="{00000000-0005-0000-0000-0000A2040000}"/>
    <cellStyle name="Vírgula 2 5 20 2" xfId="926" xr:uid="{00000000-0005-0000-0000-0000A3040000}"/>
    <cellStyle name="Vírgula 2 5 20 2 2" xfId="1515" xr:uid="{00000000-0005-0000-0000-0000A4040000}"/>
    <cellStyle name="Vírgula 2 5 20 3" xfId="1225" xr:uid="{00000000-0005-0000-0000-0000A5040000}"/>
    <cellStyle name="Vírgula 2 5 3" xfId="261" xr:uid="{00000000-0005-0000-0000-0000A6040000}"/>
    <cellStyle name="Vírgula 2 5 3 2" xfId="491" xr:uid="{00000000-0005-0000-0000-0000A7040000}"/>
    <cellStyle name="Vírgula 2 5 3 2 2" xfId="804" xr:uid="{00000000-0005-0000-0000-0000A8040000}"/>
    <cellStyle name="Vírgula 2 5 3 2 2 2" xfId="1393" xr:uid="{00000000-0005-0000-0000-0000A9040000}"/>
    <cellStyle name="Vírgula 2 5 3 2 3" xfId="1103" xr:uid="{00000000-0005-0000-0000-0000AA040000}"/>
    <cellStyle name="Vírgula 2 5 3 3" xfId="665" xr:uid="{00000000-0005-0000-0000-0000AB040000}"/>
    <cellStyle name="Vírgula 2 5 3 3 2" xfId="1254" xr:uid="{00000000-0005-0000-0000-0000AC040000}"/>
    <cellStyle name="Vírgula 2 5 3 4" xfId="963" xr:uid="{00000000-0005-0000-0000-0000AD040000}"/>
    <cellStyle name="Vírgula 2 5 4" xfId="264" xr:uid="{00000000-0005-0000-0000-0000AE040000}"/>
    <cellStyle name="Vírgula 2 5 4 2" xfId="494" xr:uid="{00000000-0005-0000-0000-0000AF040000}"/>
    <cellStyle name="Vírgula 2 5 4 2 2" xfId="807" xr:uid="{00000000-0005-0000-0000-0000B0040000}"/>
    <cellStyle name="Vírgula 2 5 4 2 2 2" xfId="1396" xr:uid="{00000000-0005-0000-0000-0000B1040000}"/>
    <cellStyle name="Vírgula 2 5 4 2 3" xfId="1106" xr:uid="{00000000-0005-0000-0000-0000B2040000}"/>
    <cellStyle name="Vírgula 2 5 4 3" xfId="668" xr:uid="{00000000-0005-0000-0000-0000B3040000}"/>
    <cellStyle name="Vírgula 2 5 4 3 2" xfId="1257" xr:uid="{00000000-0005-0000-0000-0000B4040000}"/>
    <cellStyle name="Vírgula 2 5 4 4" xfId="966" xr:uid="{00000000-0005-0000-0000-0000B5040000}"/>
    <cellStyle name="Vírgula 2 5 5" xfId="267" xr:uid="{00000000-0005-0000-0000-0000B6040000}"/>
    <cellStyle name="Vírgula 2 5 5 2" xfId="497" xr:uid="{00000000-0005-0000-0000-0000B7040000}"/>
    <cellStyle name="Vírgula 2 5 5 2 2" xfId="810" xr:uid="{00000000-0005-0000-0000-0000B8040000}"/>
    <cellStyle name="Vírgula 2 5 5 2 2 2" xfId="1399" xr:uid="{00000000-0005-0000-0000-0000B9040000}"/>
    <cellStyle name="Vírgula 2 5 5 2 3" xfId="1109" xr:uid="{00000000-0005-0000-0000-0000BA040000}"/>
    <cellStyle name="Vírgula 2 5 5 3" xfId="671" xr:uid="{00000000-0005-0000-0000-0000BB040000}"/>
    <cellStyle name="Vírgula 2 5 5 3 2" xfId="1260" xr:uid="{00000000-0005-0000-0000-0000BC040000}"/>
    <cellStyle name="Vírgula 2 5 5 4" xfId="969" xr:uid="{00000000-0005-0000-0000-0000BD040000}"/>
    <cellStyle name="Vírgula 2 5 6" xfId="273" xr:uid="{00000000-0005-0000-0000-0000BE040000}"/>
    <cellStyle name="Vírgula 2 5 6 2" xfId="503" xr:uid="{00000000-0005-0000-0000-0000BF040000}"/>
    <cellStyle name="Vírgula 2 5 6 2 2" xfId="814" xr:uid="{00000000-0005-0000-0000-0000C0040000}"/>
    <cellStyle name="Vírgula 2 5 6 2 2 2" xfId="1403" xr:uid="{00000000-0005-0000-0000-0000C1040000}"/>
    <cellStyle name="Vírgula 2 5 6 2 3" xfId="1113" xr:uid="{00000000-0005-0000-0000-0000C2040000}"/>
    <cellStyle name="Vírgula 2 5 6 3" xfId="675" xr:uid="{00000000-0005-0000-0000-0000C3040000}"/>
    <cellStyle name="Vírgula 2 5 6 3 2" xfId="1264" xr:uid="{00000000-0005-0000-0000-0000C4040000}"/>
    <cellStyle name="Vírgula 2 5 6 4" xfId="973" xr:uid="{00000000-0005-0000-0000-0000C5040000}"/>
    <cellStyle name="Vírgula 2 5 7" xfId="280" xr:uid="{00000000-0005-0000-0000-0000C6040000}"/>
    <cellStyle name="Vírgula 2 5 7 2" xfId="509" xr:uid="{00000000-0005-0000-0000-0000C7040000}"/>
    <cellStyle name="Vírgula 2 5 7 2 2" xfId="818" xr:uid="{00000000-0005-0000-0000-0000C8040000}"/>
    <cellStyle name="Vírgula 2 5 7 2 2 2" xfId="1407" xr:uid="{00000000-0005-0000-0000-0000C9040000}"/>
    <cellStyle name="Vírgula 2 5 7 2 3" xfId="1117" xr:uid="{00000000-0005-0000-0000-0000CA040000}"/>
    <cellStyle name="Vírgula 2 5 7 3" xfId="679" xr:uid="{00000000-0005-0000-0000-0000CB040000}"/>
    <cellStyle name="Vírgula 2 5 7 3 2" xfId="1268" xr:uid="{00000000-0005-0000-0000-0000CC040000}"/>
    <cellStyle name="Vírgula 2 5 7 4" xfId="978" xr:uid="{00000000-0005-0000-0000-0000CD040000}"/>
    <cellStyle name="Vírgula 2 5 8" xfId="286" xr:uid="{00000000-0005-0000-0000-0000CE040000}"/>
    <cellStyle name="Vírgula 2 5 8 2" xfId="513" xr:uid="{00000000-0005-0000-0000-0000CF040000}"/>
    <cellStyle name="Vírgula 2 5 8 2 2" xfId="822" xr:uid="{00000000-0005-0000-0000-0000D0040000}"/>
    <cellStyle name="Vírgula 2 5 8 2 2 2" xfId="1411" xr:uid="{00000000-0005-0000-0000-0000D1040000}"/>
    <cellStyle name="Vírgula 2 5 8 2 3" xfId="1121" xr:uid="{00000000-0005-0000-0000-0000D2040000}"/>
    <cellStyle name="Vírgula 2 5 8 3" xfId="683" xr:uid="{00000000-0005-0000-0000-0000D3040000}"/>
    <cellStyle name="Vírgula 2 5 8 3 2" xfId="1272" xr:uid="{00000000-0005-0000-0000-0000D4040000}"/>
    <cellStyle name="Vírgula 2 5 8 4" xfId="982" xr:uid="{00000000-0005-0000-0000-0000D5040000}"/>
    <cellStyle name="Vírgula 2 5 9" xfId="305" xr:uid="{00000000-0005-0000-0000-0000D6040000}"/>
    <cellStyle name="Vírgula 2 5 9 2" xfId="529" xr:uid="{00000000-0005-0000-0000-0000D7040000}"/>
    <cellStyle name="Vírgula 2 5 9 2 2" xfId="833" xr:uid="{00000000-0005-0000-0000-0000D8040000}"/>
    <cellStyle name="Vírgula 2 5 9 2 2 2" xfId="1422" xr:uid="{00000000-0005-0000-0000-0000D9040000}"/>
    <cellStyle name="Vírgula 2 5 9 2 3" xfId="1132" xr:uid="{00000000-0005-0000-0000-0000DA040000}"/>
    <cellStyle name="Vírgula 2 5 9 3" xfId="694" xr:uid="{00000000-0005-0000-0000-0000DB040000}"/>
    <cellStyle name="Vírgula 2 5 9 3 2" xfId="1283" xr:uid="{00000000-0005-0000-0000-0000DC040000}"/>
    <cellStyle name="Vírgula 2 5 9 4" xfId="993" xr:uid="{00000000-0005-0000-0000-0000DD040000}"/>
    <cellStyle name="Vírgula 2 58" xfId="282" xr:uid="{00000000-0005-0000-0000-0000DE040000}"/>
    <cellStyle name="Vírgula 2 58 2" xfId="510" xr:uid="{00000000-0005-0000-0000-0000DF040000}"/>
    <cellStyle name="Vírgula 2 58 2 2" xfId="819" xr:uid="{00000000-0005-0000-0000-0000E0040000}"/>
    <cellStyle name="Vírgula 2 58 2 2 2" xfId="1408" xr:uid="{00000000-0005-0000-0000-0000E1040000}"/>
    <cellStyle name="Vírgula 2 58 2 3" xfId="1118" xr:uid="{00000000-0005-0000-0000-0000E2040000}"/>
    <cellStyle name="Vírgula 2 58 3" xfId="680" xr:uid="{00000000-0005-0000-0000-0000E3040000}"/>
    <cellStyle name="Vírgula 2 58 3 2" xfId="1269" xr:uid="{00000000-0005-0000-0000-0000E4040000}"/>
    <cellStyle name="Vírgula 2 58 4" xfId="979" xr:uid="{00000000-0005-0000-0000-0000E5040000}"/>
    <cellStyle name="Vírgula 2 6" xfId="221" xr:uid="{00000000-0005-0000-0000-0000E6040000}"/>
    <cellStyle name="Vírgula 2 6 2" xfId="394" xr:uid="{00000000-0005-0000-0000-0000E7040000}"/>
    <cellStyle name="Vírgula 2 6 2 2" xfId="608" xr:uid="{00000000-0005-0000-0000-0000E8040000}"/>
    <cellStyle name="Vírgula 2 6 2 2 2" xfId="902" xr:uid="{00000000-0005-0000-0000-0000E9040000}"/>
    <cellStyle name="Vírgula 2 6 2 2 2 2" xfId="1491" xr:uid="{00000000-0005-0000-0000-0000EA040000}"/>
    <cellStyle name="Vírgula 2 6 2 2 3" xfId="1201" xr:uid="{00000000-0005-0000-0000-0000EB040000}"/>
    <cellStyle name="Vírgula 2 6 2 3" xfId="636" xr:uid="{00000000-0005-0000-0000-0000EC040000}"/>
    <cellStyle name="Vírgula 2 6 2 3 2" xfId="929" xr:uid="{00000000-0005-0000-0000-0000ED040000}"/>
    <cellStyle name="Vírgula 2 6 2 3 2 2" xfId="1518" xr:uid="{00000000-0005-0000-0000-0000EE040000}"/>
    <cellStyle name="Vírgula 2 6 2 3 3" xfId="1228" xr:uid="{00000000-0005-0000-0000-0000EF040000}"/>
    <cellStyle name="Vírgula 2 6 2 4" xfId="763" xr:uid="{00000000-0005-0000-0000-0000F0040000}"/>
    <cellStyle name="Vírgula 2 6 2 4 2" xfId="1352" xr:uid="{00000000-0005-0000-0000-0000F1040000}"/>
    <cellStyle name="Vírgula 2 6 2 5" xfId="1062" xr:uid="{00000000-0005-0000-0000-0000F2040000}"/>
    <cellStyle name="Vírgula 2 6 3" xfId="465" xr:uid="{00000000-0005-0000-0000-0000F3040000}"/>
    <cellStyle name="Vírgula 2 6 3 2" xfId="784" xr:uid="{00000000-0005-0000-0000-0000F4040000}"/>
    <cellStyle name="Vírgula 2 6 3 2 2" xfId="1373" xr:uid="{00000000-0005-0000-0000-0000F5040000}"/>
    <cellStyle name="Vírgula 2 6 3 3" xfId="1083" xr:uid="{00000000-0005-0000-0000-0000F6040000}"/>
    <cellStyle name="Vírgula 2 6 4" xfId="635" xr:uid="{00000000-0005-0000-0000-0000F7040000}"/>
    <cellStyle name="Vírgula 2 6 4 2" xfId="928" xr:uid="{00000000-0005-0000-0000-0000F8040000}"/>
    <cellStyle name="Vírgula 2 6 4 2 2" xfId="1517" xr:uid="{00000000-0005-0000-0000-0000F9040000}"/>
    <cellStyle name="Vírgula 2 6 4 3" xfId="1227" xr:uid="{00000000-0005-0000-0000-0000FA040000}"/>
    <cellStyle name="Vírgula 2 65" xfId="294" xr:uid="{00000000-0005-0000-0000-0000FB040000}"/>
    <cellStyle name="Vírgula 2 65 2" xfId="521" xr:uid="{00000000-0005-0000-0000-0000FC040000}"/>
    <cellStyle name="Vírgula 2 65 2 2" xfId="826" xr:uid="{00000000-0005-0000-0000-0000FD040000}"/>
    <cellStyle name="Vírgula 2 65 2 2 2" xfId="1415" xr:uid="{00000000-0005-0000-0000-0000FE040000}"/>
    <cellStyle name="Vírgula 2 65 2 3" xfId="1125" xr:uid="{00000000-0005-0000-0000-0000FF040000}"/>
    <cellStyle name="Vírgula 2 65 3" xfId="687" xr:uid="{00000000-0005-0000-0000-000000050000}"/>
    <cellStyle name="Vírgula 2 65 3 2" xfId="1276" xr:uid="{00000000-0005-0000-0000-000001050000}"/>
    <cellStyle name="Vírgula 2 65 4" xfId="986" xr:uid="{00000000-0005-0000-0000-000002050000}"/>
    <cellStyle name="Vírgula 2 68" xfId="340" xr:uid="{00000000-0005-0000-0000-000003050000}"/>
    <cellStyle name="Vírgula 2 68 2" xfId="564" xr:uid="{00000000-0005-0000-0000-000004050000}"/>
    <cellStyle name="Vírgula 2 68 2 2" xfId="866" xr:uid="{00000000-0005-0000-0000-000005050000}"/>
    <cellStyle name="Vírgula 2 68 2 2 2" xfId="1455" xr:uid="{00000000-0005-0000-0000-000006050000}"/>
    <cellStyle name="Vírgula 2 68 2 3" xfId="1165" xr:uid="{00000000-0005-0000-0000-000007050000}"/>
    <cellStyle name="Vírgula 2 68 3" xfId="727" xr:uid="{00000000-0005-0000-0000-000008050000}"/>
    <cellStyle name="Vírgula 2 68 3 2" xfId="1316" xr:uid="{00000000-0005-0000-0000-000009050000}"/>
    <cellStyle name="Vírgula 2 68 4" xfId="1026" xr:uid="{00000000-0005-0000-0000-00000A050000}"/>
    <cellStyle name="Vírgula 2 7" xfId="223" xr:uid="{00000000-0005-0000-0000-00000B050000}"/>
    <cellStyle name="Vírgula 2 7 2" xfId="395" xr:uid="{00000000-0005-0000-0000-00000C050000}"/>
    <cellStyle name="Vírgula 2 7 2 2" xfId="609" xr:uid="{00000000-0005-0000-0000-00000D050000}"/>
    <cellStyle name="Vírgula 2 7 2 2 2" xfId="903" xr:uid="{00000000-0005-0000-0000-00000E050000}"/>
    <cellStyle name="Vírgula 2 7 2 2 2 2" xfId="1492" xr:uid="{00000000-0005-0000-0000-00000F050000}"/>
    <cellStyle name="Vírgula 2 7 2 2 3" xfId="1202" xr:uid="{00000000-0005-0000-0000-000010050000}"/>
    <cellStyle name="Vírgula 2 7 2 3" xfId="638" xr:uid="{00000000-0005-0000-0000-000011050000}"/>
    <cellStyle name="Vírgula 2 7 2 3 2" xfId="931" xr:uid="{00000000-0005-0000-0000-000012050000}"/>
    <cellStyle name="Vírgula 2 7 2 3 2 2" xfId="1520" xr:uid="{00000000-0005-0000-0000-000013050000}"/>
    <cellStyle name="Vírgula 2 7 2 3 3" xfId="1230" xr:uid="{00000000-0005-0000-0000-000014050000}"/>
    <cellStyle name="Vírgula 2 7 2 4" xfId="764" xr:uid="{00000000-0005-0000-0000-000015050000}"/>
    <cellStyle name="Vírgula 2 7 2 4 2" xfId="1353" xr:uid="{00000000-0005-0000-0000-000016050000}"/>
    <cellStyle name="Vírgula 2 7 2 5" xfId="1063" xr:uid="{00000000-0005-0000-0000-000017050000}"/>
    <cellStyle name="Vírgula 2 7 3" xfId="466" xr:uid="{00000000-0005-0000-0000-000018050000}"/>
    <cellStyle name="Vírgula 2 7 3 2" xfId="785" xr:uid="{00000000-0005-0000-0000-000019050000}"/>
    <cellStyle name="Vírgula 2 7 3 2 2" xfId="1374" xr:uid="{00000000-0005-0000-0000-00001A050000}"/>
    <cellStyle name="Vírgula 2 7 3 3" xfId="1084" xr:uid="{00000000-0005-0000-0000-00001B050000}"/>
    <cellStyle name="Vírgula 2 7 4" xfId="637" xr:uid="{00000000-0005-0000-0000-00001C050000}"/>
    <cellStyle name="Vírgula 2 7 4 2" xfId="930" xr:uid="{00000000-0005-0000-0000-00001D050000}"/>
    <cellStyle name="Vírgula 2 7 4 2 2" xfId="1519" xr:uid="{00000000-0005-0000-0000-00001E050000}"/>
    <cellStyle name="Vírgula 2 7 4 3" xfId="1229" xr:uid="{00000000-0005-0000-0000-00001F050000}"/>
    <cellStyle name="Vírgula 2 8" xfId="226" xr:uid="{00000000-0005-0000-0000-000020050000}"/>
    <cellStyle name="Vírgula 2 8 2" xfId="468" xr:uid="{00000000-0005-0000-0000-000021050000}"/>
    <cellStyle name="Vírgula 2 8 2 2" xfId="787" xr:uid="{00000000-0005-0000-0000-000022050000}"/>
    <cellStyle name="Vírgula 2 8 2 2 2" xfId="1376" xr:uid="{00000000-0005-0000-0000-000023050000}"/>
    <cellStyle name="Vírgula 2 8 2 3" xfId="1086" xr:uid="{00000000-0005-0000-0000-000024050000}"/>
    <cellStyle name="Vírgula 2 8 3" xfId="639" xr:uid="{00000000-0005-0000-0000-000025050000}"/>
    <cellStyle name="Vírgula 2 8 3 2" xfId="932" xr:uid="{00000000-0005-0000-0000-000026050000}"/>
    <cellStyle name="Vírgula 2 8 3 2 2" xfId="1521" xr:uid="{00000000-0005-0000-0000-000027050000}"/>
    <cellStyle name="Vírgula 2 8 3 3" xfId="1231" xr:uid="{00000000-0005-0000-0000-000028050000}"/>
    <cellStyle name="Vírgula 2 9" xfId="230" xr:uid="{00000000-0005-0000-0000-000029050000}"/>
    <cellStyle name="Vírgula 2 9 2" xfId="470" xr:uid="{00000000-0005-0000-0000-00002A050000}"/>
    <cellStyle name="Vírgula 2 9 2 2" xfId="789" xr:uid="{00000000-0005-0000-0000-00002B050000}"/>
    <cellStyle name="Vírgula 2 9 2 2 2" xfId="1378" xr:uid="{00000000-0005-0000-0000-00002C050000}"/>
    <cellStyle name="Vírgula 2 9 2 3" xfId="1088" xr:uid="{00000000-0005-0000-0000-00002D050000}"/>
    <cellStyle name="Vírgula 2_Inserir D+1" xfId="136" xr:uid="{00000000-0005-0000-0000-00002E050000}"/>
    <cellStyle name="Vírgula 3" xfId="124" xr:uid="{00000000-0005-0000-0000-00002F050000}"/>
    <cellStyle name="Vírgula 3 10" xfId="360" xr:uid="{00000000-0005-0000-0000-000030050000}"/>
    <cellStyle name="Vírgula 3 10 2" xfId="584" xr:uid="{00000000-0005-0000-0000-000031050000}"/>
    <cellStyle name="Vírgula 3 10 2 2" xfId="881" xr:uid="{00000000-0005-0000-0000-000032050000}"/>
    <cellStyle name="Vírgula 3 10 2 2 2" xfId="1470" xr:uid="{00000000-0005-0000-0000-000033050000}"/>
    <cellStyle name="Vírgula 3 10 2 3" xfId="1180" xr:uid="{00000000-0005-0000-0000-000034050000}"/>
    <cellStyle name="Vírgula 3 10 3" xfId="742" xr:uid="{00000000-0005-0000-0000-000035050000}"/>
    <cellStyle name="Vírgula 3 10 3 2" xfId="1331" xr:uid="{00000000-0005-0000-0000-000036050000}"/>
    <cellStyle name="Vírgula 3 10 4" xfId="1041" xr:uid="{00000000-0005-0000-0000-000037050000}"/>
    <cellStyle name="Vírgula 3 11" xfId="373" xr:uid="{00000000-0005-0000-0000-000038050000}"/>
    <cellStyle name="Vírgula 3 11 2" xfId="592" xr:uid="{00000000-0005-0000-0000-000039050000}"/>
    <cellStyle name="Vírgula 3 11 2 2" xfId="889" xr:uid="{00000000-0005-0000-0000-00003A050000}"/>
    <cellStyle name="Vírgula 3 11 2 2 2" xfId="1478" xr:uid="{00000000-0005-0000-0000-00003B050000}"/>
    <cellStyle name="Vírgula 3 11 2 3" xfId="1188" xr:uid="{00000000-0005-0000-0000-00003C050000}"/>
    <cellStyle name="Vírgula 3 11 3" xfId="750" xr:uid="{00000000-0005-0000-0000-00003D050000}"/>
    <cellStyle name="Vírgula 3 11 3 2" xfId="1339" xr:uid="{00000000-0005-0000-0000-00003E050000}"/>
    <cellStyle name="Vírgula 3 11 4" xfId="1049" xr:uid="{00000000-0005-0000-0000-00003F050000}"/>
    <cellStyle name="Vírgula 3 12" xfId="396" xr:uid="{00000000-0005-0000-0000-000040050000}"/>
    <cellStyle name="Vírgula 3 12 2" xfId="610" xr:uid="{00000000-0005-0000-0000-000041050000}"/>
    <cellStyle name="Vírgula 3 12 2 2" xfId="904" xr:uid="{00000000-0005-0000-0000-000042050000}"/>
    <cellStyle name="Vírgula 3 12 2 2 2" xfId="1493" xr:uid="{00000000-0005-0000-0000-000043050000}"/>
    <cellStyle name="Vírgula 3 12 2 3" xfId="1203" xr:uid="{00000000-0005-0000-0000-000044050000}"/>
    <cellStyle name="Vírgula 3 12 3" xfId="765" xr:uid="{00000000-0005-0000-0000-000045050000}"/>
    <cellStyle name="Vírgula 3 12 3 2" xfId="1354" xr:uid="{00000000-0005-0000-0000-000046050000}"/>
    <cellStyle name="Vírgula 3 12 4" xfId="1064" xr:uid="{00000000-0005-0000-0000-000047050000}"/>
    <cellStyle name="Vírgula 3 13" xfId="440" xr:uid="{00000000-0005-0000-0000-000048050000}"/>
    <cellStyle name="Vírgula 3 13 2" xfId="776" xr:uid="{00000000-0005-0000-0000-000049050000}"/>
    <cellStyle name="Vírgula 3 13 2 2" xfId="1365" xr:uid="{00000000-0005-0000-0000-00004A050000}"/>
    <cellStyle name="Vírgula 3 13 3" xfId="1075" xr:uid="{00000000-0005-0000-0000-00004B050000}"/>
    <cellStyle name="Vírgula 3 14" xfId="640" xr:uid="{00000000-0005-0000-0000-00004C050000}"/>
    <cellStyle name="Vírgula 3 14 2" xfId="933" xr:uid="{00000000-0005-0000-0000-00004D050000}"/>
    <cellStyle name="Vírgula 3 14 2 2" xfId="1522" xr:uid="{00000000-0005-0000-0000-00004E050000}"/>
    <cellStyle name="Vírgula 3 14 3" xfId="1232" xr:uid="{00000000-0005-0000-0000-00004F050000}"/>
    <cellStyle name="Vírgula 3 15" xfId="947" xr:uid="{00000000-0005-0000-0000-000050050000}"/>
    <cellStyle name="Vírgula 3 15 2" xfId="1534" xr:uid="{00000000-0005-0000-0000-000051050000}"/>
    <cellStyle name="Vírgula 3 2" xfId="299" xr:uid="{00000000-0005-0000-0000-000052050000}"/>
    <cellStyle name="Vírgula 3 2 2" xfId="374" xr:uid="{00000000-0005-0000-0000-000053050000}"/>
    <cellStyle name="Vírgula 3 2 2 2" xfId="593" xr:uid="{00000000-0005-0000-0000-000054050000}"/>
    <cellStyle name="Vírgula 3 2 2 2 2" xfId="890" xr:uid="{00000000-0005-0000-0000-000055050000}"/>
    <cellStyle name="Vírgula 3 2 2 2 2 2" xfId="1479" xr:uid="{00000000-0005-0000-0000-000056050000}"/>
    <cellStyle name="Vírgula 3 2 2 2 3" xfId="1189" xr:uid="{00000000-0005-0000-0000-000057050000}"/>
    <cellStyle name="Vírgula 3 2 2 3" xfId="642" xr:uid="{00000000-0005-0000-0000-000058050000}"/>
    <cellStyle name="Vírgula 3 2 2 3 2" xfId="935" xr:uid="{00000000-0005-0000-0000-000059050000}"/>
    <cellStyle name="Vírgula 3 2 2 3 2 2" xfId="1524" xr:uid="{00000000-0005-0000-0000-00005A050000}"/>
    <cellStyle name="Vírgula 3 2 2 3 3" xfId="1234" xr:uid="{00000000-0005-0000-0000-00005B050000}"/>
    <cellStyle name="Vírgula 3 2 2 4" xfId="751" xr:uid="{00000000-0005-0000-0000-00005C050000}"/>
    <cellStyle name="Vírgula 3 2 2 4 2" xfId="1340" xr:uid="{00000000-0005-0000-0000-00005D050000}"/>
    <cellStyle name="Vírgula 3 2 2 5" xfId="1050" xr:uid="{00000000-0005-0000-0000-00005E050000}"/>
    <cellStyle name="Vírgula 3 2 3" xfId="397" xr:uid="{00000000-0005-0000-0000-00005F050000}"/>
    <cellStyle name="Vírgula 3 2 3 2" xfId="611" xr:uid="{00000000-0005-0000-0000-000060050000}"/>
    <cellStyle name="Vírgula 3 2 3 2 2" xfId="905" xr:uid="{00000000-0005-0000-0000-000061050000}"/>
    <cellStyle name="Vírgula 3 2 3 2 2 2" xfId="1494" xr:uid="{00000000-0005-0000-0000-000062050000}"/>
    <cellStyle name="Vírgula 3 2 3 2 3" xfId="1204" xr:uid="{00000000-0005-0000-0000-000063050000}"/>
    <cellStyle name="Vírgula 3 2 3 3" xfId="766" xr:uid="{00000000-0005-0000-0000-000064050000}"/>
    <cellStyle name="Vírgula 3 2 3 3 2" xfId="1355" xr:uid="{00000000-0005-0000-0000-000065050000}"/>
    <cellStyle name="Vírgula 3 2 3 4" xfId="1065" xr:uid="{00000000-0005-0000-0000-000066050000}"/>
    <cellStyle name="Vírgula 3 2 4" xfId="524" xr:uid="{00000000-0005-0000-0000-000067050000}"/>
    <cellStyle name="Vírgula 3 2 4 2" xfId="828" xr:uid="{00000000-0005-0000-0000-000068050000}"/>
    <cellStyle name="Vírgula 3 2 4 2 2" xfId="1417" xr:uid="{00000000-0005-0000-0000-000069050000}"/>
    <cellStyle name="Vírgula 3 2 4 3" xfId="1127" xr:uid="{00000000-0005-0000-0000-00006A050000}"/>
    <cellStyle name="Vírgula 3 2 5" xfId="641" xr:uid="{00000000-0005-0000-0000-00006B050000}"/>
    <cellStyle name="Vírgula 3 2 5 2" xfId="934" xr:uid="{00000000-0005-0000-0000-00006C050000}"/>
    <cellStyle name="Vírgula 3 2 5 2 2" xfId="1523" xr:uid="{00000000-0005-0000-0000-00006D050000}"/>
    <cellStyle name="Vírgula 3 2 5 3" xfId="1233" xr:uid="{00000000-0005-0000-0000-00006E050000}"/>
    <cellStyle name="Vírgula 3 2 6" xfId="689" xr:uid="{00000000-0005-0000-0000-00006F050000}"/>
    <cellStyle name="Vírgula 3 2 6 2" xfId="1278" xr:uid="{00000000-0005-0000-0000-000070050000}"/>
    <cellStyle name="Vírgula 3 2 7" xfId="988" xr:uid="{00000000-0005-0000-0000-000071050000}"/>
    <cellStyle name="Vírgula 3 3" xfId="306" xr:uid="{00000000-0005-0000-0000-000072050000}"/>
    <cellStyle name="Vírgula 3 3 2" xfId="398" xr:uid="{00000000-0005-0000-0000-000073050000}"/>
    <cellStyle name="Vírgula 3 3 2 2" xfId="612" xr:uid="{00000000-0005-0000-0000-000074050000}"/>
    <cellStyle name="Vírgula 3 3 2 2 2" xfId="906" xr:uid="{00000000-0005-0000-0000-000075050000}"/>
    <cellStyle name="Vírgula 3 3 2 2 2 2" xfId="1495" xr:uid="{00000000-0005-0000-0000-000076050000}"/>
    <cellStyle name="Vírgula 3 3 2 2 3" xfId="1205" xr:uid="{00000000-0005-0000-0000-000077050000}"/>
    <cellStyle name="Vírgula 3 3 2 3" xfId="644" xr:uid="{00000000-0005-0000-0000-000078050000}"/>
    <cellStyle name="Vírgula 3 3 2 3 2" xfId="937" xr:uid="{00000000-0005-0000-0000-000079050000}"/>
    <cellStyle name="Vírgula 3 3 2 3 2 2" xfId="1526" xr:uid="{00000000-0005-0000-0000-00007A050000}"/>
    <cellStyle name="Vírgula 3 3 2 3 3" xfId="1236" xr:uid="{00000000-0005-0000-0000-00007B050000}"/>
    <cellStyle name="Vírgula 3 3 2 4" xfId="767" xr:uid="{00000000-0005-0000-0000-00007C050000}"/>
    <cellStyle name="Vírgula 3 3 2 4 2" xfId="1356" xr:uid="{00000000-0005-0000-0000-00007D050000}"/>
    <cellStyle name="Vírgula 3 3 2 5" xfId="1066" xr:uid="{00000000-0005-0000-0000-00007E050000}"/>
    <cellStyle name="Vírgula 3 3 3" xfId="530" xr:uid="{00000000-0005-0000-0000-00007F050000}"/>
    <cellStyle name="Vírgula 3 3 3 2" xfId="834" xr:uid="{00000000-0005-0000-0000-000080050000}"/>
    <cellStyle name="Vírgula 3 3 3 2 2" xfId="1423" xr:uid="{00000000-0005-0000-0000-000081050000}"/>
    <cellStyle name="Vírgula 3 3 3 3" xfId="1133" xr:uid="{00000000-0005-0000-0000-000082050000}"/>
    <cellStyle name="Vírgula 3 3 4" xfId="643" xr:uid="{00000000-0005-0000-0000-000083050000}"/>
    <cellStyle name="Vírgula 3 3 4 2" xfId="936" xr:uid="{00000000-0005-0000-0000-000084050000}"/>
    <cellStyle name="Vírgula 3 3 4 2 2" xfId="1525" xr:uid="{00000000-0005-0000-0000-000085050000}"/>
    <cellStyle name="Vírgula 3 3 4 3" xfId="1235" xr:uid="{00000000-0005-0000-0000-000086050000}"/>
    <cellStyle name="Vírgula 3 3 5" xfId="695" xr:uid="{00000000-0005-0000-0000-000087050000}"/>
    <cellStyle name="Vírgula 3 3 5 2" xfId="1284" xr:uid="{00000000-0005-0000-0000-000088050000}"/>
    <cellStyle name="Vírgula 3 3 6" xfId="994" xr:uid="{00000000-0005-0000-0000-000089050000}"/>
    <cellStyle name="Vírgula 3 4" xfId="312" xr:uid="{00000000-0005-0000-0000-00008A050000}"/>
    <cellStyle name="Vírgula 3 4 2" xfId="536" xr:uid="{00000000-0005-0000-0000-00008B050000}"/>
    <cellStyle name="Vírgula 3 4 2 2" xfId="840" xr:uid="{00000000-0005-0000-0000-00008C050000}"/>
    <cellStyle name="Vírgula 3 4 2 2 2" xfId="1429" xr:uid="{00000000-0005-0000-0000-00008D050000}"/>
    <cellStyle name="Vírgula 3 4 2 3" xfId="1139" xr:uid="{00000000-0005-0000-0000-00008E050000}"/>
    <cellStyle name="Vírgula 3 4 3" xfId="645" xr:uid="{00000000-0005-0000-0000-00008F050000}"/>
    <cellStyle name="Vírgula 3 4 3 2" xfId="938" xr:uid="{00000000-0005-0000-0000-000090050000}"/>
    <cellStyle name="Vírgula 3 4 3 2 2" xfId="1527" xr:uid="{00000000-0005-0000-0000-000091050000}"/>
    <cellStyle name="Vírgula 3 4 3 3" xfId="1237" xr:uid="{00000000-0005-0000-0000-000092050000}"/>
    <cellStyle name="Vírgula 3 4 4" xfId="701" xr:uid="{00000000-0005-0000-0000-000093050000}"/>
    <cellStyle name="Vírgula 3 4 4 2" xfId="1290" xr:uid="{00000000-0005-0000-0000-000094050000}"/>
    <cellStyle name="Vírgula 3 4 5" xfId="1000" xr:uid="{00000000-0005-0000-0000-000095050000}"/>
    <cellStyle name="Vírgula 3 5" xfId="318" xr:uid="{00000000-0005-0000-0000-000096050000}"/>
    <cellStyle name="Vírgula 3 5 2" xfId="542" xr:uid="{00000000-0005-0000-0000-000097050000}"/>
    <cellStyle name="Vírgula 3 5 2 2" xfId="846" xr:uid="{00000000-0005-0000-0000-000098050000}"/>
    <cellStyle name="Vírgula 3 5 2 2 2" xfId="1435" xr:uid="{00000000-0005-0000-0000-000099050000}"/>
    <cellStyle name="Vírgula 3 5 2 3" xfId="1145" xr:uid="{00000000-0005-0000-0000-00009A050000}"/>
    <cellStyle name="Vírgula 3 5 3" xfId="707" xr:uid="{00000000-0005-0000-0000-00009B050000}"/>
    <cellStyle name="Vírgula 3 5 3 2" xfId="1296" xr:uid="{00000000-0005-0000-0000-00009C050000}"/>
    <cellStyle name="Vírgula 3 5 4" xfId="1006" xr:uid="{00000000-0005-0000-0000-00009D050000}"/>
    <cellStyle name="Vírgula 3 6" xfId="324" xr:uid="{00000000-0005-0000-0000-00009E050000}"/>
    <cellStyle name="Vírgula 3 6 2" xfId="548" xr:uid="{00000000-0005-0000-0000-00009F050000}"/>
    <cellStyle name="Vírgula 3 6 2 2" xfId="852" xr:uid="{00000000-0005-0000-0000-0000A0050000}"/>
    <cellStyle name="Vírgula 3 6 2 2 2" xfId="1441" xr:uid="{00000000-0005-0000-0000-0000A1050000}"/>
    <cellStyle name="Vírgula 3 6 2 3" xfId="1151" xr:uid="{00000000-0005-0000-0000-0000A2050000}"/>
    <cellStyle name="Vírgula 3 6 3" xfId="713" xr:uid="{00000000-0005-0000-0000-0000A3050000}"/>
    <cellStyle name="Vírgula 3 6 3 2" xfId="1302" xr:uid="{00000000-0005-0000-0000-0000A4050000}"/>
    <cellStyle name="Vírgula 3 6 4" xfId="1012" xr:uid="{00000000-0005-0000-0000-0000A5050000}"/>
    <cellStyle name="Vírgula 3 7" xfId="330" xr:uid="{00000000-0005-0000-0000-0000A6050000}"/>
    <cellStyle name="Vírgula 3 7 2" xfId="554" xr:uid="{00000000-0005-0000-0000-0000A7050000}"/>
    <cellStyle name="Vírgula 3 7 2 2" xfId="858" xr:uid="{00000000-0005-0000-0000-0000A8050000}"/>
    <cellStyle name="Vírgula 3 7 2 2 2" xfId="1447" xr:uid="{00000000-0005-0000-0000-0000A9050000}"/>
    <cellStyle name="Vírgula 3 7 2 3" xfId="1157" xr:uid="{00000000-0005-0000-0000-0000AA050000}"/>
    <cellStyle name="Vírgula 3 7 3" xfId="719" xr:uid="{00000000-0005-0000-0000-0000AB050000}"/>
    <cellStyle name="Vírgula 3 7 3 2" xfId="1308" xr:uid="{00000000-0005-0000-0000-0000AC050000}"/>
    <cellStyle name="Vírgula 3 7 4" xfId="1018" xr:uid="{00000000-0005-0000-0000-0000AD050000}"/>
    <cellStyle name="Vírgula 3 8" xfId="336" xr:uid="{00000000-0005-0000-0000-0000AE050000}"/>
    <cellStyle name="Vírgula 3 8 2" xfId="560" xr:uid="{00000000-0005-0000-0000-0000AF050000}"/>
    <cellStyle name="Vírgula 3 8 2 2" xfId="864" xr:uid="{00000000-0005-0000-0000-0000B0050000}"/>
    <cellStyle name="Vírgula 3 8 2 2 2" xfId="1453" xr:uid="{00000000-0005-0000-0000-0000B1050000}"/>
    <cellStyle name="Vírgula 3 8 2 3" xfId="1163" xr:uid="{00000000-0005-0000-0000-0000B2050000}"/>
    <cellStyle name="Vírgula 3 8 3" xfId="725" xr:uid="{00000000-0005-0000-0000-0000B3050000}"/>
    <cellStyle name="Vírgula 3 8 3 2" xfId="1314" xr:uid="{00000000-0005-0000-0000-0000B4050000}"/>
    <cellStyle name="Vírgula 3 8 4" xfId="1024" xr:uid="{00000000-0005-0000-0000-0000B5050000}"/>
    <cellStyle name="Vírgula 3 9" xfId="354" xr:uid="{00000000-0005-0000-0000-0000B6050000}"/>
    <cellStyle name="Vírgula 3 9 2" xfId="578" xr:uid="{00000000-0005-0000-0000-0000B7050000}"/>
    <cellStyle name="Vírgula 3 9 2 2" xfId="875" xr:uid="{00000000-0005-0000-0000-0000B8050000}"/>
    <cellStyle name="Vírgula 3 9 2 2 2" xfId="1464" xr:uid="{00000000-0005-0000-0000-0000B9050000}"/>
    <cellStyle name="Vírgula 3 9 2 3" xfId="1174" xr:uid="{00000000-0005-0000-0000-0000BA050000}"/>
    <cellStyle name="Vírgula 3 9 3" xfId="736" xr:uid="{00000000-0005-0000-0000-0000BB050000}"/>
    <cellStyle name="Vírgula 3 9 3 2" xfId="1325" xr:uid="{00000000-0005-0000-0000-0000BC050000}"/>
    <cellStyle name="Vírgula 3 9 4" xfId="1035" xr:uid="{00000000-0005-0000-0000-0000BD050000}"/>
    <cellStyle name="Vírgula 32" xfId="401" xr:uid="{00000000-0005-0000-0000-0000BE050000}"/>
    <cellStyle name="Vírgula 32 2" xfId="615" xr:uid="{00000000-0005-0000-0000-0000BF050000}"/>
    <cellStyle name="Vírgula 32 2 2" xfId="909" xr:uid="{00000000-0005-0000-0000-0000C0050000}"/>
    <cellStyle name="Vírgula 32 2 2 2" xfId="1498" xr:uid="{00000000-0005-0000-0000-0000C1050000}"/>
    <cellStyle name="Vírgula 32 2 3" xfId="1208" xr:uid="{00000000-0005-0000-0000-0000C2050000}"/>
    <cellStyle name="Vírgula 32 3" xfId="770" xr:uid="{00000000-0005-0000-0000-0000C3050000}"/>
    <cellStyle name="Vírgula 32 3 2" xfId="1359" xr:uid="{00000000-0005-0000-0000-0000C4050000}"/>
    <cellStyle name="Vírgula 32 4" xfId="1069" xr:uid="{00000000-0005-0000-0000-0000C5050000}"/>
    <cellStyle name="Vírgula 4" xfId="215" xr:uid="{00000000-0005-0000-0000-0000C6050000}"/>
    <cellStyle name="Vírgula 4 2" xfId="375" xr:uid="{00000000-0005-0000-0000-0000C7050000}"/>
    <cellStyle name="Vírgula 4 2 2" xfId="594" xr:uid="{00000000-0005-0000-0000-0000C8050000}"/>
    <cellStyle name="Vírgula 4 2 2 2" xfId="891" xr:uid="{00000000-0005-0000-0000-0000C9050000}"/>
    <cellStyle name="Vírgula 4 2 2 2 2" xfId="1480" xr:uid="{00000000-0005-0000-0000-0000CA050000}"/>
    <cellStyle name="Vírgula 4 2 2 3" xfId="1190" xr:uid="{00000000-0005-0000-0000-0000CB050000}"/>
    <cellStyle name="Vírgula 4 2 3" xfId="647" xr:uid="{00000000-0005-0000-0000-0000CC050000}"/>
    <cellStyle name="Vírgula 4 2 3 2" xfId="940" xr:uid="{00000000-0005-0000-0000-0000CD050000}"/>
    <cellStyle name="Vírgula 4 2 3 2 2" xfId="1529" xr:uid="{00000000-0005-0000-0000-0000CE050000}"/>
    <cellStyle name="Vírgula 4 2 3 3" xfId="1239" xr:uid="{00000000-0005-0000-0000-0000CF050000}"/>
    <cellStyle name="Vírgula 4 2 4" xfId="752" xr:uid="{00000000-0005-0000-0000-0000D0050000}"/>
    <cellStyle name="Vírgula 4 2 4 2" xfId="1341" xr:uid="{00000000-0005-0000-0000-0000D1050000}"/>
    <cellStyle name="Vírgula 4 2 5" xfId="1051" xr:uid="{00000000-0005-0000-0000-0000D2050000}"/>
    <cellStyle name="Vírgula 4 3" xfId="399" xr:uid="{00000000-0005-0000-0000-0000D3050000}"/>
    <cellStyle name="Vírgula 4 3 2" xfId="613" xr:uid="{00000000-0005-0000-0000-0000D4050000}"/>
    <cellStyle name="Vírgula 4 3 2 2" xfId="907" xr:uid="{00000000-0005-0000-0000-0000D5050000}"/>
    <cellStyle name="Vírgula 4 3 2 2 2" xfId="1496" xr:uid="{00000000-0005-0000-0000-0000D6050000}"/>
    <cellStyle name="Vírgula 4 3 2 3" xfId="1206" xr:uid="{00000000-0005-0000-0000-0000D7050000}"/>
    <cellStyle name="Vírgula 4 3 3" xfId="768" xr:uid="{00000000-0005-0000-0000-0000D8050000}"/>
    <cellStyle name="Vírgula 4 3 3 2" xfId="1357" xr:uid="{00000000-0005-0000-0000-0000D9050000}"/>
    <cellStyle name="Vírgula 4 3 4" xfId="1067" xr:uid="{00000000-0005-0000-0000-0000DA050000}"/>
    <cellStyle name="Vírgula 4 4" xfId="646" xr:uid="{00000000-0005-0000-0000-0000DB050000}"/>
    <cellStyle name="Vírgula 4 4 2" xfId="939" xr:uid="{00000000-0005-0000-0000-0000DC050000}"/>
    <cellStyle name="Vírgula 4 4 2 2" xfId="1528" xr:uid="{00000000-0005-0000-0000-0000DD050000}"/>
    <cellStyle name="Vírgula 4 4 3" xfId="1238" xr:uid="{00000000-0005-0000-0000-0000DE050000}"/>
    <cellStyle name="Vírgula 5" xfId="216" xr:uid="{00000000-0005-0000-0000-0000DF050000}"/>
    <cellStyle name="Vírgula 5 2" xfId="400" xr:uid="{00000000-0005-0000-0000-0000E0050000}"/>
    <cellStyle name="Vírgula 5 2 2" xfId="614" xr:uid="{00000000-0005-0000-0000-0000E1050000}"/>
    <cellStyle name="Vírgula 5 2 2 2" xfId="908" xr:uid="{00000000-0005-0000-0000-0000E2050000}"/>
    <cellStyle name="Vírgula 5 2 2 2 2" xfId="1497" xr:uid="{00000000-0005-0000-0000-0000E3050000}"/>
    <cellStyle name="Vírgula 5 2 2 3" xfId="1207" xr:uid="{00000000-0005-0000-0000-0000E4050000}"/>
    <cellStyle name="Vírgula 5 2 3" xfId="649" xr:uid="{00000000-0005-0000-0000-0000E5050000}"/>
    <cellStyle name="Vírgula 5 2 3 2" xfId="942" xr:uid="{00000000-0005-0000-0000-0000E6050000}"/>
    <cellStyle name="Vírgula 5 2 3 2 2" xfId="1531" xr:uid="{00000000-0005-0000-0000-0000E7050000}"/>
    <cellStyle name="Vírgula 5 2 3 3" xfId="1241" xr:uid="{00000000-0005-0000-0000-0000E8050000}"/>
    <cellStyle name="Vírgula 5 2 4" xfId="769" xr:uid="{00000000-0005-0000-0000-0000E9050000}"/>
    <cellStyle name="Vírgula 5 2 4 2" xfId="1358" xr:uid="{00000000-0005-0000-0000-0000EA050000}"/>
    <cellStyle name="Vírgula 5 2 5" xfId="1068" xr:uid="{00000000-0005-0000-0000-0000EB050000}"/>
    <cellStyle name="Vírgula 5 3" xfId="648" xr:uid="{00000000-0005-0000-0000-0000EC050000}"/>
    <cellStyle name="Vírgula 5 3 2" xfId="941" xr:uid="{00000000-0005-0000-0000-0000ED050000}"/>
    <cellStyle name="Vírgula 5 3 2 2" xfId="1530" xr:uid="{00000000-0005-0000-0000-0000EE050000}"/>
    <cellStyle name="Vírgula 5 3 3" xfId="1240" xr:uid="{00000000-0005-0000-0000-0000EF050000}"/>
    <cellStyle name="Vírgula 6" xfId="217" xr:uid="{00000000-0005-0000-0000-0000F0050000}"/>
    <cellStyle name="Vírgula 6 2" xfId="462" xr:uid="{00000000-0005-0000-0000-0000F1050000}"/>
    <cellStyle name="Vírgula 6 2 2" xfId="781" xr:uid="{00000000-0005-0000-0000-0000F2050000}"/>
    <cellStyle name="Vírgula 6 2 2 2" xfId="1370" xr:uid="{00000000-0005-0000-0000-0000F3050000}"/>
    <cellStyle name="Vírgula 6 2 3" xfId="1080" xr:uid="{00000000-0005-0000-0000-0000F4050000}"/>
    <cellStyle name="Vírgula 7" xfId="218" xr:uid="{00000000-0005-0000-0000-0000F5050000}"/>
    <cellStyle name="Vírgula 7 2" xfId="463" xr:uid="{00000000-0005-0000-0000-0000F6050000}"/>
    <cellStyle name="Vírgula 7 2 2" xfId="782" xr:uid="{00000000-0005-0000-0000-0000F7050000}"/>
    <cellStyle name="Vírgula 7 2 2 2" xfId="1371" xr:uid="{00000000-0005-0000-0000-0000F8050000}"/>
    <cellStyle name="Vírgula 7 2 3" xfId="1081" xr:uid="{00000000-0005-0000-0000-0000F9050000}"/>
    <cellStyle name="Vírgula 8" xfId="232" xr:uid="{00000000-0005-0000-0000-0000FA050000}"/>
    <cellStyle name="Vírgula 8 2" xfId="472" xr:uid="{00000000-0005-0000-0000-0000FB050000}"/>
    <cellStyle name="Vírgula 8 2 2" xfId="790" xr:uid="{00000000-0005-0000-0000-0000FC050000}"/>
    <cellStyle name="Vírgula 8 2 2 2" xfId="1379" xr:uid="{00000000-0005-0000-0000-0000FD050000}"/>
    <cellStyle name="Vírgula 8 2 3" xfId="1089" xr:uid="{00000000-0005-0000-0000-0000FE050000}"/>
    <cellStyle name="Vírgula 9" xfId="235" xr:uid="{00000000-0005-0000-0000-0000FF050000}"/>
    <cellStyle name="Vírgula 9 2" xfId="475" xr:uid="{00000000-0005-0000-0000-000000060000}"/>
    <cellStyle name="Vírgula 9 2 2" xfId="792" xr:uid="{00000000-0005-0000-0000-000001060000}"/>
    <cellStyle name="Vírgula 9 2 2 2" xfId="1381" xr:uid="{00000000-0005-0000-0000-000002060000}"/>
    <cellStyle name="Vírgula 9 2 3" xfId="1091" xr:uid="{00000000-0005-0000-0000-000003060000}"/>
  </cellStyles>
  <dxfs count="108">
    <dxf>
      <numFmt numFmtId="19" formatCode="m/d/yyyy"/>
    </dxf>
    <dxf>
      <alignment horizontal="center" vertical="center" textRotation="0" wrapText="0" indent="0" justifyLastLine="0" shrinkToFit="0" readingOrder="0"/>
    </dxf>
    <dxf>
      <font>
        <b/>
        <i val="0"/>
        <color rgb="FFFF0000"/>
      </font>
      <fill>
        <patternFill patternType="solid">
          <bgColor theme="0" tint="-0.14996795556505021"/>
        </patternFill>
      </fill>
    </dxf>
    <dxf>
      <font>
        <b/>
        <i val="0"/>
        <color rgb="FFFF0000"/>
      </font>
      <fill>
        <patternFill patternType="solid">
          <bgColor theme="0" tint="-0.14996795556505021"/>
        </patternFill>
      </fill>
    </dxf>
    <dxf>
      <font>
        <b/>
        <i val="0"/>
        <color rgb="FFFF0000"/>
      </font>
      <fill>
        <patternFill patternType="solid">
          <bgColor theme="0" tint="-0.14996795556505021"/>
        </patternFill>
      </fill>
    </dxf>
    <dxf>
      <font>
        <b/>
        <i val="0"/>
        <color rgb="FFFF0000"/>
      </font>
      <fill>
        <patternFill patternType="solid">
          <bgColor theme="0" tint="-0.14996795556505021"/>
        </patternFill>
      </fill>
    </dxf>
    <dxf>
      <font>
        <b/>
        <i val="0"/>
        <color rgb="FFFF0000"/>
      </font>
      <fill>
        <patternFill patternType="solid">
          <bgColor theme="0" tint="-0.14996795556505021"/>
        </patternFill>
      </fill>
    </dxf>
    <dxf>
      <font>
        <b/>
        <i val="0"/>
        <color rgb="FFFF0000"/>
      </font>
      <fill>
        <patternFill patternType="solid">
          <bgColor theme="0" tint="-0.14996795556505021"/>
        </patternFill>
      </fill>
    </dxf>
    <dxf>
      <font>
        <color rgb="FFFF0000"/>
      </font>
      <fill>
        <patternFill>
          <bgColor theme="0"/>
        </patternFill>
      </fill>
    </dxf>
    <dxf>
      <font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</dxfs>
  <tableStyles count="0" defaultTableStyle="TableStyleMedium9" defaultPivotStyle="PivotStyleLight16"/>
  <colors>
    <mruColors>
      <color rgb="FF009A46"/>
      <color rgb="FF01BB8A"/>
      <color rgb="FF00CC66"/>
      <color rgb="FF008080"/>
      <color rgb="FFFBFDFD"/>
      <color rgb="FFC0305E"/>
      <color rgb="FFE191C5"/>
      <color rgb="FFFF7979"/>
      <color rgb="FF000000"/>
      <color rgb="FFF9F9F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13" Type="http://schemas.openxmlformats.org/officeDocument/2006/relationships/customXml" Target="../customXml/item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alcChain" Target="calcChain.xml"/><Relationship Id="rId17" Type="http://schemas.openxmlformats.org/officeDocument/2006/relationships/customXml" Target="../customXml/item5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4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17/06/relationships/rdRichValueTypes" Target="richData/rdRichValueTypes.xml"/><Relationship Id="rId5" Type="http://schemas.openxmlformats.org/officeDocument/2006/relationships/connections" Target="connections.xml"/><Relationship Id="rId15" Type="http://schemas.openxmlformats.org/officeDocument/2006/relationships/customXml" Target="../customXml/item3.xml"/><Relationship Id="rId10" Type="http://schemas.microsoft.com/office/2017/06/relationships/rdRichValueStructure" Target="richData/rdrichvaluestructure.xml"/><Relationship Id="rId4" Type="http://schemas.openxmlformats.org/officeDocument/2006/relationships/theme" Target="theme/theme1.xml"/><Relationship Id="rId9" Type="http://schemas.microsoft.com/office/2017/06/relationships/rdRichValue" Target="richData/rdrichvalue.xml"/><Relationship Id="rId14" Type="http://schemas.openxmlformats.org/officeDocument/2006/relationships/customXml" Target="../customXml/item2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microsoft.com/office/2011/relationships/chartColorStyle" Target="colors1.xml"/><Relationship Id="rId1" Type="http://schemas.microsoft.com/office/2011/relationships/chartStyle" Target="style1.xml"/><Relationship Id="rId4" Type="http://schemas.openxmlformats.org/officeDocument/2006/relationships/image" Target="../media/image2.png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microsoft.com/office/2011/relationships/chartColorStyle" Target="colors2.xml"/><Relationship Id="rId1" Type="http://schemas.microsoft.com/office/2011/relationships/chartStyle" Target="style2.xml"/><Relationship Id="rId4" Type="http://schemas.openxmlformats.org/officeDocument/2006/relationships/image" Target="../media/image2.png"/></Relationships>
</file>

<file path=xl/charts/_rels/chart8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microsoft.com/office/2011/relationships/chartColorStyle" Target="colors3.xml"/><Relationship Id="rId1" Type="http://schemas.microsoft.com/office/2011/relationships/chartStyle" Target="style3.xml"/><Relationship Id="rId4" Type="http://schemas.openxmlformats.org/officeDocument/2006/relationships/image" Target="../media/image2.png"/></Relationships>
</file>

<file path=xl/charts/_rels/chart9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microsoft.com/office/2011/relationships/chartColorStyle" Target="colors4.xml"/><Relationship Id="rId1" Type="http://schemas.microsoft.com/office/2011/relationships/chartStyle" Target="style4.xml"/><Relationship Id="rId4" Type="http://schemas.openxmlformats.org/officeDocument/2006/relationships/image" Target="../media/image2.png"/></Relationships>
</file>

<file path=xl/charts/_rels/chart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microsoft.com/office/2011/relationships/chartColorStyle" Target="colors5.xml"/><Relationship Id="rId1" Type="http://schemas.microsoft.com/office/2011/relationships/chartStyle" Target="style5.xml"/><Relationship Id="rId6" Type="http://schemas.openxmlformats.org/officeDocument/2006/relationships/image" Target="../media/image2.png"/><Relationship Id="rId5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charts/_rels/chart1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microsoft.com/office/2011/relationships/chartColorStyle" Target="colors6.xml"/><Relationship Id="rId1" Type="http://schemas.microsoft.com/office/2011/relationships/chartStyle" Target="style6.xml"/><Relationship Id="rId6" Type="http://schemas.openxmlformats.org/officeDocument/2006/relationships/image" Target="../media/image2.png"/><Relationship Id="rId5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2400">
                <a:effectLst/>
              </a:defRPr>
            </a:pPr>
            <a:r>
              <a:rPr lang="pt-BR" sz="2400">
                <a:effectLst/>
              </a:rPr>
              <a:t>Produção Total</a:t>
            </a:r>
          </a:p>
        </c:rich>
      </c:tx>
      <c:layout>
        <c:manualLayout>
          <c:xMode val="edge"/>
          <c:yMode val="edge"/>
          <c:x val="0.46108649927242001"/>
          <c:y val="1.2752391073326248E-2"/>
        </c:manualLayout>
      </c:layout>
      <c:overlay val="0"/>
      <c:spPr>
        <a:effectLst/>
      </c:spPr>
    </c:title>
    <c:autoTitleDeleted val="0"/>
    <c:plotArea>
      <c:layout>
        <c:manualLayout>
          <c:layoutTarget val="inner"/>
          <c:xMode val="edge"/>
          <c:yMode val="edge"/>
          <c:x val="8.6047022657347091E-3"/>
          <c:y val="0.17348992668919544"/>
          <c:w val="0.9901931630384091"/>
          <c:h val="0.53301874237551305"/>
        </c:manualLayout>
      </c:layout>
      <c:areaChart>
        <c:grouping val="standard"/>
        <c:varyColors val="0"/>
        <c:ser>
          <c:idx val="3"/>
          <c:order val="3"/>
          <c:tx>
            <c:v>areareal</c:v>
          </c:tx>
          <c:spPr>
            <a:solidFill>
              <a:schemeClr val="tx1">
                <a:alpha val="20000"/>
              </a:schemeClr>
            </a:solidFill>
          </c:spPr>
          <c:val>
            <c:numRef>
              <c:f>'PRODUÇÃO TOTAL USINA'!$C$34:$C$57</c:f>
              <c:numCache>
                <c:formatCode>#,##0</c:formatCode>
                <c:ptCount val="24"/>
                <c:pt idx="0">
                  <c:v>292968</c:v>
                </c:pt>
                <c:pt idx="1">
                  <c:v>278952</c:v>
                </c:pt>
                <c:pt idx="2">
                  <c:v>280544</c:v>
                </c:pt>
                <c:pt idx="3">
                  <c:v>286350</c:v>
                </c:pt>
                <c:pt idx="4">
                  <c:v>283435.19999999995</c:v>
                </c:pt>
                <c:pt idx="5">
                  <c:v>296356</c:v>
                </c:pt>
                <c:pt idx="6">
                  <c:v>286784.57142857142</c:v>
                </c:pt>
                <c:pt idx="7">
                  <c:v>271775.40000000002</c:v>
                </c:pt>
                <c:pt idx="8">
                  <c:v>270303.2</c:v>
                </c:pt>
                <c:pt idx="9">
                  <c:v>267723.83999999997</c:v>
                </c:pt>
                <c:pt idx="10">
                  <c:v>266127.49090909091</c:v>
                </c:pt>
                <c:pt idx="11">
                  <c:v>263628.19999999995</c:v>
                </c:pt>
                <c:pt idx="12">
                  <c:v>265904.30769230763</c:v>
                </c:pt>
                <c:pt idx="13">
                  <c:v>268259.99999999994</c:v>
                </c:pt>
                <c:pt idx="14">
                  <c:v>269422.23999999993</c:v>
                </c:pt>
                <c:pt idx="15">
                  <c:v>268716.29999999993</c:v>
                </c:pt>
                <c:pt idx="16">
                  <c:v>262651.62352941174</c:v>
                </c:pt>
                <c:pt idx="17">
                  <c:v>259934.66666666663</c:v>
                </c:pt>
                <c:pt idx="18">
                  <c:v>256054.73684210522</c:v>
                </c:pt>
                <c:pt idx="19">
                  <c:v>252440.39999999997</c:v>
                </c:pt>
                <c:pt idx="20">
                  <c:v>249042.28571428568</c:v>
                </c:pt>
                <c:pt idx="21">
                  <c:v>246573.81818181818</c:v>
                </c:pt>
                <c:pt idx="22">
                  <c:v>245557.56521739124</c:v>
                </c:pt>
                <c:pt idx="23">
                  <c:v>257933.21739130432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32B-4CB0-9738-D44EBF54A4E6}"/>
            </c:ext>
          </c:extLst>
        </c:ser>
        <c:ser>
          <c:idx val="1"/>
          <c:order val="4"/>
          <c:tx>
            <c:v>Meta</c:v>
          </c:tx>
          <c:spPr>
            <a:solidFill>
              <a:schemeClr val="bg1">
                <a:lumMod val="85000"/>
                <a:alpha val="23000"/>
              </a:schemeClr>
            </a:solidFill>
            <a:ln w="22225">
              <a:noFill/>
              <a:prstDash val="dash"/>
            </a:ln>
          </c:spPr>
          <c:cat>
            <c:numRef>
              <c:f>'PRODUÇÃO TOTAL USINA'!$A$34:$A$57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USINA'!$B$34:$B$57</c:f>
              <c:numCache>
                <c:formatCode>#,##0</c:formatCode>
                <c:ptCount val="24"/>
                <c:pt idx="0">
                  <c:v>195847.64294193118</c:v>
                </c:pt>
                <c:pt idx="1">
                  <c:v>212858.32678815426</c:v>
                </c:pt>
                <c:pt idx="2">
                  <c:v>233488.36888553441</c:v>
                </c:pt>
                <c:pt idx="3">
                  <c:v>245175.53357296821</c:v>
                </c:pt>
                <c:pt idx="4">
                  <c:v>258517.6043258115</c:v>
                </c:pt>
                <c:pt idx="5">
                  <c:v>267726.70976063452</c:v>
                </c:pt>
                <c:pt idx="6">
                  <c:v>274174.06609813205</c:v>
                </c:pt>
                <c:pt idx="7">
                  <c:v>278781.19575455948</c:v>
                </c:pt>
                <c:pt idx="8">
                  <c:v>283274.38601638423</c:v>
                </c:pt>
                <c:pt idx="9">
                  <c:v>284327.14670817053</c:v>
                </c:pt>
                <c:pt idx="10">
                  <c:v>285373.38256101799</c:v>
                </c:pt>
                <c:pt idx="11">
                  <c:v>284674.60176159866</c:v>
                </c:pt>
                <c:pt idx="12">
                  <c:v>280836.17393214698</c:v>
                </c:pt>
                <c:pt idx="13">
                  <c:v>281959.58181976964</c:v>
                </c:pt>
                <c:pt idx="14">
                  <c:v>282983.9547973054</c:v>
                </c:pt>
                <c:pt idx="15">
                  <c:v>285481.75598413963</c:v>
                </c:pt>
                <c:pt idx="16">
                  <c:v>286084.30725395493</c:v>
                </c:pt>
                <c:pt idx="17">
                  <c:v>287920.00676968985</c:v>
                </c:pt>
                <c:pt idx="18">
                  <c:v>289617.22166482115</c:v>
                </c:pt>
                <c:pt idx="19">
                  <c:v>291348.30874997948</c:v>
                </c:pt>
                <c:pt idx="20">
                  <c:v>292584.85714109411</c:v>
                </c:pt>
                <c:pt idx="21">
                  <c:v>294098.35233214521</c:v>
                </c:pt>
                <c:pt idx="22">
                  <c:v>296002.7701668411</c:v>
                </c:pt>
                <c:pt idx="23">
                  <c:v>297021.45481917221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32B-4CB0-9738-D44EBF54A4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3372304"/>
        <c:axId val="1263369168"/>
      </c:areaChart>
      <c:lineChart>
        <c:grouping val="standard"/>
        <c:varyColors val="0"/>
        <c:ser>
          <c:idx val="2"/>
          <c:order val="1"/>
          <c:tx>
            <c:v>meta2</c:v>
          </c:tx>
          <c:spPr>
            <a:ln>
              <a:prstDash val="dash"/>
            </a:ln>
          </c:spPr>
          <c:marker>
            <c:symbol val="none"/>
          </c:marker>
          <c:cat>
            <c:numRef>
              <c:f>'PRODUÇÃO TOTAL USINA'!$A$34:$A$57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USINA'!$B$34:$B$57</c:f>
              <c:numCache>
                <c:formatCode>#,##0</c:formatCode>
                <c:ptCount val="24"/>
                <c:pt idx="0">
                  <c:v>195847.64294193118</c:v>
                </c:pt>
                <c:pt idx="1">
                  <c:v>212858.32678815426</c:v>
                </c:pt>
                <c:pt idx="2">
                  <c:v>233488.36888553441</c:v>
                </c:pt>
                <c:pt idx="3">
                  <c:v>245175.53357296821</c:v>
                </c:pt>
                <c:pt idx="4">
                  <c:v>258517.6043258115</c:v>
                </c:pt>
                <c:pt idx="5">
                  <c:v>267726.70976063452</c:v>
                </c:pt>
                <c:pt idx="6">
                  <c:v>274174.06609813205</c:v>
                </c:pt>
                <c:pt idx="7">
                  <c:v>278781.19575455948</c:v>
                </c:pt>
                <c:pt idx="8">
                  <c:v>283274.38601638423</c:v>
                </c:pt>
                <c:pt idx="9">
                  <c:v>284327.14670817053</c:v>
                </c:pt>
                <c:pt idx="10">
                  <c:v>285373.38256101799</c:v>
                </c:pt>
                <c:pt idx="11">
                  <c:v>284674.60176159866</c:v>
                </c:pt>
                <c:pt idx="12">
                  <c:v>280836.17393214698</c:v>
                </c:pt>
                <c:pt idx="13">
                  <c:v>281959.58181976964</c:v>
                </c:pt>
                <c:pt idx="14">
                  <c:v>282983.9547973054</c:v>
                </c:pt>
                <c:pt idx="15">
                  <c:v>285481.75598413963</c:v>
                </c:pt>
                <c:pt idx="16">
                  <c:v>286084.30725395493</c:v>
                </c:pt>
                <c:pt idx="17">
                  <c:v>287920.00676968985</c:v>
                </c:pt>
                <c:pt idx="18">
                  <c:v>289617.22166482115</c:v>
                </c:pt>
                <c:pt idx="19">
                  <c:v>291348.30874997948</c:v>
                </c:pt>
                <c:pt idx="20">
                  <c:v>292584.85714109411</c:v>
                </c:pt>
                <c:pt idx="21">
                  <c:v>294098.35233214521</c:v>
                </c:pt>
                <c:pt idx="22">
                  <c:v>296002.7701668411</c:v>
                </c:pt>
                <c:pt idx="23">
                  <c:v>297021.45481917221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32B-4CB0-9738-D44EBF54A4E6}"/>
            </c:ext>
          </c:extLst>
        </c:ser>
        <c:ser>
          <c:idx val="0"/>
          <c:order val="2"/>
          <c:tx>
            <c:v>RITMO PRODUÇÃO ( kt )</c:v>
          </c:tx>
          <c:spPr>
            <a:ln w="38100">
              <a:solidFill>
                <a:schemeClr val="tx2"/>
              </a:solidFill>
            </a:ln>
            <a:effectLst>
              <a:glow rad="12700">
                <a:schemeClr val="accent1">
                  <a:alpha val="40000"/>
                </a:schemeClr>
              </a:glow>
            </a:effectLst>
          </c:spPr>
          <c:marker>
            <c:symbol val="circle"/>
            <c:size val="12"/>
            <c:spPr>
              <a:solidFill>
                <a:schemeClr val="tx1">
                  <a:lumMod val="75000"/>
                </a:schemeClr>
              </a:solidFill>
              <a:ln w="28575">
                <a:solidFill>
                  <a:schemeClr val="bg1"/>
                </a:solidFill>
              </a:ln>
              <a:effectLst>
                <a:glow rad="12700">
                  <a:schemeClr val="accent1">
                    <a:alpha val="40000"/>
                  </a:schemeClr>
                </a:glow>
              </a:effectLst>
            </c:spPr>
          </c:marker>
          <c:dLbls>
            <c:numFmt formatCode="#," sourceLinked="0"/>
            <c:spPr>
              <a:noFill/>
              <a:ln>
                <a:noFill/>
              </a:ln>
              <a:effectLst/>
            </c:spPr>
            <c:txPr>
              <a:bodyPr rot="-1980000" wrap="square" lIns="38100" tIns="19050" rIns="38100" bIns="19050" anchor="ctr">
                <a:spAutoFit/>
              </a:bodyPr>
              <a:lstStyle/>
              <a:p>
                <a:pPr>
                  <a:defRPr sz="1200" b="1">
                    <a:effectLst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'PRODUÇÃO TOTAL USINA'!$A$34:$A$57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USINA'!$C$34:$C$57</c:f>
              <c:numCache>
                <c:formatCode>#,##0</c:formatCode>
                <c:ptCount val="24"/>
                <c:pt idx="0">
                  <c:v>292968</c:v>
                </c:pt>
                <c:pt idx="1">
                  <c:v>278952</c:v>
                </c:pt>
                <c:pt idx="2">
                  <c:v>280544</c:v>
                </c:pt>
                <c:pt idx="3">
                  <c:v>286350</c:v>
                </c:pt>
                <c:pt idx="4">
                  <c:v>283435.19999999995</c:v>
                </c:pt>
                <c:pt idx="5">
                  <c:v>296356</c:v>
                </c:pt>
                <c:pt idx="6">
                  <c:v>286784.57142857142</c:v>
                </c:pt>
                <c:pt idx="7">
                  <c:v>271775.40000000002</c:v>
                </c:pt>
                <c:pt idx="8">
                  <c:v>270303.2</c:v>
                </c:pt>
                <c:pt idx="9">
                  <c:v>267723.83999999997</c:v>
                </c:pt>
                <c:pt idx="10">
                  <c:v>266127.49090909091</c:v>
                </c:pt>
                <c:pt idx="11">
                  <c:v>263628.19999999995</c:v>
                </c:pt>
                <c:pt idx="12">
                  <c:v>265904.30769230763</c:v>
                </c:pt>
                <c:pt idx="13">
                  <c:v>268259.99999999994</c:v>
                </c:pt>
                <c:pt idx="14">
                  <c:v>269422.23999999993</c:v>
                </c:pt>
                <c:pt idx="15">
                  <c:v>268716.29999999993</c:v>
                </c:pt>
                <c:pt idx="16">
                  <c:v>262651.62352941174</c:v>
                </c:pt>
                <c:pt idx="17">
                  <c:v>259934.66666666663</c:v>
                </c:pt>
                <c:pt idx="18">
                  <c:v>256054.73684210522</c:v>
                </c:pt>
                <c:pt idx="19">
                  <c:v>252440.39999999997</c:v>
                </c:pt>
                <c:pt idx="20">
                  <c:v>249042.28571428568</c:v>
                </c:pt>
                <c:pt idx="21">
                  <c:v>246573.81818181818</c:v>
                </c:pt>
                <c:pt idx="22">
                  <c:v>245557.56521739124</c:v>
                </c:pt>
                <c:pt idx="23">
                  <c:v>257933.21739130432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5-032B-4CB0-9738-D44EBF54A4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63372304"/>
        <c:axId val="1263369168"/>
        <c:extLst>
          <c:ext xmlns:c15="http://schemas.microsoft.com/office/drawing/2012/chart" uri="{02D57815-91ED-43cb-92C2-25804820EDAC}">
            <c15:filteredLineSeries>
              <c15:ser>
                <c:idx val="4"/>
                <c:order val="0"/>
                <c:tx>
                  <c:v>"Projeção"</c:v>
                </c:tx>
                <c:spPr>
                  <a:ln>
                    <a:solidFill>
                      <a:schemeClr val="bg2">
                        <a:lumMod val="10000"/>
                      </a:schemeClr>
                    </a:solidFill>
                    <a:prstDash val="sysDash"/>
                  </a:ln>
                </c:spPr>
                <c:marker>
                  <c:symbol val="circle"/>
                  <c:size val="10"/>
                  <c:spPr>
                    <a:solidFill>
                      <a:schemeClr val="accent5"/>
                    </a:solidFill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'PRODUÇÃO TOTAL USINA'!$A$34:$A$57</c15:sqref>
                        </c15:formulaRef>
                      </c:ext>
                    </c:extLst>
                    <c:numCache>
                      <c:formatCode>0"h"</c:formatCode>
                      <c:ptCount val="24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21</c:v>
                      </c:pt>
                      <c:pt idx="21">
                        <c:v>22</c:v>
                      </c:pt>
                      <c:pt idx="22">
                        <c:v>23</c:v>
                      </c:pt>
                      <c:pt idx="23">
                        <c:v>24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'PRODUÇÃO TOTAL USINA'!$D$34:$D$57</c15:sqref>
                        </c15:formulaRef>
                      </c:ext>
                    </c:extLst>
                    <c:numCache>
                      <c:formatCode>#,##0</c:formatCode>
                      <c:ptCount val="24"/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3-032B-4CB0-9738-D44EBF54A4E6}"/>
                  </c:ext>
                </c:extLst>
              </c15:ser>
            </c15:filteredLineSeries>
          </c:ext>
        </c:extLst>
      </c:lineChart>
      <c:catAx>
        <c:axId val="1263372304"/>
        <c:scaling>
          <c:orientation val="minMax"/>
        </c:scaling>
        <c:delete val="0"/>
        <c:axPos val="b"/>
        <c:numFmt formatCode="0&quot;h&quot;" sourceLinked="1"/>
        <c:majorTickMark val="none"/>
        <c:minorTickMark val="none"/>
        <c:tickLblPos val="nextTo"/>
        <c:spPr>
          <a:effectLst/>
        </c:spPr>
        <c:txPr>
          <a:bodyPr/>
          <a:lstStyle/>
          <a:p>
            <a:pPr>
              <a:defRPr sz="1050">
                <a:effectLst/>
              </a:defRPr>
            </a:pPr>
            <a:endParaRPr lang="pt-BR"/>
          </a:p>
        </c:txPr>
        <c:crossAx val="1263369168"/>
        <c:crosses val="autoZero"/>
        <c:auto val="1"/>
        <c:lblAlgn val="ctr"/>
        <c:lblOffset val="100"/>
        <c:noMultiLvlLbl val="0"/>
      </c:catAx>
      <c:valAx>
        <c:axId val="1263369168"/>
        <c:scaling>
          <c:orientation val="minMax"/>
          <c:min val="0"/>
        </c:scaling>
        <c:delete val="1"/>
        <c:axPos val="l"/>
        <c:numFmt formatCode="#,##0" sourceLinked="1"/>
        <c:majorTickMark val="none"/>
        <c:minorTickMark val="none"/>
        <c:tickLblPos val="nextTo"/>
        <c:crossAx val="1263372304"/>
        <c:crosses val="autoZero"/>
        <c:crossBetween val="between"/>
        <c:majorUnit val="400000"/>
        <c:minorUnit val="50000"/>
      </c:valAx>
    </c:plotArea>
    <c:legend>
      <c:legendPos val="b"/>
      <c:layout>
        <c:manualLayout>
          <c:xMode val="edge"/>
          <c:yMode val="edge"/>
          <c:x val="0.7086577058681629"/>
          <c:y val="0.90495627089835606"/>
          <c:w val="0.29134229401880013"/>
          <c:h val="8.1464935940660829E-2"/>
        </c:manualLayout>
      </c:layout>
      <c:overlay val="0"/>
      <c:spPr>
        <a:solidFill>
          <a:schemeClr val="bg1">
            <a:lumMod val="95000"/>
          </a:schemeClr>
        </a:solidFill>
        <a:effectLst/>
      </c:spPr>
      <c:txPr>
        <a:bodyPr/>
        <a:lstStyle/>
        <a:p>
          <a:pPr>
            <a:defRPr sz="1000">
              <a:effectLst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cap="rnd">
      <a:solidFill>
        <a:schemeClr val="bg1">
          <a:lumMod val="85000"/>
          <a:alpha val="0"/>
        </a:schemeClr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 sz="900"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1391836295896412E-2"/>
          <c:y val="0.27113698271170961"/>
          <c:w val="0.96573223522295282"/>
          <c:h val="0.56395363183086111"/>
        </c:manualLayout>
      </c:layout>
      <c:lineChart>
        <c:grouping val="standard"/>
        <c:varyColors val="0"/>
        <c:ser>
          <c:idx val="1"/>
          <c:order val="0"/>
          <c:tx>
            <c:v>Meta</c:v>
          </c:tx>
          <c:spPr>
            <a:ln w="22225">
              <a:prstDash val="dash"/>
            </a:ln>
          </c:spPr>
          <c:marker>
            <c:symbol val="none"/>
          </c:marker>
          <c:dLbls>
            <c:dLbl>
              <c:idx val="23"/>
              <c:layout>
                <c:manualLayout>
                  <c:x val="-1.2982004623331151E-2"/>
                  <c:y val="-0.27935686000976973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581-44ED-A448-853B658B25AA}"/>
                </c:ext>
              </c:extLst>
            </c:dLbl>
            <c:numFmt formatCode="#,##0" sourceLinked="0"/>
            <c:spPr>
              <a:noFill/>
              <a:ln>
                <a:solidFill>
                  <a:schemeClr val="accent2"/>
                </a:solidFill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>
                    <a:solidFill>
                      <a:schemeClr val="accent2"/>
                    </a:solidFill>
                    <a:effectLst/>
                  </a:defRPr>
                </a:pPr>
                <a:endParaRPr lang="pt-BR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'PRODUÇÃO TOTAL USINA'!$A$34:$A$57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USINA'!$K$34:$K$57</c:f>
              <c:numCache>
                <c:formatCode>#,##0</c:formatCode>
                <c:ptCount val="24"/>
                <c:pt idx="0">
                  <c:v>184040.33493729081</c:v>
                </c:pt>
                <c:pt idx="1">
                  <c:v>194669.03958351392</c:v>
                </c:pt>
                <c:pt idx="2">
                  <c:v>215585.42568089406</c:v>
                </c:pt>
                <c:pt idx="3">
                  <c:v>223365.74076832787</c:v>
                </c:pt>
                <c:pt idx="4">
                  <c:v>232154.52288117111</c:v>
                </c:pt>
                <c:pt idx="5">
                  <c:v>238041.75855599417</c:v>
                </c:pt>
                <c:pt idx="6">
                  <c:v>242361.78849349171</c:v>
                </c:pt>
                <c:pt idx="7">
                  <c:v>245373.42334991909</c:v>
                </c:pt>
                <c:pt idx="8">
                  <c:v>248012.01241174381</c:v>
                </c:pt>
                <c:pt idx="9">
                  <c:v>249962.07742353008</c:v>
                </c:pt>
                <c:pt idx="10">
                  <c:v>250582.11150183211</c:v>
                </c:pt>
                <c:pt idx="11">
                  <c:v>251798.66095695828</c:v>
                </c:pt>
                <c:pt idx="12">
                  <c:v>249580.89718904509</c:v>
                </c:pt>
                <c:pt idx="13">
                  <c:v>249752.80798655789</c:v>
                </c:pt>
                <c:pt idx="14">
                  <c:v>249330.69479266505</c:v>
                </c:pt>
                <c:pt idx="15">
                  <c:v>250240.68357949925</c:v>
                </c:pt>
                <c:pt idx="16">
                  <c:v>250294.10757872631</c:v>
                </c:pt>
                <c:pt idx="17">
                  <c:v>251239.41556504951</c:v>
                </c:pt>
                <c:pt idx="18">
                  <c:v>251939.70734439133</c:v>
                </c:pt>
                <c:pt idx="19">
                  <c:v>252601.75722533904</c:v>
                </c:pt>
                <c:pt idx="20">
                  <c:v>253215.89153645368</c:v>
                </c:pt>
                <c:pt idx="21">
                  <c:v>253834.41887295939</c:v>
                </c:pt>
                <c:pt idx="22">
                  <c:v>254441.43586654856</c:v>
                </c:pt>
                <c:pt idx="23">
                  <c:v>254731.08201453183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581-44ED-A448-853B658B25AA}"/>
            </c:ext>
          </c:extLst>
        </c:ser>
        <c:ser>
          <c:idx val="0"/>
          <c:order val="1"/>
          <c:tx>
            <c:v>RITMO PRODUÇÃO ( kt )</c:v>
          </c:tx>
          <c:spPr>
            <a:ln w="15875">
              <a:solidFill>
                <a:schemeClr val="tx2"/>
              </a:solidFill>
            </a:ln>
            <a:effectLst>
              <a:glow rad="12700">
                <a:schemeClr val="accent1">
                  <a:alpha val="40000"/>
                </a:schemeClr>
              </a:glow>
            </a:effectLst>
          </c:spPr>
          <c:marker>
            <c:symbol val="circle"/>
            <c:size val="7"/>
            <c:spPr>
              <a:solidFill>
                <a:schemeClr val="tx1">
                  <a:lumMod val="75000"/>
                </a:schemeClr>
              </a:solidFill>
              <a:ln w="12700">
                <a:solidFill>
                  <a:schemeClr val="bg1"/>
                </a:solidFill>
              </a:ln>
              <a:effectLst>
                <a:glow rad="12700">
                  <a:schemeClr val="accent1">
                    <a:alpha val="40000"/>
                  </a:schemeClr>
                </a:glow>
              </a:effectLst>
            </c:spPr>
          </c:marker>
          <c:dLbls>
            <c:numFmt formatCode="#," sourceLinked="0"/>
            <c:spPr>
              <a:noFill/>
              <a:ln>
                <a:noFill/>
              </a:ln>
              <a:effectLst/>
            </c:spPr>
            <c:txPr>
              <a:bodyPr rot="-1980000"/>
              <a:lstStyle/>
              <a:p>
                <a:pPr>
                  <a:defRPr>
                    <a:effectLst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eparator>.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errBars>
            <c:errDir val="y"/>
            <c:errBarType val="minus"/>
            <c:errValType val="percentage"/>
            <c:noEndCap val="0"/>
            <c:val val="100"/>
            <c:spPr>
              <a:ln>
                <a:solidFill>
                  <a:schemeClr val="tx1">
                    <a:shade val="95000"/>
                    <a:satMod val="105000"/>
                    <a:alpha val="20000"/>
                  </a:schemeClr>
                </a:solidFill>
                <a:prstDash val="dash"/>
              </a:ln>
            </c:spPr>
          </c:errBars>
          <c:cat>
            <c:numRef>
              <c:f>'PRODUÇÃO TOTAL USINA'!$A$34:$A$57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USINA'!$L$34:$L$57</c:f>
              <c:numCache>
                <c:formatCode>#,##0</c:formatCode>
                <c:ptCount val="24"/>
                <c:pt idx="0">
                  <c:v>256440</c:v>
                </c:pt>
                <c:pt idx="1">
                  <c:v>252684</c:v>
                </c:pt>
                <c:pt idx="2">
                  <c:v>248792</c:v>
                </c:pt>
                <c:pt idx="3">
                  <c:v>249408</c:v>
                </c:pt>
                <c:pt idx="4">
                  <c:v>247176</c:v>
                </c:pt>
                <c:pt idx="5">
                  <c:v>256348</c:v>
                </c:pt>
                <c:pt idx="6">
                  <c:v>250846.28571428568</c:v>
                </c:pt>
                <c:pt idx="7">
                  <c:v>239759.40000000002</c:v>
                </c:pt>
                <c:pt idx="8">
                  <c:v>235071.2</c:v>
                </c:pt>
                <c:pt idx="9">
                  <c:v>232415.03999999998</c:v>
                </c:pt>
                <c:pt idx="10">
                  <c:v>230286.76363636361</c:v>
                </c:pt>
                <c:pt idx="11">
                  <c:v>227504.19999999995</c:v>
                </c:pt>
                <c:pt idx="12">
                  <c:v>228176.30769230769</c:v>
                </c:pt>
                <c:pt idx="13">
                  <c:v>229405.71428571432</c:v>
                </c:pt>
                <c:pt idx="14">
                  <c:v>230457.44</c:v>
                </c:pt>
                <c:pt idx="15">
                  <c:v>230937.3</c:v>
                </c:pt>
                <c:pt idx="16">
                  <c:v>226582.44705882354</c:v>
                </c:pt>
                <c:pt idx="17">
                  <c:v>225597.33333333331</c:v>
                </c:pt>
                <c:pt idx="18">
                  <c:v>223524.63157894736</c:v>
                </c:pt>
                <c:pt idx="19">
                  <c:v>221491.19999999998</c:v>
                </c:pt>
                <c:pt idx="20">
                  <c:v>217562.28571428574</c:v>
                </c:pt>
                <c:pt idx="21">
                  <c:v>214852.36363636365</c:v>
                </c:pt>
                <c:pt idx="22">
                  <c:v>214409.73913043475</c:v>
                </c:pt>
                <c:pt idx="23">
                  <c:v>224594.08695652176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E581-44ED-A448-853B658B25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63367208"/>
        <c:axId val="1263366816"/>
      </c:lineChart>
      <c:catAx>
        <c:axId val="1263367208"/>
        <c:scaling>
          <c:orientation val="minMax"/>
        </c:scaling>
        <c:delete val="0"/>
        <c:axPos val="b"/>
        <c:numFmt formatCode="0&quot;h&quot;" sourceLinked="1"/>
        <c:majorTickMark val="none"/>
        <c:minorTickMark val="none"/>
        <c:tickLblPos val="nextTo"/>
        <c:spPr>
          <a:effectLst/>
        </c:spPr>
        <c:txPr>
          <a:bodyPr/>
          <a:lstStyle/>
          <a:p>
            <a:pPr>
              <a:defRPr b="0">
                <a:effectLst/>
              </a:defRPr>
            </a:pPr>
            <a:endParaRPr lang="pt-BR"/>
          </a:p>
        </c:txPr>
        <c:crossAx val="1263366816"/>
        <c:crosses val="autoZero"/>
        <c:auto val="1"/>
        <c:lblAlgn val="ctr"/>
        <c:lblOffset val="100"/>
        <c:noMultiLvlLbl val="0"/>
      </c:catAx>
      <c:valAx>
        <c:axId val="1263366816"/>
        <c:scaling>
          <c:orientation val="minMax"/>
          <c:min val="10"/>
        </c:scaling>
        <c:delete val="1"/>
        <c:axPos val="l"/>
        <c:numFmt formatCode="#,##0" sourceLinked="1"/>
        <c:majorTickMark val="none"/>
        <c:minorTickMark val="none"/>
        <c:tickLblPos val="nextTo"/>
        <c:crossAx val="126336720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44059226605166435"/>
          <c:y val="0.90495627089835606"/>
          <c:w val="0.55399471415292534"/>
          <c:h val="7.9741843077913599E-2"/>
        </c:manualLayout>
      </c:layout>
      <c:overlay val="0"/>
      <c:spPr>
        <a:solidFill>
          <a:schemeClr val="bg1">
            <a:lumMod val="95000"/>
          </a:schemeClr>
        </a:solidFill>
        <a:effectLst/>
      </c:spPr>
      <c:txPr>
        <a:bodyPr/>
        <a:lstStyle/>
        <a:p>
          <a:pPr>
            <a:defRPr>
              <a:effectLst/>
            </a:defRPr>
          </a:pPr>
          <a:endParaRPr lang="pt-BR"/>
        </a:p>
      </c:txPr>
    </c:legend>
    <c:plotVisOnly val="1"/>
    <c:dispBlanksAs val="gap"/>
    <c:showDLblsOverMax val="0"/>
  </c:chart>
  <c:spPr>
    <a:solidFill>
      <a:srgbClr val="FFFFFF"/>
    </a:solidFill>
    <a:ln cap="rnd">
      <a:solidFill>
        <a:schemeClr val="tx1">
          <a:alpha val="0"/>
        </a:schemeClr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 sz="700"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 orientation="portrait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232105463083877"/>
          <c:y val="0.15998636567869481"/>
          <c:w val="0.96573223522295282"/>
          <c:h val="0.56395363183086111"/>
        </c:manualLayout>
      </c:layout>
      <c:lineChart>
        <c:grouping val="standard"/>
        <c:varyColors val="0"/>
        <c:ser>
          <c:idx val="2"/>
          <c:order val="0"/>
          <c:tx>
            <c:v>Meta</c:v>
          </c:tx>
          <c:spPr>
            <a:ln w="22225">
              <a:prstDash val="dash"/>
            </a:ln>
          </c:spPr>
          <c:marker>
            <c:symbol val="none"/>
          </c:marker>
          <c:dLbls>
            <c:dLbl>
              <c:idx val="23"/>
              <c:layout>
                <c:manualLayout>
                  <c:x val="-2.768083803159772E-2"/>
                  <c:y val="-0.2295469054314113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42B-4B6C-B0D0-9A63DA1DEC8C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'PRODUÇÃO TOTAL USINA'!$A$34:$A$57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USINA'!$S$34:$S$57</c:f>
              <c:numCache>
                <c:formatCode>#,##0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94D-4672-970A-FF5D3434C0BF}"/>
            </c:ext>
          </c:extLst>
        </c:ser>
        <c:ser>
          <c:idx val="3"/>
          <c:order val="1"/>
          <c:tx>
            <c:v>RITMO PRODUÇÃO ( kt )</c:v>
          </c:tx>
          <c:spPr>
            <a:ln w="15875">
              <a:solidFill>
                <a:schemeClr val="tx2"/>
              </a:solidFill>
            </a:ln>
            <a:effectLst>
              <a:glow rad="12700">
                <a:schemeClr val="accent1">
                  <a:alpha val="40000"/>
                </a:schemeClr>
              </a:glow>
            </a:effectLst>
          </c:spPr>
          <c:marker>
            <c:symbol val="none"/>
          </c:marker>
          <c:cat>
            <c:numRef>
              <c:f>'PRODUÇÃO TOTAL USINA'!$A$34:$A$57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USINA'!$T$34:$T$57</c:f>
              <c:numCache>
                <c:formatCode>#,##0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18.285714285714285</c:v>
                </c:pt>
                <c:pt idx="21">
                  <c:v>25.09090909090909</c:v>
                </c:pt>
                <c:pt idx="22">
                  <c:v>24</c:v>
                </c:pt>
                <c:pt idx="23">
                  <c:v>169.04347826086956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94D-4672-970A-FF5D3434C0BF}"/>
            </c:ext>
          </c:extLst>
        </c:ser>
        <c:ser>
          <c:idx val="1"/>
          <c:order val="2"/>
          <c:tx>
            <c:v>Meta</c:v>
          </c:tx>
          <c:spPr>
            <a:ln w="22225">
              <a:prstDash val="dash"/>
            </a:ln>
          </c:spPr>
          <c:marker>
            <c:symbol val="none"/>
          </c:marker>
          <c:cat>
            <c:numRef>
              <c:f>'PRODUÇÃO TOTAL USINA'!$A$34:$A$57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USINA'!$S$34:$S$57</c:f>
              <c:numCache>
                <c:formatCode>#,##0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94D-4672-970A-FF5D3434C0BF}"/>
            </c:ext>
          </c:extLst>
        </c:ser>
        <c:ser>
          <c:idx val="0"/>
          <c:order val="3"/>
          <c:tx>
            <c:v>RITMO PRODUÇÃO ( kt )</c:v>
          </c:tx>
          <c:spPr>
            <a:ln w="15875">
              <a:solidFill>
                <a:schemeClr val="tx2"/>
              </a:solidFill>
            </a:ln>
            <a:effectLst>
              <a:glow rad="12700">
                <a:schemeClr val="accent1">
                  <a:alpha val="40000"/>
                </a:schemeClr>
              </a:glow>
            </a:effectLst>
          </c:spPr>
          <c:marker>
            <c:symbol val="circle"/>
            <c:size val="7"/>
            <c:spPr>
              <a:solidFill>
                <a:schemeClr val="tx1">
                  <a:lumMod val="75000"/>
                </a:schemeClr>
              </a:solidFill>
              <a:ln w="12700">
                <a:solidFill>
                  <a:schemeClr val="bg1"/>
                </a:solidFill>
              </a:ln>
              <a:effectLst>
                <a:glow rad="12700">
                  <a:schemeClr val="accent1">
                    <a:alpha val="40000"/>
                  </a:schemeClr>
                </a:glow>
              </a:effectLst>
            </c:spPr>
          </c:marker>
          <c:dLbls>
            <c:numFmt formatCode="#," sourceLinked="0"/>
            <c:spPr>
              <a:noFill/>
              <a:ln>
                <a:noFill/>
              </a:ln>
              <a:effectLst/>
            </c:spPr>
            <c:txPr>
              <a:bodyPr rot="-1980000"/>
              <a:lstStyle/>
              <a:p>
                <a:pPr>
                  <a:defRPr sz="900"/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eparator>.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errBars>
            <c:errDir val="y"/>
            <c:errBarType val="minus"/>
            <c:errValType val="percentage"/>
            <c:noEndCap val="0"/>
            <c:val val="100"/>
            <c:spPr>
              <a:ln>
                <a:solidFill>
                  <a:schemeClr val="tx1">
                    <a:alpha val="20000"/>
                  </a:schemeClr>
                </a:solidFill>
                <a:prstDash val="dash"/>
              </a:ln>
            </c:spPr>
          </c:errBars>
          <c:cat>
            <c:numRef>
              <c:f>'PRODUÇÃO TOTAL USINA'!$A$34:$A$57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USINA'!$T$34:$T$57</c:f>
              <c:numCache>
                <c:formatCode>#,##0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18.285714285714285</c:v>
                </c:pt>
                <c:pt idx="21">
                  <c:v>25.09090909090909</c:v>
                </c:pt>
                <c:pt idx="22">
                  <c:v>24</c:v>
                </c:pt>
                <c:pt idx="23">
                  <c:v>169.04347826086956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4-B94D-4672-970A-FF5D3434C0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63371912"/>
        <c:axId val="1263365640"/>
      </c:lineChart>
      <c:catAx>
        <c:axId val="1263371912"/>
        <c:scaling>
          <c:orientation val="minMax"/>
        </c:scaling>
        <c:delete val="0"/>
        <c:axPos val="b"/>
        <c:numFmt formatCode="0&quot;h&quot;" sourceLinked="1"/>
        <c:majorTickMark val="none"/>
        <c:minorTickMark val="none"/>
        <c:tickLblPos val="nextTo"/>
        <c:txPr>
          <a:bodyPr/>
          <a:lstStyle/>
          <a:p>
            <a:pPr>
              <a:defRPr sz="700"/>
            </a:pPr>
            <a:endParaRPr lang="pt-BR"/>
          </a:p>
        </c:txPr>
        <c:crossAx val="1263365640"/>
        <c:crosses val="autoZero"/>
        <c:auto val="1"/>
        <c:lblAlgn val="ctr"/>
        <c:lblOffset val="100"/>
        <c:noMultiLvlLbl val="0"/>
      </c:catAx>
      <c:valAx>
        <c:axId val="1263365640"/>
        <c:scaling>
          <c:orientation val="minMax"/>
          <c:min val="10"/>
        </c:scaling>
        <c:delete val="1"/>
        <c:axPos val="l"/>
        <c:numFmt formatCode="#,##0" sourceLinked="1"/>
        <c:majorTickMark val="none"/>
        <c:minorTickMark val="none"/>
        <c:tickLblPos val="nextTo"/>
        <c:crossAx val="126337191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44059226605166435"/>
          <c:y val="0.90495627089835606"/>
          <c:w val="0.55399471415292534"/>
          <c:h val="7.9741843077913599E-2"/>
        </c:manualLayout>
      </c:layout>
      <c:overlay val="0"/>
      <c:spPr>
        <a:solidFill>
          <a:schemeClr val="bg1">
            <a:lumMod val="95000"/>
          </a:schemeClr>
        </a:solidFill>
      </c:spPr>
      <c:txPr>
        <a:bodyPr/>
        <a:lstStyle/>
        <a:p>
          <a:pPr>
            <a:defRPr sz="600"/>
          </a:pPr>
          <a:endParaRPr lang="pt-BR"/>
        </a:p>
      </c:txPr>
    </c:legend>
    <c:plotVisOnly val="1"/>
    <c:dispBlanksAs val="gap"/>
    <c:showDLblsOverMax val="0"/>
  </c:chart>
  <c:spPr>
    <a:ln cap="rnd">
      <a:solidFill>
        <a:schemeClr val="bg1">
          <a:lumMod val="85000"/>
          <a:alpha val="0"/>
        </a:schemeClr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 sz="700"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 orientation="portrait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232105463083877"/>
          <c:y val="0.15998636567869481"/>
          <c:w val="0.96573223522295282"/>
          <c:h val="0.60099600931257613"/>
        </c:manualLayout>
      </c:layout>
      <c:lineChart>
        <c:grouping val="standard"/>
        <c:varyColors val="0"/>
        <c:ser>
          <c:idx val="1"/>
          <c:order val="0"/>
          <c:tx>
            <c:v>Meta</c:v>
          </c:tx>
          <c:spPr>
            <a:ln w="22225">
              <a:prstDash val="dash"/>
            </a:ln>
          </c:spPr>
          <c:marker>
            <c:symbol val="none"/>
          </c:marker>
          <c:dLbls>
            <c:dLbl>
              <c:idx val="23"/>
              <c:layout>
                <c:manualLayout>
                  <c:x val="-2.4582568152508817E-2"/>
                  <c:y val="-0.43755153620743958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3CD-440B-ABEF-87812DF3457F}"/>
                </c:ext>
              </c:extLst>
            </c:dLbl>
            <c:numFmt formatCode="#,##0" sourceLinked="0"/>
            <c:spPr>
              <a:noFill/>
              <a:ln>
                <a:solidFill>
                  <a:schemeClr val="accent2"/>
                </a:solidFill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 b="1">
                    <a:solidFill>
                      <a:schemeClr val="accent2"/>
                    </a:solidFill>
                  </a:defRPr>
                </a:pPr>
                <a:endParaRPr lang="pt-BR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'PRODUÇÃO TOTAL USINA'!$A$34:$A$57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USINA'!$AA$34:$AA$57</c:f>
              <c:numCache>
                <c:formatCode>#,##0</c:formatCode>
                <c:ptCount val="24"/>
                <c:pt idx="0">
                  <c:v>0</c:v>
                </c:pt>
                <c:pt idx="1">
                  <c:v>6381.9791999999998</c:v>
                </c:pt>
                <c:pt idx="2">
                  <c:v>6095.6351999999997</c:v>
                </c:pt>
                <c:pt idx="3">
                  <c:v>10002.484800000002</c:v>
                </c:pt>
                <c:pt idx="4">
                  <c:v>14555.773439999999</c:v>
                </c:pt>
                <c:pt idx="5">
                  <c:v>17877.643199999999</c:v>
                </c:pt>
                <c:pt idx="6">
                  <c:v>20004.969599999997</c:v>
                </c:pt>
                <c:pt idx="7">
                  <c:v>21600.464399999997</c:v>
                </c:pt>
                <c:pt idx="8">
                  <c:v>23455.065599999998</c:v>
                </c:pt>
                <c:pt idx="9">
                  <c:v>22557.761279999999</c:v>
                </c:pt>
                <c:pt idx="10">
                  <c:v>22983.963054545453</c:v>
                </c:pt>
                <c:pt idx="11">
                  <c:v>21068.632799999999</c:v>
                </c:pt>
                <c:pt idx="12">
                  <c:v>19447.968738461539</c:v>
                </c:pt>
                <c:pt idx="13">
                  <c:v>20399.465828571425</c:v>
                </c:pt>
                <c:pt idx="14">
                  <c:v>21845.951999999997</c:v>
                </c:pt>
                <c:pt idx="15">
                  <c:v>23433.7644</c:v>
                </c:pt>
                <c:pt idx="16">
                  <c:v>23982.891670588237</c:v>
                </c:pt>
                <c:pt idx="17">
                  <c:v>24873.283199999998</c:v>
                </c:pt>
                <c:pt idx="18">
                  <c:v>25870.206315789474</c:v>
                </c:pt>
                <c:pt idx="19">
                  <c:v>26939.24352</c:v>
                </c:pt>
                <c:pt idx="20">
                  <c:v>27561.657600000006</c:v>
                </c:pt>
                <c:pt idx="21">
                  <c:v>28456.625454545458</c:v>
                </c:pt>
                <c:pt idx="22">
                  <c:v>29754.026295652176</c:v>
                </c:pt>
                <c:pt idx="23">
                  <c:v>30483.0648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3CD-440B-ABEF-87812DF3457F}"/>
            </c:ext>
          </c:extLst>
        </c:ser>
        <c:ser>
          <c:idx val="0"/>
          <c:order val="1"/>
          <c:tx>
            <c:v>RITMO PRODUÇÃO ( kt )</c:v>
          </c:tx>
          <c:spPr>
            <a:ln w="15875">
              <a:solidFill>
                <a:schemeClr val="tx2"/>
              </a:solidFill>
            </a:ln>
            <a:effectLst>
              <a:glow rad="12700">
                <a:schemeClr val="accent1">
                  <a:alpha val="40000"/>
                </a:schemeClr>
              </a:glow>
            </a:effectLst>
          </c:spPr>
          <c:marker>
            <c:symbol val="circle"/>
            <c:size val="7"/>
            <c:spPr>
              <a:solidFill>
                <a:schemeClr val="tx1">
                  <a:lumMod val="75000"/>
                </a:schemeClr>
              </a:solidFill>
              <a:ln>
                <a:solidFill>
                  <a:schemeClr val="bg1"/>
                </a:solidFill>
              </a:ln>
              <a:effectLst>
                <a:glow rad="12700">
                  <a:schemeClr val="accent1">
                    <a:alpha val="40000"/>
                  </a:schemeClr>
                </a:glow>
              </a:effectLst>
            </c:spPr>
          </c:marker>
          <c:dLbls>
            <c:numFmt formatCode="#," sourceLinked="0"/>
            <c:spPr>
              <a:noFill/>
              <a:ln>
                <a:noFill/>
              </a:ln>
              <a:effectLst/>
            </c:spPr>
            <c:txPr>
              <a:bodyPr rot="-1980000"/>
              <a:lstStyle/>
              <a:p>
                <a:pPr>
                  <a:defRPr sz="900"/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eparator>.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errBars>
            <c:errDir val="y"/>
            <c:errBarType val="minus"/>
            <c:errValType val="percentage"/>
            <c:noEndCap val="0"/>
            <c:val val="100"/>
            <c:spPr>
              <a:ln>
                <a:solidFill>
                  <a:schemeClr val="tx1">
                    <a:shade val="95000"/>
                    <a:satMod val="105000"/>
                    <a:alpha val="20000"/>
                  </a:schemeClr>
                </a:solidFill>
                <a:prstDash val="dash"/>
              </a:ln>
            </c:spPr>
          </c:errBars>
          <c:cat>
            <c:numRef>
              <c:f>'PRODUÇÃO TOTAL USINA'!$A$34:$A$57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USINA'!$AB$34:$AB$57</c:f>
              <c:numCache>
                <c:formatCode>#,##0</c:formatCode>
                <c:ptCount val="24"/>
                <c:pt idx="0">
                  <c:v>28560</c:v>
                </c:pt>
                <c:pt idx="1">
                  <c:v>19440</c:v>
                </c:pt>
                <c:pt idx="2">
                  <c:v>25920</c:v>
                </c:pt>
                <c:pt idx="3">
                  <c:v>31320</c:v>
                </c:pt>
                <c:pt idx="4">
                  <c:v>30768</c:v>
                </c:pt>
                <c:pt idx="5">
                  <c:v>34760</c:v>
                </c:pt>
                <c:pt idx="6">
                  <c:v>31440</c:v>
                </c:pt>
                <c:pt idx="7">
                  <c:v>28080</c:v>
                </c:pt>
                <c:pt idx="8">
                  <c:v>31733.333333333332</c:v>
                </c:pt>
                <c:pt idx="9">
                  <c:v>32160</c:v>
                </c:pt>
                <c:pt idx="10">
                  <c:v>32967.272727272728</c:v>
                </c:pt>
                <c:pt idx="11">
                  <c:v>33100</c:v>
                </c:pt>
                <c:pt idx="12">
                  <c:v>34523.076923076922</c:v>
                </c:pt>
                <c:pt idx="13">
                  <c:v>35451.428571428572</c:v>
                </c:pt>
                <c:pt idx="14">
                  <c:v>35344</c:v>
                </c:pt>
                <c:pt idx="15">
                  <c:v>34305</c:v>
                </c:pt>
                <c:pt idx="16">
                  <c:v>32400</c:v>
                </c:pt>
                <c:pt idx="17">
                  <c:v>30626.666666666664</c:v>
                </c:pt>
                <c:pt idx="18">
                  <c:v>29014.736842105267</c:v>
                </c:pt>
                <c:pt idx="19">
                  <c:v>27564</c:v>
                </c:pt>
                <c:pt idx="20">
                  <c:v>28011.428571428572</c:v>
                </c:pt>
                <c:pt idx="21">
                  <c:v>28080</c:v>
                </c:pt>
                <c:pt idx="22">
                  <c:v>27558.26086956522</c:v>
                </c:pt>
                <c:pt idx="23">
                  <c:v>29446.956521739132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43CD-440B-ABEF-87812DF345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63373872"/>
        <c:axId val="1263374264"/>
      </c:lineChart>
      <c:catAx>
        <c:axId val="1263373872"/>
        <c:scaling>
          <c:orientation val="minMax"/>
        </c:scaling>
        <c:delete val="0"/>
        <c:axPos val="b"/>
        <c:numFmt formatCode="0&quot;h&quot;" sourceLinked="1"/>
        <c:majorTickMark val="none"/>
        <c:minorTickMark val="none"/>
        <c:tickLblPos val="nextTo"/>
        <c:txPr>
          <a:bodyPr/>
          <a:lstStyle/>
          <a:p>
            <a:pPr>
              <a:defRPr sz="700"/>
            </a:pPr>
            <a:endParaRPr lang="pt-BR"/>
          </a:p>
        </c:txPr>
        <c:crossAx val="1263374264"/>
        <c:crosses val="autoZero"/>
        <c:auto val="1"/>
        <c:lblAlgn val="ctr"/>
        <c:lblOffset val="100"/>
        <c:noMultiLvlLbl val="0"/>
      </c:catAx>
      <c:valAx>
        <c:axId val="1263374264"/>
        <c:scaling>
          <c:orientation val="minMax"/>
          <c:min val="10"/>
        </c:scaling>
        <c:delete val="1"/>
        <c:axPos val="l"/>
        <c:numFmt formatCode="#,##0" sourceLinked="1"/>
        <c:majorTickMark val="none"/>
        <c:minorTickMark val="none"/>
        <c:tickLblPos val="nextTo"/>
        <c:crossAx val="126337387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44059226605166435"/>
          <c:y val="0.90495627089835606"/>
          <c:w val="0.55399471415292534"/>
          <c:h val="7.9741843077913599E-2"/>
        </c:manualLayout>
      </c:layout>
      <c:overlay val="0"/>
      <c:spPr>
        <a:solidFill>
          <a:schemeClr val="bg1">
            <a:lumMod val="95000"/>
          </a:schemeClr>
        </a:solidFill>
      </c:spPr>
      <c:txPr>
        <a:bodyPr/>
        <a:lstStyle/>
        <a:p>
          <a:pPr>
            <a:defRPr sz="600"/>
          </a:pPr>
          <a:endParaRPr lang="pt-BR"/>
        </a:p>
      </c:txPr>
    </c:legend>
    <c:plotVisOnly val="1"/>
    <c:dispBlanksAs val="gap"/>
    <c:showDLblsOverMax val="0"/>
  </c:chart>
  <c:spPr>
    <a:ln cap="rnd">
      <a:solidFill>
        <a:schemeClr val="bg1">
          <a:lumMod val="85000"/>
          <a:alpha val="0"/>
        </a:schemeClr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 sz="700"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 orientation="portrait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232105463083877"/>
          <c:y val="0.15998636567869481"/>
          <c:w val="0.96573223522295282"/>
          <c:h val="0.56395363183086111"/>
        </c:manualLayout>
      </c:layout>
      <c:lineChart>
        <c:grouping val="standard"/>
        <c:varyColors val="0"/>
        <c:ser>
          <c:idx val="1"/>
          <c:order val="0"/>
          <c:tx>
            <c:v>Meta</c:v>
          </c:tx>
          <c:spPr>
            <a:ln w="22225">
              <a:prstDash val="dash"/>
            </a:ln>
          </c:spPr>
          <c:marker>
            <c:symbol val="none"/>
          </c:marker>
          <c:dLbls>
            <c:dLbl>
              <c:idx val="23"/>
              <c:layout>
                <c:manualLayout>
                  <c:x val="-3.3784121747909179E-2"/>
                  <c:y val="-0.34132629053358776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949-4462-A839-4183FB1DAA05}"/>
                </c:ext>
              </c:extLst>
            </c:dLbl>
            <c:numFmt formatCode="#,##0" sourceLinked="0"/>
            <c:spPr>
              <a:noFill/>
              <a:ln>
                <a:solidFill>
                  <a:schemeClr val="accent2"/>
                </a:solidFill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>
                    <a:solidFill>
                      <a:schemeClr val="accent2"/>
                    </a:solidFill>
                  </a:defRPr>
                </a:pPr>
                <a:endParaRPr lang="pt-BR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'PRODUÇÃO TOTAL USINA'!$A$34:$A$57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USINA'!$AI$34:$AI$57</c:f>
              <c:numCache>
                <c:formatCode>#,##0</c:formatCode>
                <c:ptCount val="24"/>
                <c:pt idx="0">
                  <c:v>3430.9999999999995</c:v>
                </c:pt>
                <c:pt idx="1">
                  <c:v>3430.9999999999995</c:v>
                </c:pt>
                <c:pt idx="2">
                  <c:v>3430.9999999999995</c:v>
                </c:pt>
                <c:pt idx="3">
                  <c:v>3430.9999999999995</c:v>
                </c:pt>
                <c:pt idx="4">
                  <c:v>3430.9999999999995</c:v>
                </c:pt>
                <c:pt idx="5">
                  <c:v>3430.9999999999991</c:v>
                </c:pt>
                <c:pt idx="6">
                  <c:v>3430.9999999999991</c:v>
                </c:pt>
                <c:pt idx="7">
                  <c:v>3430.9999999999991</c:v>
                </c:pt>
                <c:pt idx="8">
                  <c:v>3430.9999999999991</c:v>
                </c:pt>
                <c:pt idx="9">
                  <c:v>3430.9999999999991</c:v>
                </c:pt>
                <c:pt idx="10">
                  <c:v>3430.9999999999991</c:v>
                </c:pt>
                <c:pt idx="11">
                  <c:v>3430.9999999999991</c:v>
                </c:pt>
                <c:pt idx="12">
                  <c:v>3430.9999999999991</c:v>
                </c:pt>
                <c:pt idx="13">
                  <c:v>3430.9999999999991</c:v>
                </c:pt>
                <c:pt idx="14">
                  <c:v>3430.9999999999991</c:v>
                </c:pt>
                <c:pt idx="15">
                  <c:v>3430.9999999999991</c:v>
                </c:pt>
                <c:pt idx="16">
                  <c:v>3430.9999999999991</c:v>
                </c:pt>
                <c:pt idx="17">
                  <c:v>3430.9999999999995</c:v>
                </c:pt>
                <c:pt idx="18">
                  <c:v>3430.9999999999995</c:v>
                </c:pt>
                <c:pt idx="19">
                  <c:v>3430.9999999999995</c:v>
                </c:pt>
                <c:pt idx="20">
                  <c:v>3431</c:v>
                </c:pt>
                <c:pt idx="21">
                  <c:v>3431</c:v>
                </c:pt>
                <c:pt idx="22">
                  <c:v>3431</c:v>
                </c:pt>
                <c:pt idx="23">
                  <c:v>3431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949-4462-A839-4183FB1DAA05}"/>
            </c:ext>
          </c:extLst>
        </c:ser>
        <c:ser>
          <c:idx val="0"/>
          <c:order val="1"/>
          <c:tx>
            <c:v>RITMO PRODUÇÃO ( kt )</c:v>
          </c:tx>
          <c:spPr>
            <a:ln w="15875">
              <a:solidFill>
                <a:schemeClr val="tx2"/>
              </a:solidFill>
            </a:ln>
            <a:effectLst>
              <a:glow rad="12700">
                <a:schemeClr val="accent1">
                  <a:alpha val="40000"/>
                </a:schemeClr>
              </a:glow>
            </a:effectLst>
          </c:spPr>
          <c:marker>
            <c:symbol val="circle"/>
            <c:size val="7"/>
            <c:spPr>
              <a:solidFill>
                <a:schemeClr val="tx1">
                  <a:lumMod val="75000"/>
                </a:schemeClr>
              </a:solidFill>
              <a:ln>
                <a:solidFill>
                  <a:schemeClr val="bg1"/>
                </a:solidFill>
              </a:ln>
              <a:effectLst>
                <a:glow rad="12700">
                  <a:schemeClr val="accent1">
                    <a:alpha val="40000"/>
                  </a:schemeClr>
                </a:glow>
              </a:effectLst>
            </c:spPr>
          </c:marker>
          <c:dLbls>
            <c:numFmt formatCode="#," sourceLinked="0"/>
            <c:spPr>
              <a:noFill/>
              <a:ln>
                <a:noFill/>
              </a:ln>
              <a:effectLst/>
            </c:spPr>
            <c:txPr>
              <a:bodyPr rot="-1980000"/>
              <a:lstStyle/>
              <a:p>
                <a:pPr>
                  <a:defRPr sz="900"/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eparator>.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errBars>
            <c:errDir val="y"/>
            <c:errBarType val="minus"/>
            <c:errValType val="percentage"/>
            <c:noEndCap val="0"/>
            <c:val val="100"/>
            <c:spPr>
              <a:ln>
                <a:solidFill>
                  <a:schemeClr val="tx1">
                    <a:alpha val="20000"/>
                  </a:schemeClr>
                </a:solidFill>
                <a:prstDash val="dash"/>
              </a:ln>
            </c:spPr>
          </c:errBars>
          <c:cat>
            <c:numRef>
              <c:f>'PRODUÇÃO TOTAL USINA'!$A$34:$A$57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USINA'!$AJ$34:$AJ$57</c:f>
              <c:numCache>
                <c:formatCode>#,##0</c:formatCode>
                <c:ptCount val="24"/>
                <c:pt idx="0">
                  <c:v>7968</c:v>
                </c:pt>
                <c:pt idx="1">
                  <c:v>6828</c:v>
                </c:pt>
                <c:pt idx="2">
                  <c:v>5832</c:v>
                </c:pt>
                <c:pt idx="3">
                  <c:v>5622</c:v>
                </c:pt>
                <c:pt idx="4">
                  <c:v>5491.2000000000007</c:v>
                </c:pt>
                <c:pt idx="5">
                  <c:v>5248</c:v>
                </c:pt>
                <c:pt idx="6">
                  <c:v>4498.2857142857138</c:v>
                </c:pt>
                <c:pt idx="7">
                  <c:v>3936</c:v>
                </c:pt>
                <c:pt idx="8">
                  <c:v>3498.6666666666665</c:v>
                </c:pt>
                <c:pt idx="9">
                  <c:v>3148.7999999999997</c:v>
                </c:pt>
                <c:pt idx="10">
                  <c:v>2873.4545454545455</c:v>
                </c:pt>
                <c:pt idx="11">
                  <c:v>3024</c:v>
                </c:pt>
                <c:pt idx="12">
                  <c:v>3204.9230769230771</c:v>
                </c:pt>
                <c:pt idx="13">
                  <c:v>3402.8571428571427</c:v>
                </c:pt>
                <c:pt idx="14">
                  <c:v>3620.8</c:v>
                </c:pt>
                <c:pt idx="15">
                  <c:v>3474</c:v>
                </c:pt>
                <c:pt idx="16">
                  <c:v>3669.1764705882351</c:v>
                </c:pt>
                <c:pt idx="17">
                  <c:v>3710.666666666667</c:v>
                </c:pt>
                <c:pt idx="18">
                  <c:v>3515.3684210526317</c:v>
                </c:pt>
                <c:pt idx="19">
                  <c:v>3385.2000000000003</c:v>
                </c:pt>
                <c:pt idx="20">
                  <c:v>3450.2857142857142</c:v>
                </c:pt>
                <c:pt idx="21">
                  <c:v>3616.3636363636365</c:v>
                </c:pt>
                <c:pt idx="22">
                  <c:v>3565.565217391304</c:v>
                </c:pt>
                <c:pt idx="23">
                  <c:v>3723.1304347826085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6949-4462-A839-4183FB1DAA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63363680"/>
        <c:axId val="1263364072"/>
      </c:lineChart>
      <c:catAx>
        <c:axId val="1263363680"/>
        <c:scaling>
          <c:orientation val="minMax"/>
        </c:scaling>
        <c:delete val="0"/>
        <c:axPos val="b"/>
        <c:numFmt formatCode="0&quot;h&quot;" sourceLinked="1"/>
        <c:majorTickMark val="none"/>
        <c:minorTickMark val="none"/>
        <c:tickLblPos val="nextTo"/>
        <c:txPr>
          <a:bodyPr/>
          <a:lstStyle/>
          <a:p>
            <a:pPr>
              <a:defRPr sz="700"/>
            </a:pPr>
            <a:endParaRPr lang="pt-BR"/>
          </a:p>
        </c:txPr>
        <c:crossAx val="1263364072"/>
        <c:crosses val="autoZero"/>
        <c:auto val="1"/>
        <c:lblAlgn val="ctr"/>
        <c:lblOffset val="100"/>
        <c:noMultiLvlLbl val="0"/>
      </c:catAx>
      <c:valAx>
        <c:axId val="1263364072"/>
        <c:scaling>
          <c:orientation val="minMax"/>
          <c:min val="10"/>
        </c:scaling>
        <c:delete val="1"/>
        <c:axPos val="l"/>
        <c:numFmt formatCode="#,##0" sourceLinked="1"/>
        <c:majorTickMark val="none"/>
        <c:minorTickMark val="none"/>
        <c:tickLblPos val="nextTo"/>
        <c:crossAx val="1263363680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44059226605166435"/>
          <c:y val="0.90495627089835606"/>
          <c:w val="0.55399471415292534"/>
          <c:h val="7.9741843077913599E-2"/>
        </c:manualLayout>
      </c:layout>
      <c:overlay val="0"/>
      <c:spPr>
        <a:solidFill>
          <a:schemeClr val="bg1">
            <a:lumMod val="95000"/>
          </a:schemeClr>
        </a:solidFill>
      </c:spPr>
      <c:txPr>
        <a:bodyPr/>
        <a:lstStyle/>
        <a:p>
          <a:pPr>
            <a:defRPr sz="600"/>
          </a:pPr>
          <a:endParaRPr lang="pt-BR"/>
        </a:p>
      </c:txPr>
    </c:legend>
    <c:plotVisOnly val="1"/>
    <c:dispBlanksAs val="gap"/>
    <c:showDLblsOverMax val="0"/>
  </c:chart>
  <c:spPr>
    <a:ln cap="rnd">
      <a:solidFill>
        <a:schemeClr val="bg1">
          <a:lumMod val="85000"/>
          <a:alpha val="0"/>
        </a:schemeClr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 sz="700"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 orientation="portrait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10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defRPr>
            </a:pPr>
            <a:r>
              <a:rPr lang="pt-BR" sz="1800">
                <a:effectLst/>
              </a:rPr>
              <a:t>PROGRAMA Vs PRODUÇÃO TOTAL</a:t>
            </a:r>
          </a:p>
        </c:rich>
      </c:tx>
      <c:layout>
        <c:manualLayout>
          <c:xMode val="edge"/>
          <c:yMode val="edge"/>
          <c:x val="0.3941383350809658"/>
          <c:y val="1.104159638878938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1.1747794308002458E-2"/>
          <c:y val="0.11389225117140173"/>
          <c:w val="0.97314579989917172"/>
          <c:h val="0.61061120225289012"/>
        </c:manualLayout>
      </c:layout>
      <c:barChart>
        <c:barDir val="col"/>
        <c:grouping val="clustered"/>
        <c:varyColors val="0"/>
        <c:ser>
          <c:idx val="0"/>
          <c:order val="0"/>
          <c:tx>
            <c:v>D+1</c:v>
          </c:tx>
          <c:spPr>
            <a:solidFill>
              <a:schemeClr val="accent2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accent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'PRODUÇÃO TOTAL USINA'!$A$3:$A$30</c:f>
              <c:strCache>
                <c:ptCount val="27"/>
                <c:pt idx="0">
                  <c:v>1h</c:v>
                </c:pt>
                <c:pt idx="1">
                  <c:v>2h</c:v>
                </c:pt>
                <c:pt idx="2">
                  <c:v>3h</c:v>
                </c:pt>
                <c:pt idx="3">
                  <c:v>4h</c:v>
                </c:pt>
                <c:pt idx="4">
                  <c:v>5h</c:v>
                </c:pt>
                <c:pt idx="5">
                  <c:v>6h</c:v>
                </c:pt>
                <c:pt idx="6">
                  <c:v>7h</c:v>
                </c:pt>
                <c:pt idx="7">
                  <c:v>8h</c:v>
                </c:pt>
                <c:pt idx="8">
                  <c:v>9h</c:v>
                </c:pt>
                <c:pt idx="9">
                  <c:v>10h</c:v>
                </c:pt>
                <c:pt idx="10">
                  <c:v>11h</c:v>
                </c:pt>
                <c:pt idx="11">
                  <c:v>12h</c:v>
                </c:pt>
                <c:pt idx="12">
                  <c:v>13h</c:v>
                </c:pt>
                <c:pt idx="13">
                  <c:v>14h</c:v>
                </c:pt>
                <c:pt idx="14">
                  <c:v>15h</c:v>
                </c:pt>
                <c:pt idx="15">
                  <c:v>16h</c:v>
                </c:pt>
                <c:pt idx="16">
                  <c:v>17h</c:v>
                </c:pt>
                <c:pt idx="17">
                  <c:v>18h</c:v>
                </c:pt>
                <c:pt idx="18">
                  <c:v>19h</c:v>
                </c:pt>
                <c:pt idx="19">
                  <c:v>20h</c:v>
                </c:pt>
                <c:pt idx="20">
                  <c:v>21h</c:v>
                </c:pt>
                <c:pt idx="21">
                  <c:v>22h</c:v>
                </c:pt>
                <c:pt idx="22">
                  <c:v>23h</c:v>
                </c:pt>
                <c:pt idx="23">
                  <c:v>24h</c:v>
                </c:pt>
                <c:pt idx="24">
                  <c:v>Saldo</c:v>
                </c:pt>
                <c:pt idx="25">
                  <c:v>Acum. Real vs Acum. D+1</c:v>
                </c:pt>
                <c:pt idx="26">
                  <c:v>Proj. Dia vs D+1</c:v>
                </c:pt>
              </c:strCache>
            </c:strRef>
          </c:cat>
          <c:val>
            <c:numRef>
              <c:f>'PRODUÇÃO TOTAL USINA'!$B$3:$B$29</c:f>
              <c:numCache>
                <c:formatCode>#,##0</c:formatCode>
                <c:ptCount val="27"/>
                <c:pt idx="0">
                  <c:v>8160.318455913799</c:v>
                </c:pt>
                <c:pt idx="1">
                  <c:v>9577.8754430990575</c:v>
                </c:pt>
                <c:pt idx="2">
                  <c:v>11447.852211678948</c:v>
                </c:pt>
                <c:pt idx="3">
                  <c:v>11676.542818136239</c:v>
                </c:pt>
                <c:pt idx="4">
                  <c:v>12995.245305716022</c:v>
                </c:pt>
                <c:pt idx="5">
                  <c:v>13073.843205614574</c:v>
                </c:pt>
                <c:pt idx="6">
                  <c:v>13035.758505129876</c:v>
                </c:pt>
                <c:pt idx="7">
                  <c:v>12959.629306231316</c:v>
                </c:pt>
                <c:pt idx="8">
                  <c:v>13300.829504624242</c:v>
                </c:pt>
                <c:pt idx="9">
                  <c:v>12241.74970559364</c:v>
                </c:pt>
                <c:pt idx="10">
                  <c:v>12326.489212062201</c:v>
                </c:pt>
                <c:pt idx="11">
                  <c:v>11541.167206999429</c:v>
                </c:pt>
                <c:pt idx="12">
                  <c:v>9782.2933324469468</c:v>
                </c:pt>
                <c:pt idx="13">
                  <c:v>12356.828514952684</c:v>
                </c:pt>
                <c:pt idx="14">
                  <c:v>12388.549020116907</c:v>
                </c:pt>
                <c:pt idx="15">
                  <c:v>13456.198907777205</c:v>
                </c:pt>
                <c:pt idx="16">
                  <c:v>12321.880315458317</c:v>
                </c:pt>
                <c:pt idx="17">
                  <c:v>13296.954105716022</c:v>
                </c:pt>
                <c:pt idx="18">
                  <c:v>13340.295407382679</c:v>
                </c:pt>
                <c:pt idx="19">
                  <c:v>13509.956806999431</c:v>
                </c:pt>
                <c:pt idx="20">
                  <c:v>13221.492706807803</c:v>
                </c:pt>
                <c:pt idx="21">
                  <c:v>13578.406306009098</c:v>
                </c:pt>
                <c:pt idx="22">
                  <c:v>14079.16510542295</c:v>
                </c:pt>
                <c:pt idx="23">
                  <c:v>13352.133409282829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E-CE26-4CE7-B0BD-7E6F8A19DE49}"/>
            </c:ext>
          </c:extLst>
        </c:ser>
        <c:ser>
          <c:idx val="1"/>
          <c:order val="1"/>
          <c:tx>
            <c:v>REAL</c:v>
          </c:tx>
          <c:spPr>
            <a:solidFill>
              <a:schemeClr val="tx1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'PRODUÇÃO TOTAL USINA'!$A$3:$A$30</c:f>
              <c:strCache>
                <c:ptCount val="27"/>
                <c:pt idx="0">
                  <c:v>1h</c:v>
                </c:pt>
                <c:pt idx="1">
                  <c:v>2h</c:v>
                </c:pt>
                <c:pt idx="2">
                  <c:v>3h</c:v>
                </c:pt>
                <c:pt idx="3">
                  <c:v>4h</c:v>
                </c:pt>
                <c:pt idx="4">
                  <c:v>5h</c:v>
                </c:pt>
                <c:pt idx="5">
                  <c:v>6h</c:v>
                </c:pt>
                <c:pt idx="6">
                  <c:v>7h</c:v>
                </c:pt>
                <c:pt idx="7">
                  <c:v>8h</c:v>
                </c:pt>
                <c:pt idx="8">
                  <c:v>9h</c:v>
                </c:pt>
                <c:pt idx="9">
                  <c:v>10h</c:v>
                </c:pt>
                <c:pt idx="10">
                  <c:v>11h</c:v>
                </c:pt>
                <c:pt idx="11">
                  <c:v>12h</c:v>
                </c:pt>
                <c:pt idx="12">
                  <c:v>13h</c:v>
                </c:pt>
                <c:pt idx="13">
                  <c:v>14h</c:v>
                </c:pt>
                <c:pt idx="14">
                  <c:v>15h</c:v>
                </c:pt>
                <c:pt idx="15">
                  <c:v>16h</c:v>
                </c:pt>
                <c:pt idx="16">
                  <c:v>17h</c:v>
                </c:pt>
                <c:pt idx="17">
                  <c:v>18h</c:v>
                </c:pt>
                <c:pt idx="18">
                  <c:v>19h</c:v>
                </c:pt>
                <c:pt idx="19">
                  <c:v>20h</c:v>
                </c:pt>
                <c:pt idx="20">
                  <c:v>21h</c:v>
                </c:pt>
                <c:pt idx="21">
                  <c:v>22h</c:v>
                </c:pt>
                <c:pt idx="22">
                  <c:v>23h</c:v>
                </c:pt>
                <c:pt idx="23">
                  <c:v>24h</c:v>
                </c:pt>
                <c:pt idx="24">
                  <c:v>Saldo</c:v>
                </c:pt>
                <c:pt idx="25">
                  <c:v>Acum. Real vs Acum. D+1</c:v>
                </c:pt>
                <c:pt idx="26">
                  <c:v>Proj. Dia vs D+1</c:v>
                </c:pt>
              </c:strCache>
            </c:strRef>
          </c:cat>
          <c:val>
            <c:numRef>
              <c:f>'PRODUÇÃO TOTAL USINA'!$C$3:$C$29</c:f>
              <c:numCache>
                <c:formatCode>#,##0</c:formatCode>
                <c:ptCount val="27"/>
                <c:pt idx="0">
                  <c:v>12207</c:v>
                </c:pt>
                <c:pt idx="1">
                  <c:v>11039</c:v>
                </c:pt>
                <c:pt idx="2">
                  <c:v>11822</c:v>
                </c:pt>
                <c:pt idx="3">
                  <c:v>12657</c:v>
                </c:pt>
                <c:pt idx="4">
                  <c:v>11324</c:v>
                </c:pt>
                <c:pt idx="5">
                  <c:v>15040</c:v>
                </c:pt>
                <c:pt idx="6">
                  <c:v>9556.5</c:v>
                </c:pt>
                <c:pt idx="7">
                  <c:v>6946.3</c:v>
                </c:pt>
                <c:pt idx="8">
                  <c:v>10771.9</c:v>
                </c:pt>
                <c:pt idx="9">
                  <c:v>10187.9</c:v>
                </c:pt>
                <c:pt idx="10">
                  <c:v>10423.5</c:v>
                </c:pt>
                <c:pt idx="11">
                  <c:v>9839</c:v>
                </c:pt>
                <c:pt idx="12">
                  <c:v>12217.400000000001</c:v>
                </c:pt>
                <c:pt idx="13">
                  <c:v>12453.5</c:v>
                </c:pt>
                <c:pt idx="14">
                  <c:v>11903.9</c:v>
                </c:pt>
                <c:pt idx="15">
                  <c:v>10755.3</c:v>
                </c:pt>
                <c:pt idx="16">
                  <c:v>6900.7</c:v>
                </c:pt>
                <c:pt idx="17">
                  <c:v>8906.1</c:v>
                </c:pt>
                <c:pt idx="18">
                  <c:v>7759</c:v>
                </c:pt>
                <c:pt idx="19">
                  <c:v>7657</c:v>
                </c:pt>
                <c:pt idx="20">
                  <c:v>7545</c:v>
                </c:pt>
                <c:pt idx="21">
                  <c:v>8114</c:v>
                </c:pt>
                <c:pt idx="22">
                  <c:v>9300</c:v>
                </c:pt>
                <c:pt idx="23">
                  <c:v>11860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0-CE26-4CE7-B0BD-7E6F8A19DE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axId val="1143141304"/>
        <c:axId val="1143135032"/>
      </c:barChart>
      <c:barChart>
        <c:barDir val="col"/>
        <c:grouping val="clustered"/>
        <c:varyColors val="0"/>
        <c:ser>
          <c:idx val="2"/>
          <c:order val="2"/>
          <c:tx>
            <c:v>Acumulado</c:v>
          </c:tx>
          <c:spPr>
            <a:solidFill>
              <a:schemeClr val="bg1">
                <a:lumMod val="85000"/>
              </a:schemeClr>
            </a:solidFill>
            <a:ln w="12700" cap="rnd">
              <a:solidFill>
                <a:srgbClr val="FF0000">
                  <a:alpha val="35000"/>
                </a:srgbClr>
              </a:solidFill>
              <a:prstDash val="dash"/>
            </a:ln>
            <a:effectLst/>
            <a:scene3d>
              <a:camera prst="orthographicFront"/>
              <a:lightRig rig="threePt" dir="t"/>
            </a:scene3d>
            <a:sp3d/>
          </c:spPr>
          <c:invertIfNegative val="0"/>
          <c:dPt>
            <c:idx val="25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 w="12700" cap="rnd">
                <a:solidFill>
                  <a:srgbClr val="FF0000">
                    <a:alpha val="35000"/>
                  </a:srgb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73-CE26-4CE7-B0BD-7E6F8A19DE49}"/>
              </c:ext>
            </c:extLst>
          </c:dPt>
          <c:dPt>
            <c:idx val="26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 w="12700" cap="rnd">
                <a:solidFill>
                  <a:srgbClr val="FF0000">
                    <a:alpha val="35000"/>
                  </a:srgb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75-CE26-4CE7-B0BD-7E6F8A19DE49}"/>
              </c:ext>
            </c:extLst>
          </c:dPt>
          <c:dPt>
            <c:idx val="27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 w="12700" cap="rnd">
                <a:solidFill>
                  <a:srgbClr val="FF0000">
                    <a:alpha val="35000"/>
                  </a:srgb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77-CE26-4CE7-B0BD-7E6F8A19DE49}"/>
              </c:ext>
            </c:extLst>
          </c:dPt>
          <c:dLbls>
            <c:dLbl>
              <c:idx val="25"/>
              <c:layout>
                <c:manualLayout>
                  <c:x val="-6.5750060835060783E-4"/>
                  <c:y val="-0.2293468752754661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73-CE26-4CE7-B0BD-7E6F8A19DE49}"/>
                </c:ext>
              </c:extLst>
            </c:dLbl>
            <c:dLbl>
              <c:idx val="26"/>
              <c:layout>
                <c:manualLayout>
                  <c:x val="-2.0005550630956879E-5"/>
                  <c:y val="-5.9426946799546278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75-CE26-4CE7-B0BD-7E6F8A19DE4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accent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'PRODUÇÃO TOTAL USINA'!$A$3:$A$26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USINA'!$H$3:$H$29</c:f>
              <c:numCache>
                <c:formatCode>#,##0</c:formatCode>
                <c:ptCount val="27"/>
                <c:pt idx="25">
                  <c:v>282942.28971374925</c:v>
                </c:pt>
                <c:pt idx="26">
                  <c:v>288645.14681453182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8-CE26-4CE7-B0BD-7E6F8A19DE49}"/>
            </c:ext>
          </c:extLst>
        </c:ser>
        <c:ser>
          <c:idx val="3"/>
          <c:order val="3"/>
          <c:tx>
            <c:v>D+1 Dev.</c:v>
          </c:tx>
          <c:spPr>
            <a:solidFill>
              <a:schemeClr val="accent1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Pt>
            <c:idx val="25"/>
            <c:invertIfNegative val="0"/>
            <c:bubble3D val="0"/>
            <c:spPr>
              <a:blipFill>
                <a:blip xmlns:r="http://schemas.openxmlformats.org/officeDocument/2006/relationships" r:embed="rId3"/>
                <a:stretch>
                  <a:fillRect/>
                </a:stretch>
              </a:blipFill>
              <a:ln w="12700">
                <a:solidFill>
                  <a:schemeClr val="accent1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7B-CE26-4CE7-B0BD-7E6F8A19DE49}"/>
              </c:ext>
            </c:extLst>
          </c:dPt>
          <c:dPt>
            <c:idx val="26"/>
            <c:invertIfNegative val="0"/>
            <c:bubble3D val="0"/>
            <c:spPr>
              <a:blipFill>
                <a:blip xmlns:r="http://schemas.openxmlformats.org/officeDocument/2006/relationships" r:embed="rId4"/>
                <a:stretch>
                  <a:fillRect/>
                </a:stretch>
              </a:blipFill>
              <a:ln w="12700">
                <a:solidFill>
                  <a:schemeClr val="tx1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7D-CE26-4CE7-B0BD-7E6F8A19DE49}"/>
              </c:ext>
            </c:extLst>
          </c:dPt>
          <c:dPt>
            <c:idx val="27"/>
            <c:invertIfNegative val="0"/>
            <c:bubble3D val="0"/>
            <c:spPr>
              <a:solidFill>
                <a:schemeClr val="accent5"/>
              </a:solidFill>
              <a:ln w="12700">
                <a:solidFill>
                  <a:schemeClr val="accent5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7F-CE26-4CE7-B0BD-7E6F8A19DE4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4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'PRODUÇÃO TOTAL USINA'!$A$3:$A$26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USINA'!$G$3:$G$29</c:f>
              <c:numCache>
                <c:formatCode>#,##0</c:formatCode>
                <c:ptCount val="27"/>
                <c:pt idx="25">
                  <c:v>247185.99999999997</c:v>
                </c:pt>
                <c:pt idx="26">
                  <c:v>307000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0-CE26-4CE7-B0BD-7E6F8A19DE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680603472"/>
        <c:axId val="1680607408"/>
      </c:barChart>
      <c:catAx>
        <c:axId val="11431413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>
            <a:noFill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43135032"/>
        <c:crosses val="autoZero"/>
        <c:auto val="1"/>
        <c:lblAlgn val="ctr"/>
        <c:lblOffset val="100"/>
        <c:noMultiLvlLbl val="0"/>
      </c:catAx>
      <c:valAx>
        <c:axId val="1143135032"/>
        <c:scaling>
          <c:orientation val="minMax"/>
          <c:max val="25000"/>
          <c:min val="0"/>
        </c:scaling>
        <c:delete val="0"/>
        <c:axPos val="l"/>
        <c:numFmt formatCode="#,##0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51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43141304"/>
        <c:crosses val="autoZero"/>
        <c:crossBetween val="between"/>
      </c:valAx>
      <c:valAx>
        <c:axId val="1680607408"/>
        <c:scaling>
          <c:orientation val="minMax"/>
          <c:max val="500000"/>
          <c:min val="0"/>
        </c:scaling>
        <c:delete val="0"/>
        <c:axPos val="r"/>
        <c:numFmt formatCode="#,##0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80603472"/>
        <c:crosses val="max"/>
        <c:crossBetween val="between"/>
      </c:valAx>
      <c:catAx>
        <c:axId val="1680603472"/>
        <c:scaling>
          <c:orientation val="minMax"/>
        </c:scaling>
        <c:delete val="1"/>
        <c:axPos val="b"/>
        <c:numFmt formatCode="0&quot;h&quot;" sourceLinked="1"/>
        <c:majorTickMark val="out"/>
        <c:minorTickMark val="none"/>
        <c:tickLblPos val="nextTo"/>
        <c:crossAx val="1680607408"/>
        <c:crossesAt val="0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0019986347353863E-3"/>
          <c:y val="2.3570765330430617E-2"/>
          <c:w val="0.17481730065302059"/>
          <c:h val="7.733537109811207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/>
  </c:chart>
  <c:spPr>
    <a:solidFill>
      <a:schemeClr val="bg1"/>
    </a:solidFill>
    <a:ln cap="flat">
      <a:solidFill>
        <a:schemeClr val="bg1">
          <a:lumMod val="85000"/>
          <a:alpha val="0"/>
        </a:schemeClr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>
          <a:solidFill>
            <a:schemeClr val="tx1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spc="100" baseline="0">
                <a:solidFill>
                  <a:srgbClr val="007E7A"/>
                </a:solidFill>
                <a:effectLst/>
                <a:latin typeface="+mn-lt"/>
                <a:ea typeface="+mn-ea"/>
                <a:cs typeface="+mn-cs"/>
              </a:defRPr>
            </a:pPr>
            <a:r>
              <a:rPr lang="en-US" sz="1800" b="1" i="0" baseline="0">
                <a:effectLst/>
              </a:rPr>
              <a:t>PROGRAMA Vs PRODUÇÃO USINA I</a:t>
            </a:r>
            <a:endParaRPr lang="en-US">
              <a:effectLst/>
            </a:endParaRPr>
          </a:p>
        </c:rich>
      </c:tx>
      <c:layout>
        <c:manualLayout>
          <c:xMode val="edge"/>
          <c:yMode val="edge"/>
          <c:x val="0.3941383350809658"/>
          <c:y val="1.104159638878938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800" b="1" i="0" u="none" strike="noStrike" kern="1200" spc="100" baseline="0">
              <a:solidFill>
                <a:srgbClr val="007E7A"/>
              </a:solidFill>
              <a:effectLst/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1.1747794308002458E-2"/>
          <c:y val="0.11389225117140173"/>
          <c:w val="0.97314579989917172"/>
          <c:h val="0.61061120225289012"/>
        </c:manualLayout>
      </c:layout>
      <c:barChart>
        <c:barDir val="col"/>
        <c:grouping val="clustered"/>
        <c:varyColors val="0"/>
        <c:ser>
          <c:idx val="0"/>
          <c:order val="0"/>
          <c:tx>
            <c:v>D+1</c:v>
          </c:tx>
          <c:spPr>
            <a:solidFill>
              <a:schemeClr val="accent2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accent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'PRODUÇÃO TOTAL USINA'!$A$3:$A$30</c:f>
              <c:strCache>
                <c:ptCount val="27"/>
                <c:pt idx="0">
                  <c:v>1h</c:v>
                </c:pt>
                <c:pt idx="1">
                  <c:v>2h</c:v>
                </c:pt>
                <c:pt idx="2">
                  <c:v>3h</c:v>
                </c:pt>
                <c:pt idx="3">
                  <c:v>4h</c:v>
                </c:pt>
                <c:pt idx="4">
                  <c:v>5h</c:v>
                </c:pt>
                <c:pt idx="5">
                  <c:v>6h</c:v>
                </c:pt>
                <c:pt idx="6">
                  <c:v>7h</c:v>
                </c:pt>
                <c:pt idx="7">
                  <c:v>8h</c:v>
                </c:pt>
                <c:pt idx="8">
                  <c:v>9h</c:v>
                </c:pt>
                <c:pt idx="9">
                  <c:v>10h</c:v>
                </c:pt>
                <c:pt idx="10">
                  <c:v>11h</c:v>
                </c:pt>
                <c:pt idx="11">
                  <c:v>12h</c:v>
                </c:pt>
                <c:pt idx="12">
                  <c:v>13h</c:v>
                </c:pt>
                <c:pt idx="13">
                  <c:v>14h</c:v>
                </c:pt>
                <c:pt idx="14">
                  <c:v>15h</c:v>
                </c:pt>
                <c:pt idx="15">
                  <c:v>16h</c:v>
                </c:pt>
                <c:pt idx="16">
                  <c:v>17h</c:v>
                </c:pt>
                <c:pt idx="17">
                  <c:v>18h</c:v>
                </c:pt>
                <c:pt idx="18">
                  <c:v>19h</c:v>
                </c:pt>
                <c:pt idx="19">
                  <c:v>20h</c:v>
                </c:pt>
                <c:pt idx="20">
                  <c:v>21h</c:v>
                </c:pt>
                <c:pt idx="21">
                  <c:v>22h</c:v>
                </c:pt>
                <c:pt idx="22">
                  <c:v>23h</c:v>
                </c:pt>
                <c:pt idx="23">
                  <c:v>24h</c:v>
                </c:pt>
                <c:pt idx="24">
                  <c:v>Saldo</c:v>
                </c:pt>
                <c:pt idx="25">
                  <c:v>Acum. Real vs Acum. D+1</c:v>
                </c:pt>
                <c:pt idx="26">
                  <c:v>Proj. Dia vs D+1</c:v>
                </c:pt>
              </c:strCache>
            </c:strRef>
          </c:cat>
          <c:val>
            <c:numRef>
              <c:f>'PRODUÇÃO TOTAL USINA'!$K$3:$K$29</c:f>
              <c:numCache>
                <c:formatCode>#,##0</c:formatCode>
                <c:ptCount val="27"/>
                <c:pt idx="0">
                  <c:v>7668.3472890537842</c:v>
                </c:pt>
                <c:pt idx="1">
                  <c:v>8554.0726762390423</c:v>
                </c:pt>
                <c:pt idx="2">
                  <c:v>10725.758244818933</c:v>
                </c:pt>
                <c:pt idx="3">
                  <c:v>10279.445251276224</c:v>
                </c:pt>
                <c:pt idx="4">
                  <c:v>11137.902138856007</c:v>
                </c:pt>
                <c:pt idx="5">
                  <c:v>11144.914038754558</c:v>
                </c:pt>
                <c:pt idx="6">
                  <c:v>11178.415338269861</c:v>
                </c:pt>
                <c:pt idx="7">
                  <c:v>11102.286139371301</c:v>
                </c:pt>
                <c:pt idx="8">
                  <c:v>11213.363537764226</c:v>
                </c:pt>
                <c:pt idx="9">
                  <c:v>11146.360938733624</c:v>
                </c:pt>
                <c:pt idx="10">
                  <c:v>10699.268845202185</c:v>
                </c:pt>
                <c:pt idx="11">
                  <c:v>11049.196040139414</c:v>
                </c:pt>
                <c:pt idx="12">
                  <c:v>9290.3221655869311</c:v>
                </c:pt>
                <c:pt idx="13">
                  <c:v>10499.485348092669</c:v>
                </c:pt>
                <c:pt idx="14">
                  <c:v>10142.546253256891</c:v>
                </c:pt>
                <c:pt idx="15">
                  <c:v>10995.438140917189</c:v>
                </c:pt>
                <c:pt idx="16">
                  <c:v>10464.537148598301</c:v>
                </c:pt>
                <c:pt idx="17">
                  <c:v>11137.902138856007</c:v>
                </c:pt>
                <c:pt idx="18">
                  <c:v>11022.706640522663</c:v>
                </c:pt>
                <c:pt idx="19">
                  <c:v>11049.196040139415</c:v>
                </c:pt>
                <c:pt idx="20">
                  <c:v>11062.440739947788</c:v>
                </c:pt>
                <c:pt idx="21">
                  <c:v>11117.645539149082</c:v>
                </c:pt>
                <c:pt idx="22">
                  <c:v>11158.158738562934</c:v>
                </c:pt>
                <c:pt idx="23">
                  <c:v>10891.372642422813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378-4AB8-8A8D-D732419562A4}"/>
            </c:ext>
          </c:extLst>
        </c:ser>
        <c:ser>
          <c:idx val="1"/>
          <c:order val="1"/>
          <c:tx>
            <c:v>REAL</c:v>
          </c:tx>
          <c:spPr>
            <a:solidFill>
              <a:schemeClr val="tx1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'PRODUÇÃO TOTAL USINA'!$A$3:$A$30</c:f>
              <c:strCache>
                <c:ptCount val="27"/>
                <c:pt idx="0">
                  <c:v>1h</c:v>
                </c:pt>
                <c:pt idx="1">
                  <c:v>2h</c:v>
                </c:pt>
                <c:pt idx="2">
                  <c:v>3h</c:v>
                </c:pt>
                <c:pt idx="3">
                  <c:v>4h</c:v>
                </c:pt>
                <c:pt idx="4">
                  <c:v>5h</c:v>
                </c:pt>
                <c:pt idx="5">
                  <c:v>6h</c:v>
                </c:pt>
                <c:pt idx="6">
                  <c:v>7h</c:v>
                </c:pt>
                <c:pt idx="7">
                  <c:v>8h</c:v>
                </c:pt>
                <c:pt idx="8">
                  <c:v>9h</c:v>
                </c:pt>
                <c:pt idx="9">
                  <c:v>10h</c:v>
                </c:pt>
                <c:pt idx="10">
                  <c:v>11h</c:v>
                </c:pt>
                <c:pt idx="11">
                  <c:v>12h</c:v>
                </c:pt>
                <c:pt idx="12">
                  <c:v>13h</c:v>
                </c:pt>
                <c:pt idx="13">
                  <c:v>14h</c:v>
                </c:pt>
                <c:pt idx="14">
                  <c:v>15h</c:v>
                </c:pt>
                <c:pt idx="15">
                  <c:v>16h</c:v>
                </c:pt>
                <c:pt idx="16">
                  <c:v>17h</c:v>
                </c:pt>
                <c:pt idx="17">
                  <c:v>18h</c:v>
                </c:pt>
                <c:pt idx="18">
                  <c:v>19h</c:v>
                </c:pt>
                <c:pt idx="19">
                  <c:v>20h</c:v>
                </c:pt>
                <c:pt idx="20">
                  <c:v>21h</c:v>
                </c:pt>
                <c:pt idx="21">
                  <c:v>22h</c:v>
                </c:pt>
                <c:pt idx="22">
                  <c:v>23h</c:v>
                </c:pt>
                <c:pt idx="23">
                  <c:v>24h</c:v>
                </c:pt>
                <c:pt idx="24">
                  <c:v>Saldo</c:v>
                </c:pt>
                <c:pt idx="25">
                  <c:v>Acum. Real vs Acum. D+1</c:v>
                </c:pt>
                <c:pt idx="26">
                  <c:v>Proj. Dia vs D+1</c:v>
                </c:pt>
              </c:strCache>
            </c:strRef>
          </c:cat>
          <c:val>
            <c:numRef>
              <c:f>'PRODUÇÃO TOTAL USINA'!$L$3:$L$29</c:f>
              <c:numCache>
                <c:formatCode>#,##0</c:formatCode>
                <c:ptCount val="27"/>
                <c:pt idx="0">
                  <c:v>10685</c:v>
                </c:pt>
                <c:pt idx="1">
                  <c:v>10372</c:v>
                </c:pt>
                <c:pt idx="2">
                  <c:v>10042</c:v>
                </c:pt>
                <c:pt idx="3">
                  <c:v>10469</c:v>
                </c:pt>
                <c:pt idx="4">
                  <c:v>9927</c:v>
                </c:pt>
                <c:pt idx="5">
                  <c:v>12592</c:v>
                </c:pt>
                <c:pt idx="6">
                  <c:v>9076.5</c:v>
                </c:pt>
                <c:pt idx="7">
                  <c:v>6756.3</c:v>
                </c:pt>
                <c:pt idx="8">
                  <c:v>8231.9</c:v>
                </c:pt>
                <c:pt idx="9">
                  <c:v>8687.9</c:v>
                </c:pt>
                <c:pt idx="10">
                  <c:v>8708.5</c:v>
                </c:pt>
                <c:pt idx="11">
                  <c:v>8204</c:v>
                </c:pt>
                <c:pt idx="12">
                  <c:v>9843.4000000000015</c:v>
                </c:pt>
                <c:pt idx="13">
                  <c:v>10224.5</c:v>
                </c:pt>
                <c:pt idx="14">
                  <c:v>10215.9</c:v>
                </c:pt>
                <c:pt idx="15">
                  <c:v>9922.2999999999993</c:v>
                </c:pt>
                <c:pt idx="16">
                  <c:v>6537.7</c:v>
                </c:pt>
                <c:pt idx="17">
                  <c:v>8702.1</c:v>
                </c:pt>
                <c:pt idx="18">
                  <c:v>7759</c:v>
                </c:pt>
                <c:pt idx="19">
                  <c:v>7619</c:v>
                </c:pt>
                <c:pt idx="20">
                  <c:v>5791</c:v>
                </c:pt>
                <c:pt idx="21">
                  <c:v>6581</c:v>
                </c:pt>
                <c:pt idx="22">
                  <c:v>8528</c:v>
                </c:pt>
                <c:pt idx="23">
                  <c:v>9760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378-4AB8-8A8D-D732419562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axId val="1143141304"/>
        <c:axId val="1143135032"/>
      </c:barChart>
      <c:barChart>
        <c:barDir val="col"/>
        <c:grouping val="clustered"/>
        <c:varyColors val="0"/>
        <c:ser>
          <c:idx val="2"/>
          <c:order val="2"/>
          <c:tx>
            <c:v>Acumulado</c:v>
          </c:tx>
          <c:spPr>
            <a:solidFill>
              <a:schemeClr val="bg1">
                <a:lumMod val="85000"/>
              </a:schemeClr>
            </a:solidFill>
            <a:ln w="12700" cap="rnd">
              <a:solidFill>
                <a:srgbClr val="FF0000">
                  <a:alpha val="35000"/>
                </a:srgbClr>
              </a:solidFill>
              <a:prstDash val="dash"/>
            </a:ln>
            <a:effectLst/>
            <a:scene3d>
              <a:camera prst="orthographicFront"/>
              <a:lightRig rig="threePt" dir="t"/>
            </a:scene3d>
            <a:sp3d/>
          </c:spPr>
          <c:invertIfNegative val="0"/>
          <c:dPt>
            <c:idx val="25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 w="12700" cap="rnd">
                <a:solidFill>
                  <a:srgbClr val="FF0000">
                    <a:alpha val="35000"/>
                  </a:srgb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17-8378-4AB8-8A8D-D732419562A4}"/>
              </c:ext>
            </c:extLst>
          </c:dPt>
          <c:dPt>
            <c:idx val="26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 w="12700" cap="rnd">
                <a:solidFill>
                  <a:srgbClr val="FF0000">
                    <a:alpha val="35000"/>
                  </a:srgb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19-8378-4AB8-8A8D-D732419562A4}"/>
              </c:ext>
            </c:extLst>
          </c:dPt>
          <c:dPt>
            <c:idx val="27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 w="12700" cap="rnd">
                <a:solidFill>
                  <a:srgbClr val="FF0000">
                    <a:alpha val="35000"/>
                  </a:srgb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1B-8378-4AB8-8A8D-D732419562A4}"/>
              </c:ext>
            </c:extLst>
          </c:dPt>
          <c:dLbls>
            <c:dLbl>
              <c:idx val="25"/>
              <c:layout>
                <c:manualLayout>
                  <c:x val="-9.3426526819987571E-4"/>
                  <c:y val="-2.4901364033765045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8378-4AB8-8A8D-D732419562A4}"/>
                </c:ext>
              </c:extLst>
            </c:dLbl>
            <c:dLbl>
              <c:idx val="26"/>
              <c:layout>
                <c:manualLayout>
                  <c:x val="-9.9239698712925246E-4"/>
                  <c:y val="-2.5752090807660419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8378-4AB8-8A8D-D732419562A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accent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'PRODUÇÃO TOTAL USINA'!$A$3:$A$26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USINA'!$P$3:$P$29</c:f>
              <c:numCache>
                <c:formatCode>#,##0</c:formatCode>
                <c:ptCount val="27"/>
                <c:pt idx="25">
                  <c:v>254731.08201453183</c:v>
                </c:pt>
                <c:pt idx="26">
                  <c:v>254731.08201453183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8378-4AB8-8A8D-D732419562A4}"/>
            </c:ext>
          </c:extLst>
        </c:ser>
        <c:ser>
          <c:idx val="3"/>
          <c:order val="3"/>
          <c:tx>
            <c:v>D+1 Dev.</c:v>
          </c:tx>
          <c:spPr>
            <a:solidFill>
              <a:schemeClr val="accent1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Pt>
            <c:idx val="25"/>
            <c:invertIfNegative val="0"/>
            <c:bubble3D val="0"/>
            <c:spPr>
              <a:blipFill>
                <a:blip xmlns:r="http://schemas.openxmlformats.org/officeDocument/2006/relationships" r:embed="rId3"/>
                <a:stretch>
                  <a:fillRect/>
                </a:stretch>
              </a:blipFill>
              <a:ln w="12700">
                <a:solidFill>
                  <a:schemeClr val="accent1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1F-8378-4AB8-8A8D-D732419562A4}"/>
              </c:ext>
            </c:extLst>
          </c:dPt>
          <c:dPt>
            <c:idx val="26"/>
            <c:invertIfNegative val="0"/>
            <c:bubble3D val="0"/>
            <c:spPr>
              <a:blipFill>
                <a:blip xmlns:r="http://schemas.openxmlformats.org/officeDocument/2006/relationships" r:embed="rId4"/>
                <a:stretch>
                  <a:fillRect/>
                </a:stretch>
              </a:blipFill>
              <a:ln w="12700">
                <a:solidFill>
                  <a:schemeClr val="tx1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21-8378-4AB8-8A8D-D732419562A4}"/>
              </c:ext>
            </c:extLst>
          </c:dPt>
          <c:dPt>
            <c:idx val="27"/>
            <c:invertIfNegative val="0"/>
            <c:bubble3D val="0"/>
            <c:spPr>
              <a:solidFill>
                <a:schemeClr val="accent5"/>
              </a:solidFill>
              <a:ln w="12700">
                <a:solidFill>
                  <a:schemeClr val="accent5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23-8378-4AB8-8A8D-D732419562A4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4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'PRODUÇÃO TOTAL USINA'!$A$3:$A$26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USINA'!$O$3:$O$29</c:f>
              <c:numCache>
                <c:formatCode>#,##0</c:formatCode>
                <c:ptCount val="27"/>
                <c:pt idx="25">
                  <c:v>215236</c:v>
                </c:pt>
                <c:pt idx="26">
                  <c:v>257000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4-8378-4AB8-8A8D-D732419562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680603472"/>
        <c:axId val="1680607408"/>
      </c:barChart>
      <c:catAx>
        <c:axId val="11431413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>
            <a:noFill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43135032"/>
        <c:crosses val="autoZero"/>
        <c:auto val="1"/>
        <c:lblAlgn val="ctr"/>
        <c:lblOffset val="100"/>
        <c:noMultiLvlLbl val="0"/>
      </c:catAx>
      <c:valAx>
        <c:axId val="1143135032"/>
        <c:scaling>
          <c:orientation val="minMax"/>
          <c:max val="30000"/>
          <c:min val="0"/>
        </c:scaling>
        <c:delete val="0"/>
        <c:axPos val="l"/>
        <c:numFmt formatCode="#,##0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51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43141304"/>
        <c:crosses val="autoZero"/>
        <c:crossBetween val="between"/>
      </c:valAx>
      <c:valAx>
        <c:axId val="1680607408"/>
        <c:scaling>
          <c:orientation val="minMax"/>
          <c:max val="400000"/>
          <c:min val="0"/>
        </c:scaling>
        <c:delete val="0"/>
        <c:axPos val="r"/>
        <c:numFmt formatCode="#,##0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80603472"/>
        <c:crosses val="max"/>
        <c:crossBetween val="between"/>
      </c:valAx>
      <c:catAx>
        <c:axId val="1680603472"/>
        <c:scaling>
          <c:orientation val="minMax"/>
        </c:scaling>
        <c:delete val="1"/>
        <c:axPos val="b"/>
        <c:numFmt formatCode="0&quot;h&quot;" sourceLinked="1"/>
        <c:majorTickMark val="out"/>
        <c:minorTickMark val="none"/>
        <c:tickLblPos val="nextTo"/>
        <c:crossAx val="1680607408"/>
        <c:crossesAt val="0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0019986347353863E-3"/>
          <c:y val="2.3570765330430617E-2"/>
          <c:w val="0.17501256196699588"/>
          <c:h val="7.554736626495817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/>
  </c:chart>
  <c:spPr>
    <a:solidFill>
      <a:schemeClr val="bg1"/>
    </a:solidFill>
    <a:ln cap="flat">
      <a:solidFill>
        <a:schemeClr val="bg1">
          <a:lumMod val="85000"/>
          <a:alpha val="0"/>
        </a:schemeClr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>
          <a:solidFill>
            <a:schemeClr val="tx1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spc="100" baseline="0">
                <a:solidFill>
                  <a:srgbClr val="007E7A"/>
                </a:solidFill>
                <a:effectLst/>
                <a:latin typeface="+mn-lt"/>
                <a:ea typeface="+mn-ea"/>
                <a:cs typeface="+mn-cs"/>
              </a:defRPr>
            </a:pPr>
            <a:r>
              <a:rPr lang="en-US" sz="1800" b="1" i="0" baseline="0">
                <a:effectLst/>
              </a:rPr>
              <a:t>PROGRAMA Vs PRODUÇÃO USINA II</a:t>
            </a:r>
            <a:endParaRPr lang="en-US">
              <a:effectLst/>
            </a:endParaRPr>
          </a:p>
        </c:rich>
      </c:tx>
      <c:layout>
        <c:manualLayout>
          <c:xMode val="edge"/>
          <c:yMode val="edge"/>
          <c:x val="0.3941383350809658"/>
          <c:y val="1.104159638878938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800" b="1" i="0" u="none" strike="noStrike" kern="1200" spc="100" baseline="0">
              <a:solidFill>
                <a:srgbClr val="007E7A"/>
              </a:solidFill>
              <a:effectLst/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1.1747794308002458E-2"/>
          <c:y val="0.11389225117140173"/>
          <c:w val="0.97314579989917172"/>
          <c:h val="0.61061120225289012"/>
        </c:manualLayout>
      </c:layout>
      <c:barChart>
        <c:barDir val="col"/>
        <c:grouping val="clustered"/>
        <c:varyColors val="0"/>
        <c:ser>
          <c:idx val="0"/>
          <c:order val="0"/>
          <c:tx>
            <c:v>D+1</c:v>
          </c:tx>
          <c:spPr>
            <a:solidFill>
              <a:schemeClr val="accent2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accent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'PRODUÇÃO TOTAL USINA'!$A$3:$A$30</c:f>
              <c:strCache>
                <c:ptCount val="27"/>
                <c:pt idx="0">
                  <c:v>1h</c:v>
                </c:pt>
                <c:pt idx="1">
                  <c:v>2h</c:v>
                </c:pt>
                <c:pt idx="2">
                  <c:v>3h</c:v>
                </c:pt>
                <c:pt idx="3">
                  <c:v>4h</c:v>
                </c:pt>
                <c:pt idx="4">
                  <c:v>5h</c:v>
                </c:pt>
                <c:pt idx="5">
                  <c:v>6h</c:v>
                </c:pt>
                <c:pt idx="6">
                  <c:v>7h</c:v>
                </c:pt>
                <c:pt idx="7">
                  <c:v>8h</c:v>
                </c:pt>
                <c:pt idx="8">
                  <c:v>9h</c:v>
                </c:pt>
                <c:pt idx="9">
                  <c:v>10h</c:v>
                </c:pt>
                <c:pt idx="10">
                  <c:v>11h</c:v>
                </c:pt>
                <c:pt idx="11">
                  <c:v>12h</c:v>
                </c:pt>
                <c:pt idx="12">
                  <c:v>13h</c:v>
                </c:pt>
                <c:pt idx="13">
                  <c:v>14h</c:v>
                </c:pt>
                <c:pt idx="14">
                  <c:v>15h</c:v>
                </c:pt>
                <c:pt idx="15">
                  <c:v>16h</c:v>
                </c:pt>
                <c:pt idx="16">
                  <c:v>17h</c:v>
                </c:pt>
                <c:pt idx="17">
                  <c:v>18h</c:v>
                </c:pt>
                <c:pt idx="18">
                  <c:v>19h</c:v>
                </c:pt>
                <c:pt idx="19">
                  <c:v>20h</c:v>
                </c:pt>
                <c:pt idx="20">
                  <c:v>21h</c:v>
                </c:pt>
                <c:pt idx="21">
                  <c:v>22h</c:v>
                </c:pt>
                <c:pt idx="22">
                  <c:v>23h</c:v>
                </c:pt>
                <c:pt idx="23">
                  <c:v>24h</c:v>
                </c:pt>
                <c:pt idx="24">
                  <c:v>Saldo</c:v>
                </c:pt>
                <c:pt idx="25">
                  <c:v>Acum. Real vs Acum. D+1</c:v>
                </c:pt>
                <c:pt idx="26">
                  <c:v>Proj. Dia vs D+1</c:v>
                </c:pt>
              </c:strCache>
            </c:strRef>
          </c:cat>
          <c:val>
            <c:numRef>
              <c:f>'PRODUÇÃO TOTAL USINA'!$S$3:$S$29</c:f>
              <c:numCache>
                <c:formatCode>#,##0</c:formatCode>
                <c:ptCount val="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741F-4AD7-9BE2-02AE4DEFFCC2}"/>
            </c:ext>
          </c:extLst>
        </c:ser>
        <c:ser>
          <c:idx val="1"/>
          <c:order val="1"/>
          <c:tx>
            <c:v>REAL</c:v>
          </c:tx>
          <c:spPr>
            <a:solidFill>
              <a:schemeClr val="tx1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'PRODUÇÃO TOTAL USINA'!$A$3:$A$30</c:f>
              <c:strCache>
                <c:ptCount val="27"/>
                <c:pt idx="0">
                  <c:v>1h</c:v>
                </c:pt>
                <c:pt idx="1">
                  <c:v>2h</c:v>
                </c:pt>
                <c:pt idx="2">
                  <c:v>3h</c:v>
                </c:pt>
                <c:pt idx="3">
                  <c:v>4h</c:v>
                </c:pt>
                <c:pt idx="4">
                  <c:v>5h</c:v>
                </c:pt>
                <c:pt idx="5">
                  <c:v>6h</c:v>
                </c:pt>
                <c:pt idx="6">
                  <c:v>7h</c:v>
                </c:pt>
                <c:pt idx="7">
                  <c:v>8h</c:v>
                </c:pt>
                <c:pt idx="8">
                  <c:v>9h</c:v>
                </c:pt>
                <c:pt idx="9">
                  <c:v>10h</c:v>
                </c:pt>
                <c:pt idx="10">
                  <c:v>11h</c:v>
                </c:pt>
                <c:pt idx="11">
                  <c:v>12h</c:v>
                </c:pt>
                <c:pt idx="12">
                  <c:v>13h</c:v>
                </c:pt>
                <c:pt idx="13">
                  <c:v>14h</c:v>
                </c:pt>
                <c:pt idx="14">
                  <c:v>15h</c:v>
                </c:pt>
                <c:pt idx="15">
                  <c:v>16h</c:v>
                </c:pt>
                <c:pt idx="16">
                  <c:v>17h</c:v>
                </c:pt>
                <c:pt idx="17">
                  <c:v>18h</c:v>
                </c:pt>
                <c:pt idx="18">
                  <c:v>19h</c:v>
                </c:pt>
                <c:pt idx="19">
                  <c:v>20h</c:v>
                </c:pt>
                <c:pt idx="20">
                  <c:v>21h</c:v>
                </c:pt>
                <c:pt idx="21">
                  <c:v>22h</c:v>
                </c:pt>
                <c:pt idx="22">
                  <c:v>23h</c:v>
                </c:pt>
                <c:pt idx="23">
                  <c:v>24h</c:v>
                </c:pt>
                <c:pt idx="24">
                  <c:v>Saldo</c:v>
                </c:pt>
                <c:pt idx="25">
                  <c:v>Acum. Real vs Acum. D+1</c:v>
                </c:pt>
                <c:pt idx="26">
                  <c:v>Proj. Dia vs D+1</c:v>
                </c:pt>
              </c:strCache>
            </c:strRef>
          </c:cat>
          <c:val>
            <c:numRef>
              <c:f>'PRODUÇÃO TOTAL USINA'!$T$3:$T$26</c:f>
              <c:numCache>
                <c:formatCode>#,##0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16</c:v>
                </c:pt>
                <c:pt idx="21">
                  <c:v>7</c:v>
                </c:pt>
                <c:pt idx="22">
                  <c:v>0</c:v>
                </c:pt>
                <c:pt idx="23">
                  <c:v>139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741F-4AD7-9BE2-02AE4DEFFC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axId val="1143141304"/>
        <c:axId val="1143135032"/>
      </c:barChart>
      <c:barChart>
        <c:barDir val="col"/>
        <c:grouping val="clustered"/>
        <c:varyColors val="0"/>
        <c:ser>
          <c:idx val="2"/>
          <c:order val="2"/>
          <c:tx>
            <c:v>Acumulado</c:v>
          </c:tx>
          <c:spPr>
            <a:solidFill>
              <a:schemeClr val="bg1">
                <a:lumMod val="85000"/>
              </a:schemeClr>
            </a:solidFill>
            <a:ln w="12700" cap="rnd">
              <a:solidFill>
                <a:srgbClr val="FF0000">
                  <a:alpha val="35000"/>
                </a:srgbClr>
              </a:solidFill>
              <a:prstDash val="dash"/>
            </a:ln>
            <a:effectLst/>
            <a:scene3d>
              <a:camera prst="orthographicFront"/>
              <a:lightRig rig="threePt" dir="t"/>
            </a:scene3d>
            <a:sp3d/>
          </c:spPr>
          <c:invertIfNegative val="0"/>
          <c:dPt>
            <c:idx val="25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 w="12700" cap="rnd">
                <a:solidFill>
                  <a:srgbClr val="FF0000">
                    <a:alpha val="35000"/>
                  </a:srgb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17-741F-4AD7-9BE2-02AE4DEFFCC2}"/>
              </c:ext>
            </c:extLst>
          </c:dPt>
          <c:dPt>
            <c:idx val="26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 w="12700" cap="rnd">
                <a:solidFill>
                  <a:srgbClr val="FF0000">
                    <a:alpha val="35000"/>
                  </a:srgb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19-741F-4AD7-9BE2-02AE4DEFFCC2}"/>
              </c:ext>
            </c:extLst>
          </c:dPt>
          <c:dLbls>
            <c:dLbl>
              <c:idx val="25"/>
              <c:layout>
                <c:manualLayout>
                  <c:x val="-1.3429310977132966E-3"/>
                  <c:y val="-5.4005432236705529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741F-4AD7-9BE2-02AE4DEFFCC2}"/>
                </c:ext>
              </c:extLst>
            </c:dLbl>
            <c:dLbl>
              <c:idx val="26"/>
              <c:layout>
                <c:manualLayout>
                  <c:x val="-1.8458173858692033E-16"/>
                  <c:y val="-6.2643180497857109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741F-4AD7-9BE2-02AE4DEFFCC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accent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'PRODUÇÃO TOTAL USINA'!$A$3:$A$26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USINA'!$X$3:$X$29</c:f>
              <c:numCache>
                <c:formatCode>#,##0</c:formatCode>
                <c:ptCount val="27"/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741F-4AD7-9BE2-02AE4DEFFCC2}"/>
            </c:ext>
          </c:extLst>
        </c:ser>
        <c:ser>
          <c:idx val="3"/>
          <c:order val="3"/>
          <c:tx>
            <c:v>D+1 Dev.</c:v>
          </c:tx>
          <c:spPr>
            <a:solidFill>
              <a:schemeClr val="accent1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Pt>
            <c:idx val="25"/>
            <c:invertIfNegative val="0"/>
            <c:bubble3D val="0"/>
            <c:spPr>
              <a:blipFill>
                <a:blip xmlns:r="http://schemas.openxmlformats.org/officeDocument/2006/relationships" r:embed="rId3"/>
                <a:stretch>
                  <a:fillRect/>
                </a:stretch>
              </a:blipFill>
              <a:ln w="12700">
                <a:solidFill>
                  <a:schemeClr val="accent1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1F-741F-4AD7-9BE2-02AE4DEFFCC2}"/>
              </c:ext>
            </c:extLst>
          </c:dPt>
          <c:dPt>
            <c:idx val="26"/>
            <c:invertIfNegative val="0"/>
            <c:bubble3D val="0"/>
            <c:spPr>
              <a:blipFill>
                <a:blip xmlns:r="http://schemas.openxmlformats.org/officeDocument/2006/relationships" r:embed="rId4"/>
                <a:stretch>
                  <a:fillRect/>
                </a:stretch>
              </a:blipFill>
              <a:ln w="12700">
                <a:solidFill>
                  <a:schemeClr val="tx1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21-741F-4AD7-9BE2-02AE4DEFFCC2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4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'PRODUÇÃO TOTAL USINA'!$A$3:$A$26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USINA'!$W$3:$W$29</c:f>
              <c:numCache>
                <c:formatCode>#,##0</c:formatCode>
                <c:ptCount val="27"/>
                <c:pt idx="25">
                  <c:v>162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4-741F-4AD7-9BE2-02AE4DEFFC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680603472"/>
        <c:axId val="1680607408"/>
      </c:barChart>
      <c:catAx>
        <c:axId val="11431413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>
            <a:noFill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43135032"/>
        <c:crosses val="autoZero"/>
        <c:auto val="1"/>
        <c:lblAlgn val="ctr"/>
        <c:lblOffset val="100"/>
        <c:noMultiLvlLbl val="0"/>
      </c:catAx>
      <c:valAx>
        <c:axId val="1143135032"/>
        <c:scaling>
          <c:orientation val="minMax"/>
          <c:max val="8000"/>
          <c:min val="0"/>
        </c:scaling>
        <c:delete val="0"/>
        <c:axPos val="l"/>
        <c:numFmt formatCode="#,##0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51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43141304"/>
        <c:crosses val="autoZero"/>
        <c:crossBetween val="between"/>
      </c:valAx>
      <c:valAx>
        <c:axId val="1680607408"/>
        <c:scaling>
          <c:orientation val="minMax"/>
          <c:max val="120000"/>
          <c:min val="0"/>
        </c:scaling>
        <c:delete val="0"/>
        <c:axPos val="r"/>
        <c:numFmt formatCode="#,##0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80603472"/>
        <c:crosses val="max"/>
        <c:crossBetween val="between"/>
      </c:valAx>
      <c:catAx>
        <c:axId val="1680603472"/>
        <c:scaling>
          <c:orientation val="minMax"/>
        </c:scaling>
        <c:delete val="1"/>
        <c:axPos val="b"/>
        <c:numFmt formatCode="0&quot;h&quot;" sourceLinked="1"/>
        <c:majorTickMark val="out"/>
        <c:minorTickMark val="none"/>
        <c:tickLblPos val="nextTo"/>
        <c:crossAx val="1680607408"/>
        <c:crossesAt val="0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0019986347353863E-3"/>
          <c:y val="2.3570765330430617E-2"/>
          <c:w val="0.17501256196699588"/>
          <c:h val="7.554736626495817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/>
  </c:chart>
  <c:spPr>
    <a:solidFill>
      <a:schemeClr val="bg1"/>
    </a:solidFill>
    <a:ln cap="flat">
      <a:solidFill>
        <a:schemeClr val="bg1">
          <a:lumMod val="85000"/>
          <a:alpha val="0"/>
        </a:schemeClr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>
          <a:solidFill>
            <a:schemeClr val="tx1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spc="100" baseline="0">
                <a:solidFill>
                  <a:srgbClr val="007E7A"/>
                </a:solidFill>
                <a:effectLst/>
                <a:latin typeface="+mn-lt"/>
                <a:ea typeface="+mn-ea"/>
                <a:cs typeface="+mn-cs"/>
              </a:defRPr>
            </a:pPr>
            <a:r>
              <a:rPr lang="en-US" sz="1800" b="1" i="0" baseline="0">
                <a:effectLst/>
              </a:rPr>
              <a:t>PROGRAMA Vs PRODUÇÃO USINA III</a:t>
            </a:r>
            <a:endParaRPr lang="en-US">
              <a:effectLst/>
            </a:endParaRPr>
          </a:p>
        </c:rich>
      </c:tx>
      <c:layout>
        <c:manualLayout>
          <c:xMode val="edge"/>
          <c:yMode val="edge"/>
          <c:x val="0.3941383350809658"/>
          <c:y val="1.104159638878938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800" b="1" i="0" u="none" strike="noStrike" kern="1200" spc="100" baseline="0">
              <a:solidFill>
                <a:srgbClr val="007E7A"/>
              </a:solidFill>
              <a:effectLst/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1.1747794308002458E-2"/>
          <c:y val="0.11389225117140173"/>
          <c:w val="0.97314579989917172"/>
          <c:h val="0.61061120225289012"/>
        </c:manualLayout>
      </c:layout>
      <c:barChart>
        <c:barDir val="col"/>
        <c:grouping val="clustered"/>
        <c:varyColors val="0"/>
        <c:ser>
          <c:idx val="0"/>
          <c:order val="0"/>
          <c:tx>
            <c:v>D+1</c:v>
          </c:tx>
          <c:spPr>
            <a:solidFill>
              <a:schemeClr val="accent2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accent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'PRODUÇÃO TOTAL USINA'!$A$3:$A$30</c:f>
              <c:strCache>
                <c:ptCount val="27"/>
                <c:pt idx="0">
                  <c:v>1h</c:v>
                </c:pt>
                <c:pt idx="1">
                  <c:v>2h</c:v>
                </c:pt>
                <c:pt idx="2">
                  <c:v>3h</c:v>
                </c:pt>
                <c:pt idx="3">
                  <c:v>4h</c:v>
                </c:pt>
                <c:pt idx="4">
                  <c:v>5h</c:v>
                </c:pt>
                <c:pt idx="5">
                  <c:v>6h</c:v>
                </c:pt>
                <c:pt idx="6">
                  <c:v>7h</c:v>
                </c:pt>
                <c:pt idx="7">
                  <c:v>8h</c:v>
                </c:pt>
                <c:pt idx="8">
                  <c:v>9h</c:v>
                </c:pt>
                <c:pt idx="9">
                  <c:v>10h</c:v>
                </c:pt>
                <c:pt idx="10">
                  <c:v>11h</c:v>
                </c:pt>
                <c:pt idx="11">
                  <c:v>12h</c:v>
                </c:pt>
                <c:pt idx="12">
                  <c:v>13h</c:v>
                </c:pt>
                <c:pt idx="13">
                  <c:v>14h</c:v>
                </c:pt>
                <c:pt idx="14">
                  <c:v>15h</c:v>
                </c:pt>
                <c:pt idx="15">
                  <c:v>16h</c:v>
                </c:pt>
                <c:pt idx="16">
                  <c:v>17h</c:v>
                </c:pt>
                <c:pt idx="17">
                  <c:v>18h</c:v>
                </c:pt>
                <c:pt idx="18">
                  <c:v>19h</c:v>
                </c:pt>
                <c:pt idx="19">
                  <c:v>20h</c:v>
                </c:pt>
                <c:pt idx="20">
                  <c:v>21h</c:v>
                </c:pt>
                <c:pt idx="21">
                  <c:v>22h</c:v>
                </c:pt>
                <c:pt idx="22">
                  <c:v>23h</c:v>
                </c:pt>
                <c:pt idx="23">
                  <c:v>24h</c:v>
                </c:pt>
                <c:pt idx="24">
                  <c:v>Saldo</c:v>
                </c:pt>
                <c:pt idx="25">
                  <c:v>Acum. Real vs Acum. D+1</c:v>
                </c:pt>
                <c:pt idx="26">
                  <c:v>Proj. Dia vs D+1</c:v>
                </c:pt>
              </c:strCache>
            </c:strRef>
          </c:cat>
          <c:val>
            <c:numRef>
              <c:f>'PRODUÇÃO TOTAL USINA'!$AA$3:$AA$29</c:f>
              <c:numCache>
                <c:formatCode>#,##0</c:formatCode>
                <c:ptCount val="27"/>
                <c:pt idx="0">
                  <c:v>0</c:v>
                </c:pt>
                <c:pt idx="1">
                  <c:v>531.83159999999998</c:v>
                </c:pt>
                <c:pt idx="2">
                  <c:v>230.12280000000001</c:v>
                </c:pt>
                <c:pt idx="3">
                  <c:v>905.1264000000001</c:v>
                </c:pt>
                <c:pt idx="4">
                  <c:v>1365.3719999999998</c:v>
                </c:pt>
                <c:pt idx="5">
                  <c:v>1436.9580000000001</c:v>
                </c:pt>
                <c:pt idx="6">
                  <c:v>1365.3719999999998</c:v>
                </c:pt>
                <c:pt idx="7">
                  <c:v>1365.3719999999998</c:v>
                </c:pt>
                <c:pt idx="8">
                  <c:v>1595.4947999999999</c:v>
                </c:pt>
                <c:pt idx="9">
                  <c:v>603.41759999999999</c:v>
                </c:pt>
                <c:pt idx="10">
                  <c:v>1135.2492</c:v>
                </c:pt>
                <c:pt idx="11">
                  <c:v>0</c:v>
                </c:pt>
                <c:pt idx="12">
                  <c:v>0</c:v>
                </c:pt>
                <c:pt idx="13">
                  <c:v>1365.3719999999998</c:v>
                </c:pt>
                <c:pt idx="14">
                  <c:v>1754.0316</c:v>
                </c:pt>
                <c:pt idx="15">
                  <c:v>1968.7895999999998</c:v>
                </c:pt>
                <c:pt idx="16">
                  <c:v>1365.3719999999998</c:v>
                </c:pt>
                <c:pt idx="17">
                  <c:v>1667.0807999999997</c:v>
                </c:pt>
                <c:pt idx="18">
                  <c:v>1825.6175999999998</c:v>
                </c:pt>
                <c:pt idx="19">
                  <c:v>1968.7895999999998</c:v>
                </c:pt>
                <c:pt idx="20">
                  <c:v>1667.0807999999997</c:v>
                </c:pt>
                <c:pt idx="21">
                  <c:v>1968.7895999999998</c:v>
                </c:pt>
                <c:pt idx="22">
                  <c:v>2429.0351999999998</c:v>
                </c:pt>
                <c:pt idx="23">
                  <c:v>1968.7896000000001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C587-46B4-9367-BCEC274863BE}"/>
            </c:ext>
          </c:extLst>
        </c:ser>
        <c:ser>
          <c:idx val="1"/>
          <c:order val="1"/>
          <c:tx>
            <c:v>REAL</c:v>
          </c:tx>
          <c:spPr>
            <a:solidFill>
              <a:schemeClr val="tx1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'PRODUÇÃO TOTAL USINA'!$A$3:$A$30</c:f>
              <c:strCache>
                <c:ptCount val="27"/>
                <c:pt idx="0">
                  <c:v>1h</c:v>
                </c:pt>
                <c:pt idx="1">
                  <c:v>2h</c:v>
                </c:pt>
                <c:pt idx="2">
                  <c:v>3h</c:v>
                </c:pt>
                <c:pt idx="3">
                  <c:v>4h</c:v>
                </c:pt>
                <c:pt idx="4">
                  <c:v>5h</c:v>
                </c:pt>
                <c:pt idx="5">
                  <c:v>6h</c:v>
                </c:pt>
                <c:pt idx="6">
                  <c:v>7h</c:v>
                </c:pt>
                <c:pt idx="7">
                  <c:v>8h</c:v>
                </c:pt>
                <c:pt idx="8">
                  <c:v>9h</c:v>
                </c:pt>
                <c:pt idx="9">
                  <c:v>10h</c:v>
                </c:pt>
                <c:pt idx="10">
                  <c:v>11h</c:v>
                </c:pt>
                <c:pt idx="11">
                  <c:v>12h</c:v>
                </c:pt>
                <c:pt idx="12">
                  <c:v>13h</c:v>
                </c:pt>
                <c:pt idx="13">
                  <c:v>14h</c:v>
                </c:pt>
                <c:pt idx="14">
                  <c:v>15h</c:v>
                </c:pt>
                <c:pt idx="15">
                  <c:v>16h</c:v>
                </c:pt>
                <c:pt idx="16">
                  <c:v>17h</c:v>
                </c:pt>
                <c:pt idx="17">
                  <c:v>18h</c:v>
                </c:pt>
                <c:pt idx="18">
                  <c:v>19h</c:v>
                </c:pt>
                <c:pt idx="19">
                  <c:v>20h</c:v>
                </c:pt>
                <c:pt idx="20">
                  <c:v>21h</c:v>
                </c:pt>
                <c:pt idx="21">
                  <c:v>22h</c:v>
                </c:pt>
                <c:pt idx="22">
                  <c:v>23h</c:v>
                </c:pt>
                <c:pt idx="23">
                  <c:v>24h</c:v>
                </c:pt>
                <c:pt idx="24">
                  <c:v>Saldo</c:v>
                </c:pt>
                <c:pt idx="25">
                  <c:v>Acum. Real vs Acum. D+1</c:v>
                </c:pt>
                <c:pt idx="26">
                  <c:v>Proj. Dia vs D+1</c:v>
                </c:pt>
              </c:strCache>
            </c:strRef>
          </c:cat>
          <c:val>
            <c:numRef>
              <c:f>'PRODUÇÃO TOTAL USINA'!$AB$3:$AB$29</c:f>
              <c:numCache>
                <c:formatCode>#,##0</c:formatCode>
                <c:ptCount val="27"/>
                <c:pt idx="0">
                  <c:v>1190</c:v>
                </c:pt>
                <c:pt idx="1">
                  <c:v>430</c:v>
                </c:pt>
                <c:pt idx="2">
                  <c:v>1620</c:v>
                </c:pt>
                <c:pt idx="3">
                  <c:v>1980</c:v>
                </c:pt>
                <c:pt idx="4">
                  <c:v>1190</c:v>
                </c:pt>
                <c:pt idx="5">
                  <c:v>2280</c:v>
                </c:pt>
                <c:pt idx="6">
                  <c:v>480</c:v>
                </c:pt>
                <c:pt idx="7">
                  <c:v>190</c:v>
                </c:pt>
                <c:pt idx="8">
                  <c:v>2540</c:v>
                </c:pt>
                <c:pt idx="9">
                  <c:v>1500</c:v>
                </c:pt>
                <c:pt idx="10">
                  <c:v>1710</c:v>
                </c:pt>
                <c:pt idx="11">
                  <c:v>1440</c:v>
                </c:pt>
                <c:pt idx="12">
                  <c:v>2150</c:v>
                </c:pt>
                <c:pt idx="13">
                  <c:v>1980</c:v>
                </c:pt>
                <c:pt idx="14">
                  <c:v>1410</c:v>
                </c:pt>
                <c:pt idx="15">
                  <c:v>780</c:v>
                </c:pt>
                <c:pt idx="16">
                  <c:v>80</c:v>
                </c:pt>
                <c:pt idx="17">
                  <c:v>20</c:v>
                </c:pt>
                <c:pt idx="18">
                  <c:v>0</c:v>
                </c:pt>
                <c:pt idx="19">
                  <c:v>0</c:v>
                </c:pt>
                <c:pt idx="20">
                  <c:v>1540</c:v>
                </c:pt>
                <c:pt idx="21">
                  <c:v>1230</c:v>
                </c:pt>
                <c:pt idx="22">
                  <c:v>670</c:v>
                </c:pt>
                <c:pt idx="23">
                  <c:v>1810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C587-46B4-9367-BCEC274863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axId val="1143141304"/>
        <c:axId val="1143135032"/>
      </c:barChart>
      <c:barChart>
        <c:barDir val="col"/>
        <c:grouping val="clustered"/>
        <c:varyColors val="0"/>
        <c:ser>
          <c:idx val="2"/>
          <c:order val="2"/>
          <c:tx>
            <c:v>Acumulado</c:v>
          </c:tx>
          <c:spPr>
            <a:solidFill>
              <a:schemeClr val="bg1">
                <a:lumMod val="85000"/>
              </a:schemeClr>
            </a:solidFill>
            <a:ln w="12700" cap="rnd">
              <a:solidFill>
                <a:srgbClr val="FF0000">
                  <a:alpha val="35000"/>
                </a:srgbClr>
              </a:solidFill>
              <a:prstDash val="dash"/>
            </a:ln>
            <a:effectLst/>
            <a:scene3d>
              <a:camera prst="orthographicFront"/>
              <a:lightRig rig="threePt" dir="t"/>
            </a:scene3d>
            <a:sp3d/>
          </c:spPr>
          <c:invertIfNegative val="0"/>
          <c:dPt>
            <c:idx val="25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 w="12700" cap="rnd">
                <a:solidFill>
                  <a:srgbClr val="FF0000">
                    <a:alpha val="35000"/>
                  </a:srgb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17-C587-46B4-9367-BCEC274863BE}"/>
              </c:ext>
            </c:extLst>
          </c:dPt>
          <c:dPt>
            <c:idx val="26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 w="12700" cap="rnd">
                <a:solidFill>
                  <a:srgbClr val="FF0000">
                    <a:alpha val="35000"/>
                  </a:srgb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19-C587-46B4-9367-BCEC274863BE}"/>
              </c:ext>
            </c:extLst>
          </c:dPt>
          <c:dLbls>
            <c:dLbl>
              <c:idx val="25"/>
              <c:layout>
                <c:manualLayout>
                  <c:x val="-1.2311934070713998E-3"/>
                  <c:y val="-0.11259507555391789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C587-46B4-9367-BCEC274863BE}"/>
                </c:ext>
              </c:extLst>
            </c:dLbl>
            <c:dLbl>
              <c:idx val="26"/>
              <c:layout>
                <c:manualLayout>
                  <c:x val="6.7719104237266788E-5"/>
                  <c:y val="-8.058089386777828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C587-46B4-9367-BCEC274863B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accent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'PRODUÇÃO TOTAL USINA'!$A$3:$A$26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USINA'!$AF$3:$AF$29</c:f>
              <c:numCache>
                <c:formatCode>#,##0</c:formatCode>
                <c:ptCount val="27"/>
                <c:pt idx="25">
                  <c:v>30483.0648</c:v>
                </c:pt>
                <c:pt idx="26">
                  <c:v>30483.0648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C587-46B4-9367-BCEC274863BE}"/>
            </c:ext>
          </c:extLst>
        </c:ser>
        <c:ser>
          <c:idx val="3"/>
          <c:order val="3"/>
          <c:tx>
            <c:v>D+1 Dev.</c:v>
          </c:tx>
          <c:spPr>
            <a:solidFill>
              <a:schemeClr val="accent1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Pt>
            <c:idx val="25"/>
            <c:invertIfNegative val="0"/>
            <c:bubble3D val="0"/>
            <c:spPr>
              <a:blipFill>
                <a:blip xmlns:r="http://schemas.openxmlformats.org/officeDocument/2006/relationships" r:embed="rId3"/>
                <a:stretch>
                  <a:fillRect/>
                </a:stretch>
              </a:blipFill>
              <a:ln w="12700">
                <a:solidFill>
                  <a:schemeClr val="accent1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1F-C587-46B4-9367-BCEC274863BE}"/>
              </c:ext>
            </c:extLst>
          </c:dPt>
          <c:dPt>
            <c:idx val="26"/>
            <c:invertIfNegative val="0"/>
            <c:bubble3D val="0"/>
            <c:spPr>
              <a:blipFill>
                <a:blip xmlns:r="http://schemas.openxmlformats.org/officeDocument/2006/relationships" r:embed="rId4"/>
                <a:stretch>
                  <a:fillRect/>
                </a:stretch>
              </a:blipFill>
              <a:ln w="12700">
                <a:solidFill>
                  <a:schemeClr val="tx1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21-C587-46B4-9367-BCEC274863BE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4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'PRODUÇÃO TOTAL USINA'!$A$3:$A$26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USINA'!$AE$3:$AE$29</c:f>
              <c:numCache>
                <c:formatCode>#,##0</c:formatCode>
                <c:ptCount val="27"/>
                <c:pt idx="25">
                  <c:v>28220</c:v>
                </c:pt>
                <c:pt idx="26">
                  <c:v>45000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4-C587-46B4-9367-BCEC274863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680603472"/>
        <c:axId val="1680607408"/>
      </c:barChart>
      <c:catAx>
        <c:axId val="11431413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>
            <a:noFill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43135032"/>
        <c:crosses val="autoZero"/>
        <c:auto val="1"/>
        <c:lblAlgn val="ctr"/>
        <c:lblOffset val="100"/>
        <c:noMultiLvlLbl val="0"/>
      </c:catAx>
      <c:valAx>
        <c:axId val="1143135032"/>
        <c:scaling>
          <c:orientation val="minMax"/>
          <c:max val="5000"/>
          <c:min val="0"/>
        </c:scaling>
        <c:delete val="0"/>
        <c:axPos val="l"/>
        <c:numFmt formatCode="#,##0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51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43141304"/>
        <c:crosses val="autoZero"/>
        <c:crossBetween val="between"/>
      </c:valAx>
      <c:valAx>
        <c:axId val="1680607408"/>
        <c:scaling>
          <c:orientation val="minMax"/>
          <c:max val="80000"/>
          <c:min val="0"/>
        </c:scaling>
        <c:delete val="0"/>
        <c:axPos val="r"/>
        <c:numFmt formatCode="#,##0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80603472"/>
        <c:crosses val="max"/>
        <c:crossBetween val="between"/>
      </c:valAx>
      <c:catAx>
        <c:axId val="1680603472"/>
        <c:scaling>
          <c:orientation val="minMax"/>
        </c:scaling>
        <c:delete val="1"/>
        <c:axPos val="b"/>
        <c:numFmt formatCode="0&quot;h&quot;" sourceLinked="1"/>
        <c:majorTickMark val="out"/>
        <c:minorTickMark val="none"/>
        <c:tickLblPos val="nextTo"/>
        <c:crossAx val="1680607408"/>
        <c:crossesAt val="0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0019986347353863E-3"/>
          <c:y val="2.3570765330430617E-2"/>
          <c:w val="0.17501256196699588"/>
          <c:h val="7.554736626495817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/>
  </c:chart>
  <c:spPr>
    <a:solidFill>
      <a:schemeClr val="bg1"/>
    </a:solidFill>
    <a:ln cap="flat">
      <a:solidFill>
        <a:schemeClr val="bg1">
          <a:lumMod val="85000"/>
          <a:alpha val="0"/>
        </a:schemeClr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>
          <a:solidFill>
            <a:schemeClr val="tx1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spc="100" baseline="0">
                <a:solidFill>
                  <a:srgbClr val="007E7A"/>
                </a:solidFill>
                <a:effectLst/>
                <a:latin typeface="+mn-lt"/>
                <a:ea typeface="+mn-ea"/>
                <a:cs typeface="+mn-cs"/>
              </a:defRPr>
            </a:pPr>
            <a:r>
              <a:rPr lang="en-US" sz="1800" b="1" i="0" baseline="0">
                <a:effectLst/>
              </a:rPr>
              <a:t>PROGRAMA Vs PRODUÇÃO USINA IV </a:t>
            </a:r>
            <a:endParaRPr lang="en-US">
              <a:effectLst/>
            </a:endParaRPr>
          </a:p>
        </c:rich>
      </c:tx>
      <c:layout>
        <c:manualLayout>
          <c:xMode val="edge"/>
          <c:yMode val="edge"/>
          <c:x val="0.3941383350809658"/>
          <c:y val="1.104159638878938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800" b="1" i="0" u="none" strike="noStrike" kern="1200" spc="100" baseline="0">
              <a:solidFill>
                <a:srgbClr val="007E7A"/>
              </a:solidFill>
              <a:effectLst/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1.1747794308002458E-2"/>
          <c:y val="0.11389225117140173"/>
          <c:w val="0.97314579989917172"/>
          <c:h val="0.61061120225289012"/>
        </c:manualLayout>
      </c:layout>
      <c:barChart>
        <c:barDir val="col"/>
        <c:grouping val="clustered"/>
        <c:varyColors val="0"/>
        <c:ser>
          <c:idx val="0"/>
          <c:order val="0"/>
          <c:tx>
            <c:v>D+1</c:v>
          </c:tx>
          <c:spPr>
            <a:solidFill>
              <a:schemeClr val="accent2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accent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'PRODUÇÃO TOTAL USINA'!$A$3:$A$30</c:f>
              <c:strCache>
                <c:ptCount val="27"/>
                <c:pt idx="0">
                  <c:v>1h</c:v>
                </c:pt>
                <c:pt idx="1">
                  <c:v>2h</c:v>
                </c:pt>
                <c:pt idx="2">
                  <c:v>3h</c:v>
                </c:pt>
                <c:pt idx="3">
                  <c:v>4h</c:v>
                </c:pt>
                <c:pt idx="4">
                  <c:v>5h</c:v>
                </c:pt>
                <c:pt idx="5">
                  <c:v>6h</c:v>
                </c:pt>
                <c:pt idx="6">
                  <c:v>7h</c:v>
                </c:pt>
                <c:pt idx="7">
                  <c:v>8h</c:v>
                </c:pt>
                <c:pt idx="8">
                  <c:v>9h</c:v>
                </c:pt>
                <c:pt idx="9">
                  <c:v>10h</c:v>
                </c:pt>
                <c:pt idx="10">
                  <c:v>11h</c:v>
                </c:pt>
                <c:pt idx="11">
                  <c:v>12h</c:v>
                </c:pt>
                <c:pt idx="12">
                  <c:v>13h</c:v>
                </c:pt>
                <c:pt idx="13">
                  <c:v>14h</c:v>
                </c:pt>
                <c:pt idx="14">
                  <c:v>15h</c:v>
                </c:pt>
                <c:pt idx="15">
                  <c:v>16h</c:v>
                </c:pt>
                <c:pt idx="16">
                  <c:v>17h</c:v>
                </c:pt>
                <c:pt idx="17">
                  <c:v>18h</c:v>
                </c:pt>
                <c:pt idx="18">
                  <c:v>19h</c:v>
                </c:pt>
                <c:pt idx="19">
                  <c:v>20h</c:v>
                </c:pt>
                <c:pt idx="20">
                  <c:v>21h</c:v>
                </c:pt>
                <c:pt idx="21">
                  <c:v>22h</c:v>
                </c:pt>
                <c:pt idx="22">
                  <c:v>23h</c:v>
                </c:pt>
                <c:pt idx="23">
                  <c:v>24h</c:v>
                </c:pt>
                <c:pt idx="24">
                  <c:v>Saldo</c:v>
                </c:pt>
                <c:pt idx="25">
                  <c:v>Acum. Real vs Acum. D+1</c:v>
                </c:pt>
                <c:pt idx="26">
                  <c:v>Proj. Dia vs D+1</c:v>
                </c:pt>
              </c:strCache>
            </c:strRef>
          </c:cat>
          <c:val>
            <c:numRef>
              <c:f>'PRODUÇÃO TOTAL USINA'!$AI$3:$AI$29</c:f>
              <c:numCache>
                <c:formatCode>#,##0</c:formatCode>
                <c:ptCount val="27"/>
                <c:pt idx="0">
                  <c:v>142.95833333333331</c:v>
                </c:pt>
                <c:pt idx="1">
                  <c:v>142.95833333333331</c:v>
                </c:pt>
                <c:pt idx="2">
                  <c:v>142.95833333333331</c:v>
                </c:pt>
                <c:pt idx="3">
                  <c:v>142.95833333333331</c:v>
                </c:pt>
                <c:pt idx="4">
                  <c:v>142.95833333333331</c:v>
                </c:pt>
                <c:pt idx="5">
                  <c:v>142.95833333333331</c:v>
                </c:pt>
                <c:pt idx="6">
                  <c:v>142.95833333333331</c:v>
                </c:pt>
                <c:pt idx="7">
                  <c:v>142.95833333333331</c:v>
                </c:pt>
                <c:pt idx="8">
                  <c:v>142.95833333333331</c:v>
                </c:pt>
                <c:pt idx="9">
                  <c:v>142.95833333333331</c:v>
                </c:pt>
                <c:pt idx="10">
                  <c:v>142.95833333333331</c:v>
                </c:pt>
                <c:pt idx="11">
                  <c:v>142.95833333333331</c:v>
                </c:pt>
                <c:pt idx="12">
                  <c:v>142.95833333333331</c:v>
                </c:pt>
                <c:pt idx="13">
                  <c:v>142.95833333333331</c:v>
                </c:pt>
                <c:pt idx="14">
                  <c:v>142.95833333333331</c:v>
                </c:pt>
                <c:pt idx="15">
                  <c:v>142.95833333333331</c:v>
                </c:pt>
                <c:pt idx="16">
                  <c:v>142.95833333333331</c:v>
                </c:pt>
                <c:pt idx="17">
                  <c:v>142.95833333333331</c:v>
                </c:pt>
                <c:pt idx="18">
                  <c:v>142.95833333333331</c:v>
                </c:pt>
                <c:pt idx="19">
                  <c:v>142.95833333333331</c:v>
                </c:pt>
                <c:pt idx="20">
                  <c:v>142.95833333333331</c:v>
                </c:pt>
                <c:pt idx="21">
                  <c:v>142.95833333333331</c:v>
                </c:pt>
                <c:pt idx="22">
                  <c:v>142.95833333333331</c:v>
                </c:pt>
                <c:pt idx="23">
                  <c:v>142.95833333333331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C8A7-4F89-B14C-7E832BEC5656}"/>
            </c:ext>
          </c:extLst>
        </c:ser>
        <c:ser>
          <c:idx val="1"/>
          <c:order val="1"/>
          <c:tx>
            <c:v>REAL</c:v>
          </c:tx>
          <c:spPr>
            <a:solidFill>
              <a:schemeClr val="tx1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'PRODUÇÃO TOTAL USINA'!$A$3:$A$30</c:f>
              <c:strCache>
                <c:ptCount val="27"/>
                <c:pt idx="0">
                  <c:v>1h</c:v>
                </c:pt>
                <c:pt idx="1">
                  <c:v>2h</c:v>
                </c:pt>
                <c:pt idx="2">
                  <c:v>3h</c:v>
                </c:pt>
                <c:pt idx="3">
                  <c:v>4h</c:v>
                </c:pt>
                <c:pt idx="4">
                  <c:v>5h</c:v>
                </c:pt>
                <c:pt idx="5">
                  <c:v>6h</c:v>
                </c:pt>
                <c:pt idx="6">
                  <c:v>7h</c:v>
                </c:pt>
                <c:pt idx="7">
                  <c:v>8h</c:v>
                </c:pt>
                <c:pt idx="8">
                  <c:v>9h</c:v>
                </c:pt>
                <c:pt idx="9">
                  <c:v>10h</c:v>
                </c:pt>
                <c:pt idx="10">
                  <c:v>11h</c:v>
                </c:pt>
                <c:pt idx="11">
                  <c:v>12h</c:v>
                </c:pt>
                <c:pt idx="12">
                  <c:v>13h</c:v>
                </c:pt>
                <c:pt idx="13">
                  <c:v>14h</c:v>
                </c:pt>
                <c:pt idx="14">
                  <c:v>15h</c:v>
                </c:pt>
                <c:pt idx="15">
                  <c:v>16h</c:v>
                </c:pt>
                <c:pt idx="16">
                  <c:v>17h</c:v>
                </c:pt>
                <c:pt idx="17">
                  <c:v>18h</c:v>
                </c:pt>
                <c:pt idx="18">
                  <c:v>19h</c:v>
                </c:pt>
                <c:pt idx="19">
                  <c:v>20h</c:v>
                </c:pt>
                <c:pt idx="20">
                  <c:v>21h</c:v>
                </c:pt>
                <c:pt idx="21">
                  <c:v>22h</c:v>
                </c:pt>
                <c:pt idx="22">
                  <c:v>23h</c:v>
                </c:pt>
                <c:pt idx="23">
                  <c:v>24h</c:v>
                </c:pt>
                <c:pt idx="24">
                  <c:v>Saldo</c:v>
                </c:pt>
                <c:pt idx="25">
                  <c:v>Acum. Real vs Acum. D+1</c:v>
                </c:pt>
                <c:pt idx="26">
                  <c:v>Proj. Dia vs D+1</c:v>
                </c:pt>
              </c:strCache>
            </c:strRef>
          </c:cat>
          <c:val>
            <c:numRef>
              <c:f>'PRODUÇÃO TOTAL USINA'!$AJ$3:$AJ$29</c:f>
              <c:numCache>
                <c:formatCode>#,##0</c:formatCode>
                <c:ptCount val="27"/>
                <c:pt idx="0">
                  <c:v>332</c:v>
                </c:pt>
                <c:pt idx="1">
                  <c:v>237</c:v>
                </c:pt>
                <c:pt idx="2">
                  <c:v>160</c:v>
                </c:pt>
                <c:pt idx="3">
                  <c:v>208</c:v>
                </c:pt>
                <c:pt idx="4">
                  <c:v>207</c:v>
                </c:pt>
                <c:pt idx="5">
                  <c:v>168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5</c:v>
                </c:pt>
                <c:pt idx="11">
                  <c:v>195</c:v>
                </c:pt>
                <c:pt idx="12">
                  <c:v>224</c:v>
                </c:pt>
                <c:pt idx="13">
                  <c:v>249</c:v>
                </c:pt>
                <c:pt idx="14">
                  <c:v>278</c:v>
                </c:pt>
                <c:pt idx="15">
                  <c:v>53</c:v>
                </c:pt>
                <c:pt idx="16">
                  <c:v>283</c:v>
                </c:pt>
                <c:pt idx="17">
                  <c:v>184</c:v>
                </c:pt>
                <c:pt idx="18">
                  <c:v>0</c:v>
                </c:pt>
                <c:pt idx="19">
                  <c:v>38</c:v>
                </c:pt>
                <c:pt idx="20">
                  <c:v>198</c:v>
                </c:pt>
                <c:pt idx="21">
                  <c:v>296</c:v>
                </c:pt>
                <c:pt idx="22">
                  <c:v>102</c:v>
                </c:pt>
                <c:pt idx="23">
                  <c:v>151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C8A7-4F89-B14C-7E832BEC56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axId val="1143141304"/>
        <c:axId val="1143135032"/>
      </c:barChart>
      <c:barChart>
        <c:barDir val="col"/>
        <c:grouping val="clustered"/>
        <c:varyColors val="0"/>
        <c:ser>
          <c:idx val="2"/>
          <c:order val="2"/>
          <c:tx>
            <c:v>Acumulado</c:v>
          </c:tx>
          <c:spPr>
            <a:solidFill>
              <a:schemeClr val="bg1">
                <a:lumMod val="85000"/>
              </a:schemeClr>
            </a:solidFill>
            <a:ln w="25400" cap="rnd">
              <a:solidFill>
                <a:schemeClr val="tx1">
                  <a:alpha val="35000"/>
                </a:schemeClr>
              </a:solidFill>
              <a:prstDash val="dash"/>
            </a:ln>
            <a:effectLst/>
            <a:scene3d>
              <a:camera prst="orthographicFront"/>
              <a:lightRig rig="threePt" dir="t"/>
            </a:scene3d>
            <a:sp3d>
              <a:bevelT w="12700" h="50800"/>
            </a:sp3d>
          </c:spPr>
          <c:invertIfNegative val="0"/>
          <c:dPt>
            <c:idx val="25"/>
            <c:invertIfNegative val="0"/>
            <c:bubble3D val="0"/>
            <c:spPr>
              <a:blipFill>
                <a:blip xmlns:r="http://schemas.openxmlformats.org/officeDocument/2006/relationships" r:embed="rId3"/>
                <a:stretch>
                  <a:fillRect/>
                </a:stretch>
              </a:blipFill>
              <a:ln w="25400" cap="rnd">
                <a:solidFill>
                  <a:schemeClr val="tx1">
                    <a:alpha val="35000"/>
                  </a:scheme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>
                <a:bevelT w="12700" h="50800"/>
              </a:sp3d>
            </c:spPr>
            <c:extLst>
              <c:ext xmlns:c16="http://schemas.microsoft.com/office/drawing/2014/chart" uri="{C3380CC4-5D6E-409C-BE32-E72D297353CC}">
                <c16:uniqueId val="{00000017-C8A7-4F89-B14C-7E832BEC5656}"/>
              </c:ext>
            </c:extLst>
          </c:dPt>
          <c:dPt>
            <c:idx val="26"/>
            <c:invertIfNegative val="0"/>
            <c:bubble3D val="0"/>
            <c:spPr>
              <a:blipFill>
                <a:blip xmlns:r="http://schemas.openxmlformats.org/officeDocument/2006/relationships" r:embed="rId4"/>
                <a:stretch>
                  <a:fillRect/>
                </a:stretch>
              </a:blipFill>
              <a:ln w="25400" cap="rnd">
                <a:solidFill>
                  <a:schemeClr val="accent5">
                    <a:alpha val="35000"/>
                  </a:scheme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>
                <a:bevelT w="12700" h="50800"/>
              </a:sp3d>
            </c:spPr>
            <c:extLst>
              <c:ext xmlns:c16="http://schemas.microsoft.com/office/drawing/2014/chart" uri="{C3380CC4-5D6E-409C-BE32-E72D297353CC}">
                <c16:uniqueId val="{00000019-C8A7-4F89-B14C-7E832BEC5656}"/>
              </c:ext>
            </c:extLst>
          </c:dPt>
          <c:dLbls>
            <c:dLbl>
              <c:idx val="25"/>
              <c:layout>
                <c:manualLayout>
                  <c:x val="-4.8246069236984237E-3"/>
                  <c:y val="-0.39382742042210184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C8A7-4F89-B14C-7E832BEC5656}"/>
                </c:ext>
              </c:extLst>
            </c:dLbl>
            <c:dLbl>
              <c:idx val="26"/>
              <c:layout>
                <c:manualLayout>
                  <c:x val="-2.8947641542190544E-3"/>
                  <c:y val="-0.20816509261530061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C8A7-4F89-B14C-7E832BEC565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accent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'PRODUÇÃO TOTAL USINA'!$A$3:$A$26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USINA'!$AN$3:$AN$29</c:f>
              <c:numCache>
                <c:formatCode>#,##0</c:formatCode>
                <c:ptCount val="27"/>
                <c:pt idx="25">
                  <c:v>3431.0000000000005</c:v>
                </c:pt>
                <c:pt idx="26">
                  <c:v>3431.0000000000005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C8A7-4F89-B14C-7E832BEC5656}"/>
            </c:ext>
          </c:extLst>
        </c:ser>
        <c:ser>
          <c:idx val="3"/>
          <c:order val="3"/>
          <c:tx>
            <c:v>D+1 Dev.</c:v>
          </c:tx>
          <c:spPr>
            <a:solidFill>
              <a:schemeClr val="accent1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Pt>
            <c:idx val="25"/>
            <c:invertIfNegative val="0"/>
            <c:bubble3D val="0"/>
            <c:spPr>
              <a:blipFill>
                <a:blip xmlns:r="http://schemas.openxmlformats.org/officeDocument/2006/relationships" r:embed="rId5"/>
                <a:stretch>
                  <a:fillRect/>
                </a:stretch>
              </a:blipFill>
              <a:ln w="12700">
                <a:solidFill>
                  <a:schemeClr val="accent1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1F-C8A7-4F89-B14C-7E832BEC5656}"/>
              </c:ext>
            </c:extLst>
          </c:dPt>
          <c:dPt>
            <c:idx val="26"/>
            <c:invertIfNegative val="0"/>
            <c:bubble3D val="0"/>
            <c:spPr>
              <a:blipFill>
                <a:blip xmlns:r="http://schemas.openxmlformats.org/officeDocument/2006/relationships" r:embed="rId6"/>
                <a:stretch>
                  <a:fillRect/>
                </a:stretch>
              </a:blipFill>
              <a:ln w="12700">
                <a:solidFill>
                  <a:schemeClr val="tx1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21-C8A7-4F89-B14C-7E832BEC565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4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'PRODUÇÃO TOTAL USINA'!$A$3:$A$26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USINA'!$AM$3:$AM$29</c:f>
              <c:numCache>
                <c:formatCode>#,##0</c:formatCode>
                <c:ptCount val="27"/>
                <c:pt idx="25">
                  <c:v>3568</c:v>
                </c:pt>
                <c:pt idx="26">
                  <c:v>5000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4-C8A7-4F89-B14C-7E832BEC56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680603472"/>
        <c:axId val="1680607408"/>
      </c:barChart>
      <c:catAx>
        <c:axId val="11431413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>
            <a:noFill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43135032"/>
        <c:crosses val="autoZero"/>
        <c:auto val="1"/>
        <c:lblAlgn val="ctr"/>
        <c:lblOffset val="100"/>
        <c:noMultiLvlLbl val="0"/>
      </c:catAx>
      <c:valAx>
        <c:axId val="1143135032"/>
        <c:scaling>
          <c:orientation val="minMax"/>
          <c:max val="400"/>
          <c:min val="0"/>
        </c:scaling>
        <c:delete val="0"/>
        <c:axPos val="l"/>
        <c:numFmt formatCode="#,##0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51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43141304"/>
        <c:crosses val="autoZero"/>
        <c:crossBetween val="between"/>
      </c:valAx>
      <c:valAx>
        <c:axId val="1680607408"/>
        <c:scaling>
          <c:orientation val="minMax"/>
          <c:max val="5000"/>
          <c:min val="0"/>
        </c:scaling>
        <c:delete val="0"/>
        <c:axPos val="r"/>
        <c:numFmt formatCode="#,##0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80603472"/>
        <c:crosses val="max"/>
        <c:crossBetween val="between"/>
      </c:valAx>
      <c:catAx>
        <c:axId val="1680603472"/>
        <c:scaling>
          <c:orientation val="minMax"/>
        </c:scaling>
        <c:delete val="1"/>
        <c:axPos val="b"/>
        <c:numFmt formatCode="0&quot;h&quot;" sourceLinked="1"/>
        <c:majorTickMark val="out"/>
        <c:minorTickMark val="none"/>
        <c:tickLblPos val="nextTo"/>
        <c:crossAx val="1680607408"/>
        <c:crossesAt val="0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0019986347353863E-3"/>
          <c:y val="2.3570765330430617E-2"/>
          <c:w val="0.17501256196699588"/>
          <c:h val="7.554736626495817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/>
  </c:chart>
  <c:spPr>
    <a:solidFill>
      <a:schemeClr val="bg1"/>
    </a:solidFill>
    <a:ln cap="flat">
      <a:solidFill>
        <a:schemeClr val="bg1">
          <a:lumMod val="85000"/>
          <a:alpha val="0"/>
        </a:schemeClr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>
          <a:solidFill>
            <a:schemeClr val="tx1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232105463083877"/>
          <c:y val="0.15998636567869481"/>
          <c:w val="0.96573223522295282"/>
          <c:h val="0.60099600931257613"/>
        </c:manualLayout>
      </c:layout>
      <c:lineChart>
        <c:grouping val="standard"/>
        <c:varyColors val="0"/>
        <c:ser>
          <c:idx val="1"/>
          <c:order val="0"/>
          <c:tx>
            <c:v>Meta</c:v>
          </c:tx>
          <c:spPr>
            <a:ln w="22225">
              <a:prstDash val="dash"/>
            </a:ln>
          </c:spPr>
          <c:marker>
            <c:symbol val="none"/>
          </c:marker>
          <c:dLbls>
            <c:dLbl>
              <c:idx val="23"/>
              <c:layout>
                <c:manualLayout>
                  <c:x val="-2.4582568152508817E-2"/>
                  <c:y val="-0.43755153620743958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08F-40F3-BDF2-78BA1B0354F8}"/>
                </c:ext>
              </c:extLst>
            </c:dLbl>
            <c:numFmt formatCode="#,##0" sourceLinked="0"/>
            <c:spPr>
              <a:noFill/>
              <a:ln>
                <a:solidFill>
                  <a:schemeClr val="accent2"/>
                </a:solidFill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 b="1">
                    <a:solidFill>
                      <a:schemeClr val="accent2"/>
                    </a:solidFill>
                  </a:defRPr>
                </a:pPr>
                <a:endParaRPr lang="pt-BR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'PRODUÇÃO TOTAL USINA'!$A$34:$A$57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USINA'!$AQ$34:$AQ$57</c:f>
              <c:numCache>
                <c:formatCode>#,##0</c:formatCode>
                <c:ptCount val="24"/>
                <c:pt idx="0">
                  <c:v>8376.3080046403702</c:v>
                </c:pt>
                <c:pt idx="1">
                  <c:v>8376.3080046403702</c:v>
                </c:pt>
                <c:pt idx="2">
                  <c:v>8376.3080046403702</c:v>
                </c:pt>
                <c:pt idx="3">
                  <c:v>8376.3080046403702</c:v>
                </c:pt>
                <c:pt idx="4">
                  <c:v>8376.3080046403702</c:v>
                </c:pt>
                <c:pt idx="5">
                  <c:v>8376.3080046403702</c:v>
                </c:pt>
                <c:pt idx="6">
                  <c:v>8376.3080046403702</c:v>
                </c:pt>
                <c:pt idx="7">
                  <c:v>8376.3080046403702</c:v>
                </c:pt>
                <c:pt idx="8">
                  <c:v>8376.3080046403702</c:v>
                </c:pt>
                <c:pt idx="9">
                  <c:v>8376.3080046403702</c:v>
                </c:pt>
                <c:pt idx="10">
                  <c:v>8376.308004640372</c:v>
                </c:pt>
                <c:pt idx="11">
                  <c:v>8376.308004640372</c:v>
                </c:pt>
                <c:pt idx="12">
                  <c:v>8376.3080046403702</c:v>
                </c:pt>
                <c:pt idx="13">
                  <c:v>8376.3080046403702</c:v>
                </c:pt>
                <c:pt idx="14">
                  <c:v>8376.3080046403702</c:v>
                </c:pt>
                <c:pt idx="15">
                  <c:v>8376.3080046403702</c:v>
                </c:pt>
                <c:pt idx="16">
                  <c:v>8376.3080046403702</c:v>
                </c:pt>
                <c:pt idx="17">
                  <c:v>8376.3080046403684</c:v>
                </c:pt>
                <c:pt idx="18">
                  <c:v>8376.3080046403684</c:v>
                </c:pt>
                <c:pt idx="19">
                  <c:v>8376.3080046403684</c:v>
                </c:pt>
                <c:pt idx="20">
                  <c:v>8376.3080046403684</c:v>
                </c:pt>
                <c:pt idx="21">
                  <c:v>8376.3080046403684</c:v>
                </c:pt>
                <c:pt idx="22">
                  <c:v>8376.3080046403666</c:v>
                </c:pt>
                <c:pt idx="23">
                  <c:v>8376.3080046403684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08F-40F3-BDF2-78BA1B0354F8}"/>
            </c:ext>
          </c:extLst>
        </c:ser>
        <c:ser>
          <c:idx val="0"/>
          <c:order val="1"/>
          <c:tx>
            <c:v>RITMO PRODUÇÃO ( kt )</c:v>
          </c:tx>
          <c:spPr>
            <a:ln w="15875">
              <a:solidFill>
                <a:schemeClr val="tx2"/>
              </a:solidFill>
            </a:ln>
            <a:effectLst>
              <a:glow rad="12700">
                <a:schemeClr val="accent1">
                  <a:alpha val="40000"/>
                </a:schemeClr>
              </a:glow>
            </a:effectLst>
          </c:spPr>
          <c:marker>
            <c:symbol val="circle"/>
            <c:size val="7"/>
            <c:spPr>
              <a:solidFill>
                <a:schemeClr val="tx1">
                  <a:lumMod val="75000"/>
                </a:schemeClr>
              </a:solidFill>
              <a:ln>
                <a:solidFill>
                  <a:schemeClr val="bg1"/>
                </a:solidFill>
              </a:ln>
              <a:effectLst>
                <a:glow rad="12700">
                  <a:schemeClr val="accent1">
                    <a:alpha val="40000"/>
                  </a:schemeClr>
                </a:glow>
              </a:effectLst>
            </c:spPr>
          </c:marker>
          <c:dLbls>
            <c:numFmt formatCode="#," sourceLinked="0"/>
            <c:spPr>
              <a:noFill/>
              <a:ln>
                <a:noFill/>
              </a:ln>
              <a:effectLst/>
            </c:spPr>
            <c:txPr>
              <a:bodyPr rot="-1980000"/>
              <a:lstStyle/>
              <a:p>
                <a:pPr>
                  <a:defRPr sz="900"/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eparator>.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errBars>
            <c:errDir val="y"/>
            <c:errBarType val="minus"/>
            <c:errValType val="percentage"/>
            <c:noEndCap val="0"/>
            <c:val val="100"/>
            <c:spPr>
              <a:ln>
                <a:solidFill>
                  <a:schemeClr val="tx1">
                    <a:alpha val="20000"/>
                  </a:schemeClr>
                </a:solidFill>
                <a:prstDash val="dash"/>
              </a:ln>
            </c:spPr>
          </c:errBars>
          <c:cat>
            <c:numRef>
              <c:f>'PRODUÇÃO TOTAL USINA'!$A$34:$A$57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USINA'!$AR$34:$AR$57</c:f>
              <c:numCache>
                <c:formatCode>#,##0</c:formatCode>
                <c:ptCount val="24"/>
                <c:pt idx="0">
                  <c:v>11780.299989665822</c:v>
                </c:pt>
                <c:pt idx="1">
                  <c:v>7716.3644896542537</c:v>
                </c:pt>
                <c:pt idx="2">
                  <c:v>5144.2429931028355</c:v>
                </c:pt>
                <c:pt idx="3">
                  <c:v>3858.1822448271269</c:v>
                </c:pt>
                <c:pt idx="4">
                  <c:v>3086.5457958617017</c:v>
                </c:pt>
                <c:pt idx="5">
                  <c:v>3685.4635935216793</c:v>
                </c:pt>
                <c:pt idx="6">
                  <c:v>4427.0133328646316</c:v>
                </c:pt>
                <c:pt idx="7">
                  <c:v>4829.9207441485651</c:v>
                </c:pt>
                <c:pt idx="8">
                  <c:v>5234.7224599771944</c:v>
                </c:pt>
                <c:pt idx="9">
                  <c:v>5659.3673100398191</c:v>
                </c:pt>
                <c:pt idx="10">
                  <c:v>5804.1613583532271</c:v>
                </c:pt>
                <c:pt idx="11">
                  <c:v>5320.4812451571252</c:v>
                </c:pt>
                <c:pt idx="12">
                  <c:v>4911.2134570681155</c:v>
                </c:pt>
                <c:pt idx="13">
                  <c:v>4560.4124958489647</c:v>
                </c:pt>
                <c:pt idx="14">
                  <c:v>4256.3849961257001</c:v>
                </c:pt>
                <c:pt idx="15">
                  <c:v>3990.3609338678439</c:v>
                </c:pt>
                <c:pt idx="16">
                  <c:v>3755.633820110912</c:v>
                </c:pt>
                <c:pt idx="17">
                  <c:v>3546.9874967714168</c:v>
                </c:pt>
                <c:pt idx="18">
                  <c:v>3360.3039443097632</c:v>
                </c:pt>
                <c:pt idx="19">
                  <c:v>3192.2887470942751</c:v>
                </c:pt>
                <c:pt idx="20">
                  <c:v>3040.2749972326428</c:v>
                </c:pt>
                <c:pt idx="21">
                  <c:v>2902.0806791766136</c:v>
                </c:pt>
                <c:pt idx="22">
                  <c:v>2775.9032583428479</c:v>
                </c:pt>
                <c:pt idx="23">
                  <c:v>2775.9032583428479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4-308F-40F3-BDF2-78BA1B0354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63373872"/>
        <c:axId val="1263374264"/>
      </c:lineChart>
      <c:catAx>
        <c:axId val="1263373872"/>
        <c:scaling>
          <c:orientation val="minMax"/>
        </c:scaling>
        <c:delete val="0"/>
        <c:axPos val="b"/>
        <c:numFmt formatCode="0&quot;h&quot;" sourceLinked="1"/>
        <c:majorTickMark val="none"/>
        <c:minorTickMark val="none"/>
        <c:tickLblPos val="nextTo"/>
        <c:txPr>
          <a:bodyPr/>
          <a:lstStyle/>
          <a:p>
            <a:pPr>
              <a:defRPr sz="700"/>
            </a:pPr>
            <a:endParaRPr lang="pt-BR"/>
          </a:p>
        </c:txPr>
        <c:crossAx val="1263374264"/>
        <c:crosses val="autoZero"/>
        <c:auto val="1"/>
        <c:lblAlgn val="ctr"/>
        <c:lblOffset val="100"/>
        <c:noMultiLvlLbl val="0"/>
      </c:catAx>
      <c:valAx>
        <c:axId val="1263374264"/>
        <c:scaling>
          <c:orientation val="minMax"/>
          <c:min val="10"/>
        </c:scaling>
        <c:delete val="1"/>
        <c:axPos val="l"/>
        <c:numFmt formatCode="#,##0" sourceLinked="1"/>
        <c:majorTickMark val="none"/>
        <c:minorTickMark val="none"/>
        <c:tickLblPos val="nextTo"/>
        <c:crossAx val="126337387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44059226605166435"/>
          <c:y val="0.90495627089835606"/>
          <c:w val="0.55399471415292534"/>
          <c:h val="7.9741843077913599E-2"/>
        </c:manualLayout>
      </c:layout>
      <c:overlay val="0"/>
      <c:spPr>
        <a:solidFill>
          <a:schemeClr val="bg1">
            <a:lumMod val="95000"/>
          </a:schemeClr>
        </a:solidFill>
      </c:spPr>
      <c:txPr>
        <a:bodyPr/>
        <a:lstStyle/>
        <a:p>
          <a:pPr>
            <a:defRPr sz="600"/>
          </a:pPr>
          <a:endParaRPr lang="pt-BR"/>
        </a:p>
      </c:txPr>
    </c:legend>
    <c:plotVisOnly val="1"/>
    <c:dispBlanksAs val="gap"/>
    <c:showDLblsOverMax val="0"/>
  </c:chart>
  <c:spPr>
    <a:ln cap="rnd">
      <a:solidFill>
        <a:schemeClr val="bg1">
          <a:lumMod val="85000"/>
          <a:alpha val="0"/>
        </a:schemeClr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 sz="700"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 orientation="portrait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spc="100" baseline="0">
                <a:solidFill>
                  <a:srgbClr val="007E7A"/>
                </a:solidFill>
                <a:effectLst/>
                <a:latin typeface="+mn-lt"/>
                <a:ea typeface="+mn-ea"/>
                <a:cs typeface="+mn-cs"/>
              </a:defRPr>
            </a:pPr>
            <a:r>
              <a:rPr lang="en-US" sz="1800" b="1" i="0" baseline="0">
                <a:effectLst/>
              </a:rPr>
              <a:t>PROGRAMA Vs PRODUÇÃO USINA IV </a:t>
            </a:r>
            <a:endParaRPr lang="en-US">
              <a:effectLst/>
            </a:endParaRPr>
          </a:p>
        </c:rich>
      </c:tx>
      <c:layout>
        <c:manualLayout>
          <c:xMode val="edge"/>
          <c:yMode val="edge"/>
          <c:x val="0.3941383350809658"/>
          <c:y val="1.104159638878938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800" b="1" i="0" u="none" strike="noStrike" kern="1200" spc="100" baseline="0">
              <a:solidFill>
                <a:srgbClr val="007E7A"/>
              </a:solidFill>
              <a:effectLst/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1.1747794308002458E-2"/>
          <c:y val="0.11389225117140173"/>
          <c:w val="0.97314579989917172"/>
          <c:h val="0.61061120225289012"/>
        </c:manualLayout>
      </c:layout>
      <c:barChart>
        <c:barDir val="col"/>
        <c:grouping val="clustered"/>
        <c:varyColors val="0"/>
        <c:ser>
          <c:idx val="0"/>
          <c:order val="0"/>
          <c:tx>
            <c:v>D+1</c:v>
          </c:tx>
          <c:spPr>
            <a:solidFill>
              <a:schemeClr val="accent2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accent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'PRODUÇÃO TOTAL USINA'!$A$3:$A$30</c:f>
              <c:strCache>
                <c:ptCount val="27"/>
                <c:pt idx="0">
                  <c:v>1h</c:v>
                </c:pt>
                <c:pt idx="1">
                  <c:v>2h</c:v>
                </c:pt>
                <c:pt idx="2">
                  <c:v>3h</c:v>
                </c:pt>
                <c:pt idx="3">
                  <c:v>4h</c:v>
                </c:pt>
                <c:pt idx="4">
                  <c:v>5h</c:v>
                </c:pt>
                <c:pt idx="5">
                  <c:v>6h</c:v>
                </c:pt>
                <c:pt idx="6">
                  <c:v>7h</c:v>
                </c:pt>
                <c:pt idx="7">
                  <c:v>8h</c:v>
                </c:pt>
                <c:pt idx="8">
                  <c:v>9h</c:v>
                </c:pt>
                <c:pt idx="9">
                  <c:v>10h</c:v>
                </c:pt>
                <c:pt idx="10">
                  <c:v>11h</c:v>
                </c:pt>
                <c:pt idx="11">
                  <c:v>12h</c:v>
                </c:pt>
                <c:pt idx="12">
                  <c:v>13h</c:v>
                </c:pt>
                <c:pt idx="13">
                  <c:v>14h</c:v>
                </c:pt>
                <c:pt idx="14">
                  <c:v>15h</c:v>
                </c:pt>
                <c:pt idx="15">
                  <c:v>16h</c:v>
                </c:pt>
                <c:pt idx="16">
                  <c:v>17h</c:v>
                </c:pt>
                <c:pt idx="17">
                  <c:v>18h</c:v>
                </c:pt>
                <c:pt idx="18">
                  <c:v>19h</c:v>
                </c:pt>
                <c:pt idx="19">
                  <c:v>20h</c:v>
                </c:pt>
                <c:pt idx="20">
                  <c:v>21h</c:v>
                </c:pt>
                <c:pt idx="21">
                  <c:v>22h</c:v>
                </c:pt>
                <c:pt idx="22">
                  <c:v>23h</c:v>
                </c:pt>
                <c:pt idx="23">
                  <c:v>24h</c:v>
                </c:pt>
                <c:pt idx="24">
                  <c:v>Saldo</c:v>
                </c:pt>
                <c:pt idx="25">
                  <c:v>Acum. Real vs Acum. D+1</c:v>
                </c:pt>
                <c:pt idx="26">
                  <c:v>Proj. Dia vs D+1</c:v>
                </c:pt>
              </c:strCache>
            </c:strRef>
          </c:cat>
          <c:val>
            <c:numRef>
              <c:f>'PRODUÇÃO TOTAL USINA'!$AQ$3:$AQ$29</c:f>
              <c:numCache>
                <c:formatCode>#,##0</c:formatCode>
                <c:ptCount val="27"/>
                <c:pt idx="0">
                  <c:v>349.01283352668207</c:v>
                </c:pt>
                <c:pt idx="1">
                  <c:v>349.01283352668207</c:v>
                </c:pt>
                <c:pt idx="2">
                  <c:v>349.01283352668207</c:v>
                </c:pt>
                <c:pt idx="3">
                  <c:v>349.01283352668207</c:v>
                </c:pt>
                <c:pt idx="4">
                  <c:v>349.01283352668207</c:v>
                </c:pt>
                <c:pt idx="5">
                  <c:v>349.01283352668207</c:v>
                </c:pt>
                <c:pt idx="6">
                  <c:v>349.01283352668207</c:v>
                </c:pt>
                <c:pt idx="7">
                  <c:v>349.01283352668207</c:v>
                </c:pt>
                <c:pt idx="8">
                  <c:v>349.01283352668207</c:v>
                </c:pt>
                <c:pt idx="9">
                  <c:v>349.01283352668207</c:v>
                </c:pt>
                <c:pt idx="10">
                  <c:v>349.01283352668207</c:v>
                </c:pt>
                <c:pt idx="11">
                  <c:v>349.01283352668207</c:v>
                </c:pt>
                <c:pt idx="12">
                  <c:v>349.01283352668207</c:v>
                </c:pt>
                <c:pt idx="13">
                  <c:v>349.01283352668207</c:v>
                </c:pt>
                <c:pt idx="14">
                  <c:v>349.01283352668207</c:v>
                </c:pt>
                <c:pt idx="15">
                  <c:v>349.01283352668207</c:v>
                </c:pt>
                <c:pt idx="16">
                  <c:v>349.01283352668207</c:v>
                </c:pt>
                <c:pt idx="17">
                  <c:v>349.01283352668207</c:v>
                </c:pt>
                <c:pt idx="18">
                  <c:v>349.01283352668207</c:v>
                </c:pt>
                <c:pt idx="19">
                  <c:v>349.01283352668207</c:v>
                </c:pt>
                <c:pt idx="20">
                  <c:v>349.01283352668207</c:v>
                </c:pt>
                <c:pt idx="21">
                  <c:v>349.01283352668207</c:v>
                </c:pt>
                <c:pt idx="22">
                  <c:v>349.01283352668207</c:v>
                </c:pt>
                <c:pt idx="23">
                  <c:v>349.01283352668207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58F-4122-BC51-2B50CC2163E6}"/>
            </c:ext>
          </c:extLst>
        </c:ser>
        <c:ser>
          <c:idx val="1"/>
          <c:order val="1"/>
          <c:tx>
            <c:v>REAL</c:v>
          </c:tx>
          <c:spPr>
            <a:solidFill>
              <a:schemeClr val="tx1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'PRODUÇÃO TOTAL USINA'!$A$3:$A$30</c:f>
              <c:strCache>
                <c:ptCount val="27"/>
                <c:pt idx="0">
                  <c:v>1h</c:v>
                </c:pt>
                <c:pt idx="1">
                  <c:v>2h</c:v>
                </c:pt>
                <c:pt idx="2">
                  <c:v>3h</c:v>
                </c:pt>
                <c:pt idx="3">
                  <c:v>4h</c:v>
                </c:pt>
                <c:pt idx="4">
                  <c:v>5h</c:v>
                </c:pt>
                <c:pt idx="5">
                  <c:v>6h</c:v>
                </c:pt>
                <c:pt idx="6">
                  <c:v>7h</c:v>
                </c:pt>
                <c:pt idx="7">
                  <c:v>8h</c:v>
                </c:pt>
                <c:pt idx="8">
                  <c:v>9h</c:v>
                </c:pt>
                <c:pt idx="9">
                  <c:v>10h</c:v>
                </c:pt>
                <c:pt idx="10">
                  <c:v>11h</c:v>
                </c:pt>
                <c:pt idx="11">
                  <c:v>12h</c:v>
                </c:pt>
                <c:pt idx="12">
                  <c:v>13h</c:v>
                </c:pt>
                <c:pt idx="13">
                  <c:v>14h</c:v>
                </c:pt>
                <c:pt idx="14">
                  <c:v>15h</c:v>
                </c:pt>
                <c:pt idx="15">
                  <c:v>16h</c:v>
                </c:pt>
                <c:pt idx="16">
                  <c:v>17h</c:v>
                </c:pt>
                <c:pt idx="17">
                  <c:v>18h</c:v>
                </c:pt>
                <c:pt idx="18">
                  <c:v>19h</c:v>
                </c:pt>
                <c:pt idx="19">
                  <c:v>20h</c:v>
                </c:pt>
                <c:pt idx="20">
                  <c:v>21h</c:v>
                </c:pt>
                <c:pt idx="21">
                  <c:v>22h</c:v>
                </c:pt>
                <c:pt idx="22">
                  <c:v>23h</c:v>
                </c:pt>
                <c:pt idx="23">
                  <c:v>24h</c:v>
                </c:pt>
                <c:pt idx="24">
                  <c:v>Saldo</c:v>
                </c:pt>
                <c:pt idx="25">
                  <c:v>Acum. Real vs Acum. D+1</c:v>
                </c:pt>
                <c:pt idx="26">
                  <c:v>Proj. Dia vs D+1</c:v>
                </c:pt>
              </c:strCache>
            </c:strRef>
          </c:cat>
          <c:val>
            <c:numRef>
              <c:f>'PRODUÇÃO TOTAL USINA'!$AR$3:$AR$29</c:f>
              <c:numCache>
                <c:formatCode>#,##0</c:formatCode>
                <c:ptCount val="27"/>
                <c:pt idx="0">
                  <c:v>490.84583290274259</c:v>
                </c:pt>
                <c:pt idx="1">
                  <c:v>152.18454123511188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278.33552424256538</c:v>
                </c:pt>
                <c:pt idx="6">
                  <c:v>369.84632370509752</c:v>
                </c:pt>
                <c:pt idx="7">
                  <c:v>318.76135929733755</c:v>
                </c:pt>
                <c:pt idx="8">
                  <c:v>353.04734110859312</c:v>
                </c:pt>
                <c:pt idx="9">
                  <c:v>395.04879002514315</c:v>
                </c:pt>
                <c:pt idx="10">
                  <c:v>302.17091006197131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58F-4122-BC51-2B50CC2163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axId val="1143141304"/>
        <c:axId val="1143135032"/>
      </c:barChart>
      <c:barChart>
        <c:barDir val="col"/>
        <c:grouping val="clustered"/>
        <c:varyColors val="0"/>
        <c:ser>
          <c:idx val="2"/>
          <c:order val="2"/>
          <c:tx>
            <c:v>Acumulado</c:v>
          </c:tx>
          <c:spPr>
            <a:solidFill>
              <a:schemeClr val="bg1">
                <a:lumMod val="85000"/>
              </a:schemeClr>
            </a:solidFill>
            <a:ln w="25400" cap="rnd">
              <a:solidFill>
                <a:schemeClr val="tx1">
                  <a:alpha val="35000"/>
                </a:schemeClr>
              </a:solidFill>
              <a:prstDash val="dash"/>
            </a:ln>
            <a:effectLst/>
            <a:scene3d>
              <a:camera prst="orthographicFront"/>
              <a:lightRig rig="threePt" dir="t"/>
            </a:scene3d>
            <a:sp3d>
              <a:bevelT w="12700" h="50800"/>
            </a:sp3d>
          </c:spPr>
          <c:invertIfNegative val="0"/>
          <c:dPt>
            <c:idx val="25"/>
            <c:invertIfNegative val="0"/>
            <c:bubble3D val="0"/>
            <c:spPr>
              <a:blipFill>
                <a:blip xmlns:r="http://schemas.openxmlformats.org/officeDocument/2006/relationships" r:embed="rId3"/>
                <a:stretch>
                  <a:fillRect/>
                </a:stretch>
              </a:blipFill>
              <a:ln w="25400" cap="rnd">
                <a:solidFill>
                  <a:schemeClr val="tx1">
                    <a:alpha val="35000"/>
                  </a:scheme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>
                <a:bevelT w="12700" h="50800"/>
              </a:sp3d>
            </c:spPr>
            <c:extLst>
              <c:ext xmlns:c16="http://schemas.microsoft.com/office/drawing/2014/chart" uri="{C3380CC4-5D6E-409C-BE32-E72D297353CC}">
                <c16:uniqueId val="{00000007-558F-4122-BC51-2B50CC2163E6}"/>
              </c:ext>
            </c:extLst>
          </c:dPt>
          <c:dPt>
            <c:idx val="26"/>
            <c:invertIfNegative val="0"/>
            <c:bubble3D val="0"/>
            <c:spPr>
              <a:blipFill>
                <a:blip xmlns:r="http://schemas.openxmlformats.org/officeDocument/2006/relationships" r:embed="rId4"/>
                <a:stretch>
                  <a:fillRect/>
                </a:stretch>
              </a:blipFill>
              <a:ln w="25400" cap="rnd">
                <a:solidFill>
                  <a:schemeClr val="accent5">
                    <a:alpha val="35000"/>
                  </a:scheme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>
                <a:bevelT w="12700" h="50800"/>
              </a:sp3d>
            </c:spPr>
            <c:extLst>
              <c:ext xmlns:c16="http://schemas.microsoft.com/office/drawing/2014/chart" uri="{C3380CC4-5D6E-409C-BE32-E72D297353CC}">
                <c16:uniqueId val="{00000009-558F-4122-BC51-2B50CC2163E6}"/>
              </c:ext>
            </c:extLst>
          </c:dPt>
          <c:dLbls>
            <c:dLbl>
              <c:idx val="25"/>
              <c:layout>
                <c:manualLayout>
                  <c:x val="-4.8246069236984237E-3"/>
                  <c:y val="-0.39382742042210184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58F-4122-BC51-2B50CC2163E6}"/>
                </c:ext>
              </c:extLst>
            </c:dLbl>
            <c:dLbl>
              <c:idx val="26"/>
              <c:layout>
                <c:manualLayout>
                  <c:x val="-2.8947641542190544E-3"/>
                  <c:y val="-0.20816509261530061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558F-4122-BC51-2B50CC2163E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accent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'PRODUÇÃO TOTAL USINA'!$A$3:$A$26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USINA'!$AV$3:$AV$29</c:f>
              <c:numCache>
                <c:formatCode>#,##0</c:formatCode>
                <c:ptCount val="27"/>
                <c:pt idx="25">
                  <c:v>8376.3080046403684</c:v>
                </c:pt>
                <c:pt idx="26">
                  <c:v>8376.3080046403684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558F-4122-BC51-2B50CC2163E6}"/>
            </c:ext>
          </c:extLst>
        </c:ser>
        <c:ser>
          <c:idx val="3"/>
          <c:order val="3"/>
          <c:tx>
            <c:v>D+1 Dev.</c:v>
          </c:tx>
          <c:spPr>
            <a:solidFill>
              <a:schemeClr val="accent1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Pt>
            <c:idx val="25"/>
            <c:invertIfNegative val="0"/>
            <c:bubble3D val="0"/>
            <c:spPr>
              <a:blipFill>
                <a:blip xmlns:r="http://schemas.openxmlformats.org/officeDocument/2006/relationships" r:embed="rId5"/>
                <a:stretch>
                  <a:fillRect/>
                </a:stretch>
              </a:blipFill>
              <a:ln w="12700">
                <a:solidFill>
                  <a:schemeClr val="accent1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D-558F-4122-BC51-2B50CC2163E6}"/>
              </c:ext>
            </c:extLst>
          </c:dPt>
          <c:dPt>
            <c:idx val="26"/>
            <c:invertIfNegative val="0"/>
            <c:bubble3D val="0"/>
            <c:spPr>
              <a:blipFill>
                <a:blip xmlns:r="http://schemas.openxmlformats.org/officeDocument/2006/relationships" r:embed="rId6"/>
                <a:stretch>
                  <a:fillRect/>
                </a:stretch>
              </a:blipFill>
              <a:ln w="12700">
                <a:solidFill>
                  <a:schemeClr val="tx1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F-558F-4122-BC51-2B50CC2163E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4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'PRODUÇÃO TOTAL USINA'!$A$3:$A$26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USINA'!$AU$3:$AU$29</c:f>
              <c:numCache>
                <c:formatCode>#,##0</c:formatCode>
                <c:ptCount val="27"/>
                <c:pt idx="25">
                  <c:v>2660.2406225785626</c:v>
                </c:pt>
                <c:pt idx="26">
                  <c:v>5500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558F-4122-BC51-2B50CC2163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680603472"/>
        <c:axId val="1680607408"/>
      </c:barChart>
      <c:catAx>
        <c:axId val="11431413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>
            <a:noFill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43135032"/>
        <c:crosses val="autoZero"/>
        <c:auto val="1"/>
        <c:lblAlgn val="ctr"/>
        <c:lblOffset val="100"/>
        <c:noMultiLvlLbl val="0"/>
      </c:catAx>
      <c:valAx>
        <c:axId val="1143135032"/>
        <c:scaling>
          <c:orientation val="minMax"/>
          <c:max val="900"/>
          <c:min val="0"/>
        </c:scaling>
        <c:delete val="0"/>
        <c:axPos val="l"/>
        <c:numFmt formatCode="#,##0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51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43141304"/>
        <c:crosses val="autoZero"/>
        <c:crossBetween val="between"/>
      </c:valAx>
      <c:valAx>
        <c:axId val="1680607408"/>
        <c:scaling>
          <c:orientation val="minMax"/>
          <c:max val="12000"/>
          <c:min val="0"/>
        </c:scaling>
        <c:delete val="0"/>
        <c:axPos val="r"/>
        <c:numFmt formatCode="#,##0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80603472"/>
        <c:crosses val="max"/>
        <c:crossBetween val="between"/>
      </c:valAx>
      <c:catAx>
        <c:axId val="1680603472"/>
        <c:scaling>
          <c:orientation val="minMax"/>
        </c:scaling>
        <c:delete val="1"/>
        <c:axPos val="b"/>
        <c:numFmt formatCode="0&quot;h&quot;" sourceLinked="1"/>
        <c:majorTickMark val="out"/>
        <c:minorTickMark val="none"/>
        <c:tickLblPos val="nextTo"/>
        <c:crossAx val="1680607408"/>
        <c:crossesAt val="0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0019986347353863E-3"/>
          <c:y val="2.3570765330430617E-2"/>
          <c:w val="0.17501256196699588"/>
          <c:h val="7.554736626495817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/>
  </c:chart>
  <c:spPr>
    <a:solidFill>
      <a:schemeClr val="bg1"/>
    </a:solidFill>
    <a:ln cap="flat">
      <a:solidFill>
        <a:schemeClr val="bg1">
          <a:lumMod val="85000"/>
          <a:alpha val="0"/>
        </a:schemeClr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>
          <a:solidFill>
            <a:schemeClr val="tx1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5 MAIORES PERDAS POR HORARIO US-V</a:t>
            </a:r>
          </a:p>
        </c:rich>
      </c:tx>
      <c:layout>
        <c:manualLayout>
          <c:xMode val="edge"/>
          <c:yMode val="edge"/>
          <c:x val="0.26896182977127858"/>
          <c:y val="0"/>
        </c:manualLayout>
      </c:layout>
      <c:overlay val="0"/>
      <c:spPr>
        <a:solidFill>
          <a:sysClr val="window" lastClr="FFFFFF"/>
        </a:solidFill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6.1859882440915087E-2"/>
          <c:y val="0.11559121379112326"/>
          <c:w val="0.90652354607773911"/>
          <c:h val="0.8236327226277641"/>
        </c:manualLayout>
      </c:layout>
      <c:barChart>
        <c:barDir val="bar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'JUSTIFICATIVA DE USINA'!$R$31:$R$35</c:f>
              <c:numCache>
                <c:formatCode>General</c:formatCode>
                <c:ptCount val="5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11</c:v>
                </c:pt>
                <c:pt idx="4">
                  <c:v>12</c:v>
                </c:pt>
              </c:numCache>
            </c:numRef>
          </c:cat>
          <c:val>
            <c:numRef>
              <c:f>'JUSTIFICATIVA DE USINA'!$T$31:$T$35</c:f>
              <c:numCache>
                <c:formatCode>General</c:formatCode>
                <c:ptCount val="5"/>
                <c:pt idx="0">
                  <c:v>349.01283352668207</c:v>
                </c:pt>
                <c:pt idx="1">
                  <c:v>349.01283352668207</c:v>
                </c:pt>
                <c:pt idx="2">
                  <c:v>349.01283352668207</c:v>
                </c:pt>
                <c:pt idx="3">
                  <c:v>349.01283352668207</c:v>
                </c:pt>
                <c:pt idx="4">
                  <c:v>349.01283352668207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122-4958-A5C7-211D5D946A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1263382496"/>
        <c:axId val="1263380536"/>
      </c:barChart>
      <c:catAx>
        <c:axId val="1263382496"/>
        <c:scaling>
          <c:orientation val="maxMin"/>
        </c:scaling>
        <c:delete val="0"/>
        <c:axPos val="l"/>
        <c:numFmt formatCode="0&quot;h&quot;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63380536"/>
        <c:crosses val="autoZero"/>
        <c:auto val="1"/>
        <c:lblAlgn val="ctr"/>
        <c:lblOffset val="100"/>
        <c:noMultiLvlLbl val="0"/>
      </c:catAx>
      <c:valAx>
        <c:axId val="1263380536"/>
        <c:scaling>
          <c:orientation val="minMax"/>
        </c:scaling>
        <c:delete val="0"/>
        <c:axPos val="t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63382496"/>
        <c:crosses val="autoZero"/>
        <c:crossBetween val="between"/>
      </c:valAx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bg1">
          <a:lumMod val="65000"/>
        </a:schemeClr>
      </a:solidFill>
      <a:round/>
    </a:ln>
    <a:effectLst/>
  </c:spPr>
  <c:txPr>
    <a:bodyPr/>
    <a:lstStyle/>
    <a:p>
      <a:pPr>
        <a:defRPr>
          <a:solidFill>
            <a:schemeClr val="tx1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 orientation="portrait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5 MAIORES PERDAS POR HORARIO US-IV</a:t>
            </a:r>
          </a:p>
        </c:rich>
      </c:tx>
      <c:layout>
        <c:manualLayout>
          <c:xMode val="edge"/>
          <c:yMode val="edge"/>
          <c:x val="0.26896182977127858"/>
          <c:y val="0"/>
        </c:manualLayout>
      </c:layout>
      <c:overlay val="0"/>
      <c:spPr>
        <a:solidFill>
          <a:sysClr val="window" lastClr="FFFFFF"/>
        </a:solidFill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6.1859882440915087E-2"/>
          <c:y val="0.11559121379112326"/>
          <c:w val="0.90652354607773911"/>
          <c:h val="0.8236327226277641"/>
        </c:manualLayout>
      </c:layout>
      <c:barChart>
        <c:barDir val="bar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'JUSTIFICATIVA DE USINA'!$N$31:$N$35</c:f>
              <c:numCache>
                <c:formatCode>General</c:formatCode>
                <c:ptCount val="5"/>
                <c:pt idx="0">
                  <c:v>7</c:v>
                </c:pt>
                <c:pt idx="1">
                  <c:v>8</c:v>
                </c:pt>
                <c:pt idx="2">
                  <c:v>9</c:v>
                </c:pt>
                <c:pt idx="3">
                  <c:v>10</c:v>
                </c:pt>
                <c:pt idx="4">
                  <c:v>19</c:v>
                </c:pt>
              </c:numCache>
            </c:numRef>
          </c:cat>
          <c:val>
            <c:numRef>
              <c:f>'JUSTIFICATIVA DE USINA'!$P$31:$P$35</c:f>
              <c:numCache>
                <c:formatCode>General</c:formatCode>
                <c:ptCount val="5"/>
                <c:pt idx="0">
                  <c:v>142.95833333333331</c:v>
                </c:pt>
                <c:pt idx="1">
                  <c:v>142.95833333333331</c:v>
                </c:pt>
                <c:pt idx="2">
                  <c:v>142.95833333333331</c:v>
                </c:pt>
                <c:pt idx="3">
                  <c:v>142.95833333333331</c:v>
                </c:pt>
                <c:pt idx="4">
                  <c:v>142.95833333333331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F4-47C2-9191-491BC74CAD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1263382496"/>
        <c:axId val="1263380536"/>
      </c:barChart>
      <c:catAx>
        <c:axId val="1263382496"/>
        <c:scaling>
          <c:orientation val="maxMin"/>
        </c:scaling>
        <c:delete val="0"/>
        <c:axPos val="l"/>
        <c:numFmt formatCode="0&quot;h&quot;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63380536"/>
        <c:crosses val="autoZero"/>
        <c:auto val="1"/>
        <c:lblAlgn val="ctr"/>
        <c:lblOffset val="100"/>
        <c:noMultiLvlLbl val="0"/>
      </c:catAx>
      <c:valAx>
        <c:axId val="1263380536"/>
        <c:scaling>
          <c:orientation val="minMax"/>
        </c:scaling>
        <c:delete val="0"/>
        <c:axPos val="t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63382496"/>
        <c:crosses val="autoZero"/>
        <c:crossBetween val="between"/>
      </c:valAx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bg1">
          <a:lumMod val="65000"/>
        </a:schemeClr>
      </a:solidFill>
      <a:round/>
    </a:ln>
    <a:effectLst/>
  </c:spPr>
  <c:txPr>
    <a:bodyPr/>
    <a:lstStyle/>
    <a:p>
      <a:pPr>
        <a:defRPr>
          <a:solidFill>
            <a:schemeClr val="tx1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 orientation="portrait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5 MAIORES PERDAS POR HORARIO US-III</a:t>
            </a:r>
          </a:p>
        </c:rich>
      </c:tx>
      <c:layout>
        <c:manualLayout>
          <c:xMode val="edge"/>
          <c:yMode val="edge"/>
          <c:x val="0.26896182977127858"/>
          <c:y val="0"/>
        </c:manualLayout>
      </c:layout>
      <c:overlay val="0"/>
      <c:spPr>
        <a:solidFill>
          <a:sysClr val="window" lastClr="FFFFFF"/>
        </a:solidFill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6.1859882440915087E-2"/>
          <c:y val="0.11559121379112326"/>
          <c:w val="0.90652354607773911"/>
          <c:h val="0.8236327226277641"/>
        </c:manualLayout>
      </c:layout>
      <c:barChart>
        <c:barDir val="bar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'JUSTIFICATIVA DE USINA'!$J$31:$J$35</c:f>
              <c:numCache>
                <c:formatCode>General</c:formatCode>
                <c:ptCount val="5"/>
                <c:pt idx="0">
                  <c:v>20</c:v>
                </c:pt>
                <c:pt idx="1">
                  <c:v>19</c:v>
                </c:pt>
                <c:pt idx="2">
                  <c:v>23</c:v>
                </c:pt>
                <c:pt idx="3">
                  <c:v>18</c:v>
                </c:pt>
                <c:pt idx="4">
                  <c:v>17</c:v>
                </c:pt>
              </c:numCache>
            </c:numRef>
          </c:cat>
          <c:val>
            <c:numRef>
              <c:f>'JUSTIFICATIVA DE USINA'!$L$31:$L$35</c:f>
              <c:numCache>
                <c:formatCode>General</c:formatCode>
                <c:ptCount val="5"/>
                <c:pt idx="0">
                  <c:v>1968.7895999999998</c:v>
                </c:pt>
                <c:pt idx="1">
                  <c:v>1825.6175999999998</c:v>
                </c:pt>
                <c:pt idx="2">
                  <c:v>1759.0351999999998</c:v>
                </c:pt>
                <c:pt idx="3">
                  <c:v>1647.0807999999997</c:v>
                </c:pt>
                <c:pt idx="4">
                  <c:v>1285.3719999999998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85A-4D26-B5D9-2B1819D7DB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1263382496"/>
        <c:axId val="1263380536"/>
      </c:barChart>
      <c:catAx>
        <c:axId val="1263382496"/>
        <c:scaling>
          <c:orientation val="maxMin"/>
        </c:scaling>
        <c:delete val="0"/>
        <c:axPos val="l"/>
        <c:numFmt formatCode="0&quot;h&quot;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63380536"/>
        <c:crosses val="autoZero"/>
        <c:auto val="1"/>
        <c:lblAlgn val="ctr"/>
        <c:lblOffset val="100"/>
        <c:noMultiLvlLbl val="0"/>
      </c:catAx>
      <c:valAx>
        <c:axId val="1263380536"/>
        <c:scaling>
          <c:orientation val="minMax"/>
        </c:scaling>
        <c:delete val="0"/>
        <c:axPos val="t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63382496"/>
        <c:crosses val="autoZero"/>
        <c:crossBetween val="between"/>
      </c:valAx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bg1">
          <a:lumMod val="65000"/>
        </a:schemeClr>
      </a:solidFill>
      <a:round/>
    </a:ln>
    <a:effectLst/>
  </c:spPr>
  <c:txPr>
    <a:bodyPr/>
    <a:lstStyle/>
    <a:p>
      <a:pPr>
        <a:defRPr>
          <a:solidFill>
            <a:schemeClr val="tx1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 orientation="portrait"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5 MAIORES PERDAS POR HORARIO US-II</a:t>
            </a:r>
          </a:p>
        </c:rich>
      </c:tx>
      <c:layout>
        <c:manualLayout>
          <c:xMode val="edge"/>
          <c:yMode val="edge"/>
          <c:x val="0.26896182977127858"/>
          <c:y val="0"/>
        </c:manualLayout>
      </c:layout>
      <c:overlay val="0"/>
      <c:spPr>
        <a:solidFill>
          <a:sysClr val="window" lastClr="FFFFFF"/>
        </a:solidFill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6.1859882440915087E-2"/>
          <c:y val="0.11559121379112326"/>
          <c:w val="0.90652354607773911"/>
          <c:h val="0.8236327226277641"/>
        </c:manualLayout>
      </c:layout>
      <c:barChart>
        <c:barDir val="bar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'JUSTIFICATIVA DE USINA'!$H$31:$H$35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471-48E8-9D39-25FB3832DB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1263382496"/>
        <c:axId val="1263380536"/>
      </c:barChart>
      <c:catAx>
        <c:axId val="1263382496"/>
        <c:scaling>
          <c:orientation val="maxMin"/>
        </c:scaling>
        <c:delete val="0"/>
        <c:axPos val="l"/>
        <c:numFmt formatCode="0&quot;h&quot;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63380536"/>
        <c:crosses val="autoZero"/>
        <c:auto val="1"/>
        <c:lblAlgn val="ctr"/>
        <c:lblOffset val="100"/>
        <c:noMultiLvlLbl val="0"/>
      </c:catAx>
      <c:valAx>
        <c:axId val="1263380536"/>
        <c:scaling>
          <c:orientation val="minMax"/>
        </c:scaling>
        <c:delete val="0"/>
        <c:axPos val="t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63382496"/>
        <c:crosses val="autoZero"/>
        <c:crossBetween val="between"/>
      </c:valAx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bg1">
          <a:lumMod val="65000"/>
        </a:schemeClr>
      </a:solidFill>
      <a:round/>
    </a:ln>
    <a:effectLst/>
  </c:spPr>
  <c:txPr>
    <a:bodyPr/>
    <a:lstStyle/>
    <a:p>
      <a:pPr>
        <a:defRPr>
          <a:solidFill>
            <a:schemeClr val="tx1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 orientation="portrait"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5 MAIORES PERDAS POR HORARIO US-1</a:t>
            </a:r>
          </a:p>
        </c:rich>
      </c:tx>
      <c:layout>
        <c:manualLayout>
          <c:xMode val="edge"/>
          <c:yMode val="edge"/>
          <c:x val="0.26896182977127858"/>
          <c:y val="0"/>
        </c:manualLayout>
      </c:layout>
      <c:overlay val="0"/>
      <c:spPr>
        <a:solidFill>
          <a:sysClr val="window" lastClr="FFFFFF"/>
        </a:solidFill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6.1859882440915087E-2"/>
          <c:y val="0.11559121379112326"/>
          <c:w val="0.90652354607773911"/>
          <c:h val="0.8236327226277641"/>
        </c:manualLayout>
      </c:layout>
      <c:barChart>
        <c:barDir val="bar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'JUSTIFICATIVA DE USINA'!$D$31:$D$35</c:f>
              <c:numCache>
                <c:formatCode>General</c:formatCode>
                <c:ptCount val="5"/>
                <c:pt idx="0">
                  <c:v>5271.4407399477877</c:v>
                </c:pt>
                <c:pt idx="1">
                  <c:v>4536.6455391490817</c:v>
                </c:pt>
                <c:pt idx="2">
                  <c:v>4345.9861393713009</c:v>
                </c:pt>
                <c:pt idx="3">
                  <c:v>3926.8371485983016</c:v>
                </c:pt>
                <c:pt idx="4">
                  <c:v>3430.1960401394153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13F-474B-BD7D-9B2557C916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1263382496"/>
        <c:axId val="1263380536"/>
      </c:barChart>
      <c:catAx>
        <c:axId val="1263382496"/>
        <c:scaling>
          <c:orientation val="maxMin"/>
        </c:scaling>
        <c:delete val="0"/>
        <c:axPos val="l"/>
        <c:numFmt formatCode="0&quot;h&quot;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63380536"/>
        <c:crosses val="autoZero"/>
        <c:auto val="1"/>
        <c:lblAlgn val="ctr"/>
        <c:lblOffset val="100"/>
        <c:noMultiLvlLbl val="0"/>
      </c:catAx>
      <c:valAx>
        <c:axId val="1263380536"/>
        <c:scaling>
          <c:orientation val="minMax"/>
        </c:scaling>
        <c:delete val="0"/>
        <c:axPos val="t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63382496"/>
        <c:crosses val="autoZero"/>
        <c:crossBetween val="between"/>
      </c:valAx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bg1">
          <a:lumMod val="65000"/>
        </a:schemeClr>
      </a:solidFill>
      <a:round/>
    </a:ln>
    <a:effectLst/>
  </c:spPr>
  <c:txPr>
    <a:bodyPr/>
    <a:lstStyle/>
    <a:p>
      <a:pPr>
        <a:defRPr>
          <a:solidFill>
            <a:schemeClr val="tx1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 orientation="portrait"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5 MAIORES PERDAS POR HORARIO US-V</a:t>
            </a:r>
          </a:p>
        </c:rich>
      </c:tx>
      <c:layout>
        <c:manualLayout>
          <c:xMode val="edge"/>
          <c:yMode val="edge"/>
          <c:x val="0.26896182977127858"/>
          <c:y val="0"/>
        </c:manualLayout>
      </c:layout>
      <c:overlay val="0"/>
      <c:spPr>
        <a:solidFill>
          <a:sysClr val="window" lastClr="FFFFFF"/>
        </a:solidFill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6.1859882440915087E-2"/>
          <c:y val="0.11559121379112326"/>
          <c:w val="0.90652354607773911"/>
          <c:h val="0.8236327226277641"/>
        </c:manualLayout>
      </c:layout>
      <c:barChart>
        <c:barDir val="bar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'JUSTIFICATIVA DE USINA'!$R$31:$R$35</c:f>
              <c:numCache>
                <c:formatCode>General</c:formatCode>
                <c:ptCount val="5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11</c:v>
                </c:pt>
                <c:pt idx="4">
                  <c:v>12</c:v>
                </c:pt>
              </c:numCache>
            </c:numRef>
          </c:cat>
          <c:val>
            <c:numRef>
              <c:f>'JUSTIFICATIVA DE USINA'!$T$31:$T$35</c:f>
              <c:numCache>
                <c:formatCode>General</c:formatCode>
                <c:ptCount val="5"/>
                <c:pt idx="0">
                  <c:v>349.01283352668207</c:v>
                </c:pt>
                <c:pt idx="1">
                  <c:v>349.01283352668207</c:v>
                </c:pt>
                <c:pt idx="2">
                  <c:v>349.01283352668207</c:v>
                </c:pt>
                <c:pt idx="3">
                  <c:v>349.01283352668207</c:v>
                </c:pt>
                <c:pt idx="4">
                  <c:v>349.01283352668207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E82-4B81-A8DF-AB7FD3F6A2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1263382496"/>
        <c:axId val="1263380536"/>
      </c:barChart>
      <c:catAx>
        <c:axId val="1263382496"/>
        <c:scaling>
          <c:orientation val="maxMin"/>
        </c:scaling>
        <c:delete val="0"/>
        <c:axPos val="l"/>
        <c:numFmt formatCode="0&quot;h&quot;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63380536"/>
        <c:crosses val="autoZero"/>
        <c:auto val="1"/>
        <c:lblAlgn val="ctr"/>
        <c:lblOffset val="100"/>
        <c:noMultiLvlLbl val="0"/>
      </c:catAx>
      <c:valAx>
        <c:axId val="1263380536"/>
        <c:scaling>
          <c:orientation val="minMax"/>
        </c:scaling>
        <c:delete val="0"/>
        <c:axPos val="t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63382496"/>
        <c:crosses val="autoZero"/>
        <c:crossBetween val="between"/>
      </c:valAx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bg1">
          <a:lumMod val="65000"/>
        </a:schemeClr>
      </a:solidFill>
      <a:round/>
    </a:ln>
    <a:effectLst/>
  </c:spPr>
  <c:txPr>
    <a:bodyPr/>
    <a:lstStyle/>
    <a:p>
      <a:pPr>
        <a:defRPr>
          <a:solidFill>
            <a:schemeClr val="tx1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 orientation="portrait"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5 MAIORES PERDAS POR HORARIO US-IV</a:t>
            </a:r>
          </a:p>
        </c:rich>
      </c:tx>
      <c:layout>
        <c:manualLayout>
          <c:xMode val="edge"/>
          <c:yMode val="edge"/>
          <c:x val="0.26896182977127858"/>
          <c:y val="0"/>
        </c:manualLayout>
      </c:layout>
      <c:overlay val="0"/>
      <c:spPr>
        <a:solidFill>
          <a:sysClr val="window" lastClr="FFFFFF"/>
        </a:solidFill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6.1859882440915087E-2"/>
          <c:y val="0.11559121379112326"/>
          <c:w val="0.90652354607773911"/>
          <c:h val="0.8236327226277641"/>
        </c:manualLayout>
      </c:layout>
      <c:barChart>
        <c:barDir val="bar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'JUSTIFICATIVA DE USINA'!$N$31:$N$35</c:f>
              <c:numCache>
                <c:formatCode>General</c:formatCode>
                <c:ptCount val="5"/>
                <c:pt idx="0">
                  <c:v>7</c:v>
                </c:pt>
                <c:pt idx="1">
                  <c:v>8</c:v>
                </c:pt>
                <c:pt idx="2">
                  <c:v>9</c:v>
                </c:pt>
                <c:pt idx="3">
                  <c:v>10</c:v>
                </c:pt>
                <c:pt idx="4">
                  <c:v>19</c:v>
                </c:pt>
              </c:numCache>
            </c:numRef>
          </c:cat>
          <c:val>
            <c:numRef>
              <c:f>'JUSTIFICATIVA DE USINA'!$P$31:$P$35</c:f>
              <c:numCache>
                <c:formatCode>General</c:formatCode>
                <c:ptCount val="5"/>
                <c:pt idx="0">
                  <c:v>142.95833333333331</c:v>
                </c:pt>
                <c:pt idx="1">
                  <c:v>142.95833333333331</c:v>
                </c:pt>
                <c:pt idx="2">
                  <c:v>142.95833333333331</c:v>
                </c:pt>
                <c:pt idx="3">
                  <c:v>142.95833333333331</c:v>
                </c:pt>
                <c:pt idx="4">
                  <c:v>142.95833333333331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594-41E3-96B5-B7A5AB38C6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1263382496"/>
        <c:axId val="1263380536"/>
      </c:barChart>
      <c:catAx>
        <c:axId val="1263382496"/>
        <c:scaling>
          <c:orientation val="maxMin"/>
        </c:scaling>
        <c:delete val="0"/>
        <c:axPos val="l"/>
        <c:numFmt formatCode="0&quot;h&quot;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63380536"/>
        <c:crosses val="autoZero"/>
        <c:auto val="1"/>
        <c:lblAlgn val="ctr"/>
        <c:lblOffset val="100"/>
        <c:noMultiLvlLbl val="0"/>
      </c:catAx>
      <c:valAx>
        <c:axId val="1263380536"/>
        <c:scaling>
          <c:orientation val="minMax"/>
        </c:scaling>
        <c:delete val="0"/>
        <c:axPos val="t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63382496"/>
        <c:crosses val="autoZero"/>
        <c:crossBetween val="between"/>
      </c:valAx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bg1">
          <a:lumMod val="65000"/>
        </a:schemeClr>
      </a:solidFill>
      <a:round/>
    </a:ln>
    <a:effectLst/>
  </c:spPr>
  <c:txPr>
    <a:bodyPr/>
    <a:lstStyle/>
    <a:p>
      <a:pPr>
        <a:defRPr>
          <a:solidFill>
            <a:schemeClr val="tx1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 orientation="portrait"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5 MAIORES PERDAS POR HORARIO US-III</a:t>
            </a:r>
          </a:p>
        </c:rich>
      </c:tx>
      <c:layout>
        <c:manualLayout>
          <c:xMode val="edge"/>
          <c:yMode val="edge"/>
          <c:x val="0.26896182977127858"/>
          <c:y val="0"/>
        </c:manualLayout>
      </c:layout>
      <c:overlay val="0"/>
      <c:spPr>
        <a:solidFill>
          <a:sysClr val="window" lastClr="FFFFFF"/>
        </a:solidFill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6.1859882440915087E-2"/>
          <c:y val="0.11559121379112326"/>
          <c:w val="0.90652354607773911"/>
          <c:h val="0.8236327226277641"/>
        </c:manualLayout>
      </c:layout>
      <c:barChart>
        <c:barDir val="bar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'JUSTIFICATIVA DE USINA'!$J$31:$J$35</c:f>
              <c:numCache>
                <c:formatCode>General</c:formatCode>
                <c:ptCount val="5"/>
                <c:pt idx="0">
                  <c:v>20</c:v>
                </c:pt>
                <c:pt idx="1">
                  <c:v>19</c:v>
                </c:pt>
                <c:pt idx="2">
                  <c:v>23</c:v>
                </c:pt>
                <c:pt idx="3">
                  <c:v>18</c:v>
                </c:pt>
                <c:pt idx="4">
                  <c:v>17</c:v>
                </c:pt>
              </c:numCache>
            </c:numRef>
          </c:cat>
          <c:val>
            <c:numRef>
              <c:f>'JUSTIFICATIVA DE USINA'!$L$31:$L$35</c:f>
              <c:numCache>
                <c:formatCode>General</c:formatCode>
                <c:ptCount val="5"/>
                <c:pt idx="0">
                  <c:v>1968.7895999999998</c:v>
                </c:pt>
                <c:pt idx="1">
                  <c:v>1825.6175999999998</c:v>
                </c:pt>
                <c:pt idx="2">
                  <c:v>1759.0351999999998</c:v>
                </c:pt>
                <c:pt idx="3">
                  <c:v>1647.0807999999997</c:v>
                </c:pt>
                <c:pt idx="4">
                  <c:v>1285.3719999999998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A2-468B-8A8F-0844DD9425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1263382496"/>
        <c:axId val="1263380536"/>
      </c:barChart>
      <c:catAx>
        <c:axId val="1263382496"/>
        <c:scaling>
          <c:orientation val="maxMin"/>
        </c:scaling>
        <c:delete val="0"/>
        <c:axPos val="l"/>
        <c:numFmt formatCode="0&quot;h&quot;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63380536"/>
        <c:crosses val="autoZero"/>
        <c:auto val="1"/>
        <c:lblAlgn val="ctr"/>
        <c:lblOffset val="100"/>
        <c:noMultiLvlLbl val="0"/>
      </c:catAx>
      <c:valAx>
        <c:axId val="1263380536"/>
        <c:scaling>
          <c:orientation val="minMax"/>
        </c:scaling>
        <c:delete val="0"/>
        <c:axPos val="t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63382496"/>
        <c:crosses val="autoZero"/>
        <c:crossBetween val="between"/>
      </c:valAx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bg1">
          <a:lumMod val="65000"/>
        </a:schemeClr>
      </a:solidFill>
      <a:round/>
    </a:ln>
    <a:effectLst/>
  </c:spPr>
  <c:txPr>
    <a:bodyPr/>
    <a:lstStyle/>
    <a:p>
      <a:pPr>
        <a:defRPr>
          <a:solidFill>
            <a:schemeClr val="tx1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 orientation="portrait"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5 MAIORES PERDAS POR HORARIO US-II</a:t>
            </a:r>
          </a:p>
        </c:rich>
      </c:tx>
      <c:layout>
        <c:manualLayout>
          <c:xMode val="edge"/>
          <c:yMode val="edge"/>
          <c:x val="0.26896182977127858"/>
          <c:y val="0"/>
        </c:manualLayout>
      </c:layout>
      <c:overlay val="0"/>
      <c:spPr>
        <a:solidFill>
          <a:sysClr val="window" lastClr="FFFFFF"/>
        </a:solidFill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6.1859882440915087E-2"/>
          <c:y val="0.11559121379112326"/>
          <c:w val="0.90652354607773911"/>
          <c:h val="0.8236327226277641"/>
        </c:manualLayout>
      </c:layout>
      <c:barChart>
        <c:barDir val="bar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'JUSTIFICATIVA DE USINA'!$H$31:$H$35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EA9-4FB3-B72F-68E624C6A5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1263382496"/>
        <c:axId val="1263380536"/>
      </c:barChart>
      <c:catAx>
        <c:axId val="1263382496"/>
        <c:scaling>
          <c:orientation val="maxMin"/>
        </c:scaling>
        <c:delete val="0"/>
        <c:axPos val="l"/>
        <c:numFmt formatCode="0&quot;h&quot;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63380536"/>
        <c:crosses val="autoZero"/>
        <c:auto val="1"/>
        <c:lblAlgn val="ctr"/>
        <c:lblOffset val="100"/>
        <c:noMultiLvlLbl val="0"/>
      </c:catAx>
      <c:valAx>
        <c:axId val="1263380536"/>
        <c:scaling>
          <c:orientation val="minMax"/>
        </c:scaling>
        <c:delete val="0"/>
        <c:axPos val="t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63382496"/>
        <c:crosses val="autoZero"/>
        <c:crossBetween val="between"/>
      </c:valAx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bg1">
          <a:lumMod val="65000"/>
        </a:schemeClr>
      </a:solidFill>
      <a:round/>
    </a:ln>
    <a:effectLst/>
  </c:spPr>
  <c:txPr>
    <a:bodyPr/>
    <a:lstStyle/>
    <a:p>
      <a:pPr>
        <a:defRPr>
          <a:solidFill>
            <a:schemeClr val="tx1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 orientation="portrait"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5 MAIORES PERDAS POR HORARIO US-1</a:t>
            </a:r>
          </a:p>
        </c:rich>
      </c:tx>
      <c:layout>
        <c:manualLayout>
          <c:xMode val="edge"/>
          <c:yMode val="edge"/>
          <c:x val="0.26896182977127858"/>
          <c:y val="0"/>
        </c:manualLayout>
      </c:layout>
      <c:overlay val="0"/>
      <c:spPr>
        <a:solidFill>
          <a:sysClr val="window" lastClr="FFFFFF"/>
        </a:solidFill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6.1859882440915087E-2"/>
          <c:y val="0.11559121379112326"/>
          <c:w val="0.90652354607773911"/>
          <c:h val="0.8236327226277641"/>
        </c:manualLayout>
      </c:layout>
      <c:barChart>
        <c:barDir val="bar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'JUSTIFICATIVA DE USINA'!$D$31:$D$35</c:f>
              <c:numCache>
                <c:formatCode>General</c:formatCode>
                <c:ptCount val="5"/>
                <c:pt idx="0">
                  <c:v>5271.4407399477877</c:v>
                </c:pt>
                <c:pt idx="1">
                  <c:v>4536.6455391490817</c:v>
                </c:pt>
                <c:pt idx="2">
                  <c:v>4345.9861393713009</c:v>
                </c:pt>
                <c:pt idx="3">
                  <c:v>3926.8371485983016</c:v>
                </c:pt>
                <c:pt idx="4">
                  <c:v>3430.1960401394153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656-41B7-9206-D4308796A2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1263382496"/>
        <c:axId val="1263380536"/>
      </c:barChart>
      <c:catAx>
        <c:axId val="1263382496"/>
        <c:scaling>
          <c:orientation val="maxMin"/>
        </c:scaling>
        <c:delete val="0"/>
        <c:axPos val="l"/>
        <c:numFmt formatCode="0&quot;h&quot;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63380536"/>
        <c:crosses val="autoZero"/>
        <c:auto val="1"/>
        <c:lblAlgn val="ctr"/>
        <c:lblOffset val="100"/>
        <c:noMultiLvlLbl val="0"/>
      </c:catAx>
      <c:valAx>
        <c:axId val="1263380536"/>
        <c:scaling>
          <c:orientation val="minMax"/>
        </c:scaling>
        <c:delete val="0"/>
        <c:axPos val="t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63382496"/>
        <c:crosses val="autoZero"/>
        <c:crossBetween val="between"/>
      </c:valAx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bg1">
          <a:lumMod val="65000"/>
        </a:schemeClr>
      </a:solidFill>
      <a:round/>
    </a:ln>
    <a:effectLst/>
  </c:spPr>
  <c:txPr>
    <a:bodyPr/>
    <a:lstStyle/>
    <a:p>
      <a:pPr>
        <a:defRPr>
          <a:solidFill>
            <a:schemeClr val="tx1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 orientation="portrait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2.xml"/><Relationship Id="rId18" Type="http://schemas.openxmlformats.org/officeDocument/2006/relationships/chart" Target="../charts/chart17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1.xml"/><Relationship Id="rId17" Type="http://schemas.openxmlformats.org/officeDocument/2006/relationships/chart" Target="../charts/chart16.xml"/><Relationship Id="rId2" Type="http://schemas.openxmlformats.org/officeDocument/2006/relationships/chart" Target="../charts/chart2.xml"/><Relationship Id="rId16" Type="http://schemas.openxmlformats.org/officeDocument/2006/relationships/chart" Target="../charts/chart15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image" Target="../media/image5.png"/><Relationship Id="rId5" Type="http://schemas.openxmlformats.org/officeDocument/2006/relationships/chart" Target="../charts/chart5.xml"/><Relationship Id="rId15" Type="http://schemas.openxmlformats.org/officeDocument/2006/relationships/chart" Target="../charts/chart14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3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0.xml"/><Relationship Id="rId2" Type="http://schemas.openxmlformats.org/officeDocument/2006/relationships/chart" Target="../charts/chart19.xml"/><Relationship Id="rId1" Type="http://schemas.openxmlformats.org/officeDocument/2006/relationships/chart" Target="../charts/chart18.xml"/><Relationship Id="rId5" Type="http://schemas.openxmlformats.org/officeDocument/2006/relationships/chart" Target="../charts/chart22.xml"/><Relationship Id="rId4" Type="http://schemas.openxmlformats.org/officeDocument/2006/relationships/chart" Target="../charts/chart2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67</xdr:col>
      <xdr:colOff>717708</xdr:colOff>
      <xdr:row>1</xdr:row>
      <xdr:rowOff>213835</xdr:rowOff>
    </xdr:from>
    <xdr:to>
      <xdr:col>73</xdr:col>
      <xdr:colOff>62932</xdr:colOff>
      <xdr:row>2</xdr:row>
      <xdr:rowOff>900271</xdr:rowOff>
    </xdr:to>
    <xdr:sp macro="[0]!limpar_justif_usina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78392469-5FD8-42CB-92F8-AFBEAD207A44}"/>
            </a:ext>
          </a:extLst>
        </xdr:cNvPr>
        <xdr:cNvSpPr/>
      </xdr:nvSpPr>
      <xdr:spPr bwMode="auto">
        <a:xfrm>
          <a:off x="27030521" y="428148"/>
          <a:ext cx="3131411" cy="1126967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lang="pt-BR" sz="11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Limpar Justificativas</a:t>
          </a:r>
        </a:p>
      </xdr:txBody>
    </xdr:sp>
    <xdr:clientData/>
  </xdr:twoCellAnchor>
  <xdr:twoCellAnchor>
    <xdr:from>
      <xdr:col>56</xdr:col>
      <xdr:colOff>1271</xdr:colOff>
      <xdr:row>1</xdr:row>
      <xdr:rowOff>170182</xdr:rowOff>
    </xdr:from>
    <xdr:to>
      <xdr:col>64</xdr:col>
      <xdr:colOff>291354</xdr:colOff>
      <xdr:row>2</xdr:row>
      <xdr:rowOff>795619</xdr:rowOff>
    </xdr:to>
    <xdr:sp macro="[0]!publishSheetsWeb" textlink="">
      <xdr:nvSpPr>
        <xdr:cNvPr id="21" name="Retângulo: Cantos Arredondados 20">
          <a:extLst>
            <a:ext uri="{FF2B5EF4-FFF2-40B4-BE49-F238E27FC236}">
              <a16:creationId xmlns:a16="http://schemas.microsoft.com/office/drawing/2014/main" id="{A4D336CD-A11B-4038-9FA7-C828849E18B0}"/>
            </a:ext>
          </a:extLst>
        </xdr:cNvPr>
        <xdr:cNvSpPr/>
      </xdr:nvSpPr>
      <xdr:spPr bwMode="auto">
        <a:xfrm>
          <a:off x="22670771" y="383094"/>
          <a:ext cx="2127848" cy="1062466"/>
        </a:xfrm>
        <a:prstGeom prst="roundRect">
          <a:avLst/>
        </a:prstGeom>
        <a:solidFill>
          <a:srgbClr val="7030A0"/>
        </a:solidFill>
        <a:ln>
          <a:headEnd type="none" w="med" len="med"/>
          <a:tailEnd type="none" w="med" len="med"/>
        </a:ln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lang="pt-BR" sz="24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PUBLICAR</a:t>
          </a:r>
        </a:p>
      </xdr:txBody>
    </xdr:sp>
    <xdr:clientData/>
  </xdr:twoCellAnchor>
  <xdr:twoCellAnchor>
    <xdr:from>
      <xdr:col>1</xdr:col>
      <xdr:colOff>130749</xdr:colOff>
      <xdr:row>3</xdr:row>
      <xdr:rowOff>165734</xdr:rowOff>
    </xdr:from>
    <xdr:to>
      <xdr:col>50</xdr:col>
      <xdr:colOff>517070</xdr:colOff>
      <xdr:row>19</xdr:row>
      <xdr:rowOff>40820</xdr:rowOff>
    </xdr:to>
    <xdr:graphicFrame macro="">
      <xdr:nvGraphicFramePr>
        <xdr:cNvPr id="66" name="Gráfico 65">
          <a:extLst>
            <a:ext uri="{FF2B5EF4-FFF2-40B4-BE49-F238E27FC236}">
              <a16:creationId xmlns:a16="http://schemas.microsoft.com/office/drawing/2014/main" id="{6E7E1CFB-C7C1-440A-9950-0EB8D1D7231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58032</xdr:colOff>
      <xdr:row>22</xdr:row>
      <xdr:rowOff>12065</xdr:rowOff>
    </xdr:from>
    <xdr:to>
      <xdr:col>11</xdr:col>
      <xdr:colOff>1</xdr:colOff>
      <xdr:row>31</xdr:row>
      <xdr:rowOff>78636</xdr:rowOff>
    </xdr:to>
    <xdr:graphicFrame macro="">
      <xdr:nvGraphicFramePr>
        <xdr:cNvPr id="67" name="Gráfico 66">
          <a:extLst>
            <a:ext uri="{FF2B5EF4-FFF2-40B4-BE49-F238E27FC236}">
              <a16:creationId xmlns:a16="http://schemas.microsoft.com/office/drawing/2014/main" id="{6868859C-5624-4E50-92FC-AA33FC01EA1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65620</xdr:colOff>
      <xdr:row>22</xdr:row>
      <xdr:rowOff>26843</xdr:rowOff>
    </xdr:from>
    <xdr:to>
      <xdr:col>20</xdr:col>
      <xdr:colOff>571500</xdr:colOff>
      <xdr:row>31</xdr:row>
      <xdr:rowOff>77116</xdr:rowOff>
    </xdr:to>
    <xdr:graphicFrame macro="">
      <xdr:nvGraphicFramePr>
        <xdr:cNvPr id="70" name="Gráfico 69">
          <a:extLst>
            <a:ext uri="{FF2B5EF4-FFF2-40B4-BE49-F238E27FC236}">
              <a16:creationId xmlns:a16="http://schemas.microsoft.com/office/drawing/2014/main" id="{CB87F1D3-3148-440F-8886-417F9D61A5B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21</xdr:col>
      <xdr:colOff>166949</xdr:colOff>
      <xdr:row>22</xdr:row>
      <xdr:rowOff>1633</xdr:rowOff>
    </xdr:from>
    <xdr:to>
      <xdr:col>30</xdr:col>
      <xdr:colOff>571500</xdr:colOff>
      <xdr:row>31</xdr:row>
      <xdr:rowOff>40786</xdr:rowOff>
    </xdr:to>
    <xdr:graphicFrame macro="">
      <xdr:nvGraphicFramePr>
        <xdr:cNvPr id="71" name="Gráfico 70">
          <a:extLst>
            <a:ext uri="{FF2B5EF4-FFF2-40B4-BE49-F238E27FC236}">
              <a16:creationId xmlns:a16="http://schemas.microsoft.com/office/drawing/2014/main" id="{8005FBE8-3919-412D-A59B-4DB8708A76E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31</xdr:col>
      <xdr:colOff>140658</xdr:colOff>
      <xdr:row>21</xdr:row>
      <xdr:rowOff>193847</xdr:rowOff>
    </xdr:from>
    <xdr:to>
      <xdr:col>41</xdr:col>
      <xdr:colOff>1</xdr:colOff>
      <xdr:row>31</xdr:row>
      <xdr:rowOff>83498</xdr:rowOff>
    </xdr:to>
    <xdr:graphicFrame macro="">
      <xdr:nvGraphicFramePr>
        <xdr:cNvPr id="72" name="Gráfico 71">
          <a:extLst>
            <a:ext uri="{FF2B5EF4-FFF2-40B4-BE49-F238E27FC236}">
              <a16:creationId xmlns:a16="http://schemas.microsoft.com/office/drawing/2014/main" id="{DD6D503E-BB5B-45F7-BC38-B371F158D12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131862</xdr:colOff>
      <xdr:row>72</xdr:row>
      <xdr:rowOff>94030</xdr:rowOff>
    </xdr:from>
    <xdr:to>
      <xdr:col>51</xdr:col>
      <xdr:colOff>23132</xdr:colOff>
      <xdr:row>90</xdr:row>
      <xdr:rowOff>11031</xdr:rowOff>
    </xdr:to>
    <xdr:graphicFrame macro="">
      <xdr:nvGraphicFramePr>
        <xdr:cNvPr id="45" name="Gráfico 44">
          <a:extLst>
            <a:ext uri="{FF2B5EF4-FFF2-40B4-BE49-F238E27FC236}">
              <a16:creationId xmlns:a16="http://schemas.microsoft.com/office/drawing/2014/main" id="{FB1468CB-FE92-4647-9D48-EF5C3A3D5C7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131862</xdr:colOff>
      <xdr:row>91</xdr:row>
      <xdr:rowOff>22259</xdr:rowOff>
    </xdr:from>
    <xdr:to>
      <xdr:col>33</xdr:col>
      <xdr:colOff>311058</xdr:colOff>
      <xdr:row>107</xdr:row>
      <xdr:rowOff>1905</xdr:rowOff>
    </xdr:to>
    <xdr:graphicFrame macro="">
      <xdr:nvGraphicFramePr>
        <xdr:cNvPr id="86" name="Gráfico 85">
          <a:extLst>
            <a:ext uri="{FF2B5EF4-FFF2-40B4-BE49-F238E27FC236}">
              <a16:creationId xmlns:a16="http://schemas.microsoft.com/office/drawing/2014/main" id="{72989402-4D83-4764-9589-C6AC765A088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</xdr:col>
      <xdr:colOff>131862</xdr:colOff>
      <xdr:row>108</xdr:row>
      <xdr:rowOff>20191</xdr:rowOff>
    </xdr:from>
    <xdr:to>
      <xdr:col>33</xdr:col>
      <xdr:colOff>329781</xdr:colOff>
      <xdr:row>123</xdr:row>
      <xdr:rowOff>211999</xdr:rowOff>
    </xdr:to>
    <xdr:graphicFrame macro="">
      <xdr:nvGraphicFramePr>
        <xdr:cNvPr id="93" name="Gráfico 92">
          <a:extLst>
            <a:ext uri="{FF2B5EF4-FFF2-40B4-BE49-F238E27FC236}">
              <a16:creationId xmlns:a16="http://schemas.microsoft.com/office/drawing/2014/main" id="{83C6C95E-B95C-4012-A3D3-378698624C5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131862</xdr:colOff>
      <xdr:row>125</xdr:row>
      <xdr:rowOff>16488</xdr:rowOff>
    </xdr:from>
    <xdr:to>
      <xdr:col>33</xdr:col>
      <xdr:colOff>329781</xdr:colOff>
      <xdr:row>141</xdr:row>
      <xdr:rowOff>3809</xdr:rowOff>
    </xdr:to>
    <xdr:graphicFrame macro="">
      <xdr:nvGraphicFramePr>
        <xdr:cNvPr id="96" name="Gráfico 95">
          <a:extLst>
            <a:ext uri="{FF2B5EF4-FFF2-40B4-BE49-F238E27FC236}">
              <a16:creationId xmlns:a16="http://schemas.microsoft.com/office/drawing/2014/main" id="{226A0105-E889-44DF-80BF-E9BAA8C12F7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131862</xdr:colOff>
      <xdr:row>142</xdr:row>
      <xdr:rowOff>20407</xdr:rowOff>
    </xdr:from>
    <xdr:to>
      <xdr:col>33</xdr:col>
      <xdr:colOff>311058</xdr:colOff>
      <xdr:row>158</xdr:row>
      <xdr:rowOff>0</xdr:rowOff>
    </xdr:to>
    <xdr:graphicFrame macro="">
      <xdr:nvGraphicFramePr>
        <xdr:cNvPr id="97" name="Gráfico 96">
          <a:extLst>
            <a:ext uri="{FF2B5EF4-FFF2-40B4-BE49-F238E27FC236}">
              <a16:creationId xmlns:a16="http://schemas.microsoft.com/office/drawing/2014/main" id="{A4259C5A-57BA-49AF-9F3A-F2EA6E92DF7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</xdr:col>
      <xdr:colOff>77081</xdr:colOff>
      <xdr:row>19</xdr:row>
      <xdr:rowOff>184075</xdr:rowOff>
    </xdr:from>
    <xdr:to>
      <xdr:col>11</xdr:col>
      <xdr:colOff>20231</xdr:colOff>
      <xdr:row>21</xdr:row>
      <xdr:rowOff>144660</xdr:rowOff>
    </xdr:to>
    <xdr:sp macro="" textlink="">
      <xdr:nvSpPr>
        <xdr:cNvPr id="47" name="Retângulo: Cantos Superiores Arredondados 46">
          <a:extLst>
            <a:ext uri="{FF2B5EF4-FFF2-40B4-BE49-F238E27FC236}">
              <a16:creationId xmlns:a16="http://schemas.microsoft.com/office/drawing/2014/main" id="{A87660C6-2A33-43EE-B60D-A71FCB8B366C}"/>
            </a:ext>
          </a:extLst>
        </xdr:cNvPr>
        <xdr:cNvSpPr>
          <a:spLocks/>
        </xdr:cNvSpPr>
      </xdr:nvSpPr>
      <xdr:spPr bwMode="auto">
        <a:xfrm>
          <a:off x="505706" y="5152950"/>
          <a:ext cx="5229525" cy="373335"/>
        </a:xfrm>
        <a:prstGeom prst="round2SameRect">
          <a:avLst/>
        </a:prstGeom>
        <a:solidFill>
          <a:schemeClr val="tx1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txBody>
        <a:bodyPr vertOverflow="clip" wrap="square" lIns="18288" tIns="0" rIns="0" bIns="0" rtlCol="0" anchor="ctr" upright="1"/>
        <a:lstStyle/>
        <a:p>
          <a:pPr algn="ctr"/>
          <a:r>
            <a:rPr lang="pt-BR" sz="18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USINA</a:t>
          </a:r>
          <a:r>
            <a:rPr lang="pt-BR" sz="18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I</a:t>
          </a:r>
          <a:endParaRPr lang="pt-BR" sz="11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12</xdr:col>
      <xdr:colOff>10369</xdr:colOff>
      <xdr:row>19</xdr:row>
      <xdr:rowOff>190457</xdr:rowOff>
    </xdr:from>
    <xdr:to>
      <xdr:col>20</xdr:col>
      <xdr:colOff>508047</xdr:colOff>
      <xdr:row>21</xdr:row>
      <xdr:rowOff>170092</xdr:rowOff>
    </xdr:to>
    <xdr:sp macro="" textlink="">
      <xdr:nvSpPr>
        <xdr:cNvPr id="48" name="Retângulo: Cantos Superiores Arredondados 47">
          <a:extLst>
            <a:ext uri="{FF2B5EF4-FFF2-40B4-BE49-F238E27FC236}">
              <a16:creationId xmlns:a16="http://schemas.microsoft.com/office/drawing/2014/main" id="{30A71ACA-899C-488B-8009-0290A32009C5}"/>
            </a:ext>
          </a:extLst>
        </xdr:cNvPr>
        <xdr:cNvSpPr>
          <a:spLocks/>
        </xdr:cNvSpPr>
      </xdr:nvSpPr>
      <xdr:spPr bwMode="auto">
        <a:xfrm>
          <a:off x="5898551" y="5714957"/>
          <a:ext cx="5208223" cy="395271"/>
        </a:xfrm>
        <a:prstGeom prst="round2SameRect">
          <a:avLst/>
        </a:prstGeom>
        <a:solidFill>
          <a:schemeClr val="tx1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txBody>
        <a:bodyPr vertOverflow="clip" wrap="square" lIns="18288" tIns="0" rIns="0" bIns="0" rtlCol="0" anchor="ctr" upright="1"/>
        <a:lstStyle/>
        <a:p>
          <a:pPr algn="ctr"/>
          <a:r>
            <a:rPr lang="pt-BR" sz="18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USINA</a:t>
          </a:r>
          <a:r>
            <a:rPr lang="pt-BR" sz="18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II</a:t>
          </a:r>
          <a:endParaRPr lang="pt-BR" sz="11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21</xdr:col>
      <xdr:colOff>149300</xdr:colOff>
      <xdr:row>19</xdr:row>
      <xdr:rowOff>156852</xdr:rowOff>
    </xdr:from>
    <xdr:to>
      <xdr:col>30</xdr:col>
      <xdr:colOff>571500</xdr:colOff>
      <xdr:row>21</xdr:row>
      <xdr:rowOff>117906</xdr:rowOff>
    </xdr:to>
    <xdr:sp macro="" textlink="">
      <xdr:nvSpPr>
        <xdr:cNvPr id="53" name="Retângulo: Cantos Superiores Arredondados 52">
          <a:extLst>
            <a:ext uri="{FF2B5EF4-FFF2-40B4-BE49-F238E27FC236}">
              <a16:creationId xmlns:a16="http://schemas.microsoft.com/office/drawing/2014/main" id="{FE1D6E31-A790-4F59-BAF3-1F798A6C4B02}"/>
            </a:ext>
          </a:extLst>
        </xdr:cNvPr>
        <xdr:cNvSpPr>
          <a:spLocks/>
        </xdr:cNvSpPr>
      </xdr:nvSpPr>
      <xdr:spPr bwMode="auto">
        <a:xfrm>
          <a:off x="11279943" y="5722173"/>
          <a:ext cx="5279950" cy="369269"/>
        </a:xfrm>
        <a:prstGeom prst="round2SameRect">
          <a:avLst/>
        </a:prstGeom>
        <a:solidFill>
          <a:schemeClr val="tx1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txBody>
        <a:bodyPr vertOverflow="clip" wrap="square" lIns="18288" tIns="0" rIns="0" bIns="0" rtlCol="0" anchor="ctr" upright="1"/>
        <a:lstStyle/>
        <a:p>
          <a:pPr algn="ctr"/>
          <a:r>
            <a:rPr lang="pt-BR" sz="18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USINA</a:t>
          </a:r>
          <a:r>
            <a:rPr lang="pt-BR" sz="18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III</a:t>
          </a:r>
          <a:endParaRPr lang="pt-BR" sz="11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31</xdr:col>
      <xdr:colOff>140438</xdr:colOff>
      <xdr:row>19</xdr:row>
      <xdr:rowOff>191167</xdr:rowOff>
    </xdr:from>
    <xdr:to>
      <xdr:col>40</xdr:col>
      <xdr:colOff>584888</xdr:colOff>
      <xdr:row>21</xdr:row>
      <xdr:rowOff>151246</xdr:rowOff>
    </xdr:to>
    <xdr:sp macro="" textlink="">
      <xdr:nvSpPr>
        <xdr:cNvPr id="54" name="Retângulo: Cantos Superiores Arredondados 53">
          <a:extLst>
            <a:ext uri="{FF2B5EF4-FFF2-40B4-BE49-F238E27FC236}">
              <a16:creationId xmlns:a16="http://schemas.microsoft.com/office/drawing/2014/main" id="{01489EE5-9454-4232-81FC-0479ABDE7316}"/>
            </a:ext>
          </a:extLst>
        </xdr:cNvPr>
        <xdr:cNvSpPr>
          <a:spLocks/>
        </xdr:cNvSpPr>
      </xdr:nvSpPr>
      <xdr:spPr bwMode="auto">
        <a:xfrm>
          <a:off x="16713938" y="6913096"/>
          <a:ext cx="5179736" cy="368293"/>
        </a:xfrm>
        <a:prstGeom prst="round2SameRect">
          <a:avLst/>
        </a:prstGeom>
        <a:solidFill>
          <a:schemeClr val="tx1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txBody>
        <a:bodyPr vertOverflow="clip" wrap="square" lIns="18288" tIns="0" rIns="0" bIns="0" rtlCol="0" anchor="ctr" upright="1"/>
        <a:lstStyle/>
        <a:p>
          <a:pPr algn="ctr"/>
          <a:r>
            <a:rPr lang="pt-BR" sz="18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USINA</a:t>
          </a:r>
          <a:r>
            <a:rPr lang="pt-BR" sz="18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IV</a:t>
          </a:r>
        </a:p>
      </xdr:txBody>
    </xdr:sp>
    <xdr:clientData/>
  </xdr:twoCellAnchor>
  <xdr:twoCellAnchor>
    <xdr:from>
      <xdr:col>75</xdr:col>
      <xdr:colOff>160655</xdr:colOff>
      <xdr:row>1</xdr:row>
      <xdr:rowOff>91440</xdr:rowOff>
    </xdr:from>
    <xdr:to>
      <xdr:col>80</xdr:col>
      <xdr:colOff>232365</xdr:colOff>
      <xdr:row>7</xdr:row>
      <xdr:rowOff>79057</xdr:rowOff>
    </xdr:to>
    <xdr:sp macro="[0]!publishSheetsWebFechamento" textlink="">
      <xdr:nvSpPr>
        <xdr:cNvPr id="33" name="Retângulo: Cantos Arredondados 32">
          <a:extLst>
            <a:ext uri="{FF2B5EF4-FFF2-40B4-BE49-F238E27FC236}">
              <a16:creationId xmlns:a16="http://schemas.microsoft.com/office/drawing/2014/main" id="{B788C617-8C10-4C0D-87CB-B0ED0C35EE2C}"/>
            </a:ext>
          </a:extLst>
        </xdr:cNvPr>
        <xdr:cNvSpPr/>
      </xdr:nvSpPr>
      <xdr:spPr bwMode="auto">
        <a:xfrm>
          <a:off x="31714382" y="299258"/>
          <a:ext cx="3102392" cy="2394844"/>
        </a:xfrm>
        <a:prstGeom prst="roundRect">
          <a:avLst/>
        </a:prstGeom>
        <a:solidFill>
          <a:srgbClr val="FFC000"/>
        </a:solidFill>
        <a:ln>
          <a:headEnd type="none" w="med" len="med"/>
          <a:tailEnd type="none" w="med" len="med"/>
        </a:ln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lang="pt-BR" sz="2400" b="0" cap="none" spc="0">
              <a:ln w="0"/>
              <a:solidFill>
                <a:schemeClr val="bg2">
                  <a:lumMod val="2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FECHAMENTO</a:t>
          </a:r>
        </a:p>
      </xdr:txBody>
    </xdr:sp>
    <xdr:clientData/>
  </xdr:twoCellAnchor>
  <xdr:twoCellAnchor editAs="oneCell">
    <xdr:from>
      <xdr:col>35</xdr:col>
      <xdr:colOff>120558</xdr:colOff>
      <xdr:row>2</xdr:row>
      <xdr:rowOff>199466</xdr:rowOff>
    </xdr:from>
    <xdr:to>
      <xdr:col>41</xdr:col>
      <xdr:colOff>132261</xdr:colOff>
      <xdr:row>2</xdr:row>
      <xdr:rowOff>1886147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CAE6A798-CB54-F69F-FA99-F68488405B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503808" y="839002"/>
          <a:ext cx="3529966" cy="1679061"/>
        </a:xfrm>
        <a:prstGeom prst="rect">
          <a:avLst/>
        </a:prstGeom>
      </xdr:spPr>
    </xdr:pic>
    <xdr:clientData/>
  </xdr:twoCellAnchor>
  <xdr:twoCellAnchor>
    <xdr:from>
      <xdr:col>42</xdr:col>
      <xdr:colOff>776</xdr:colOff>
      <xdr:row>21</xdr:row>
      <xdr:rowOff>180240</xdr:rowOff>
    </xdr:from>
    <xdr:to>
      <xdr:col>50</xdr:col>
      <xdr:colOff>503465</xdr:colOff>
      <xdr:row>31</xdr:row>
      <xdr:rowOff>71796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9CBF4FB1-0508-7507-9CFA-E9314AB4381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42</xdr:col>
      <xdr:colOff>556</xdr:colOff>
      <xdr:row>19</xdr:row>
      <xdr:rowOff>177560</xdr:rowOff>
    </xdr:from>
    <xdr:to>
      <xdr:col>50</xdr:col>
      <xdr:colOff>507055</xdr:colOff>
      <xdr:row>21</xdr:row>
      <xdr:rowOff>137639</xdr:rowOff>
    </xdr:to>
    <xdr:sp macro="" textlink="">
      <xdr:nvSpPr>
        <xdr:cNvPr id="9" name="Retângulo: Cantos Superiores Arredondados 8">
          <a:extLst>
            <a:ext uri="{FF2B5EF4-FFF2-40B4-BE49-F238E27FC236}">
              <a16:creationId xmlns:a16="http://schemas.microsoft.com/office/drawing/2014/main" id="{D5622974-121A-F993-CDBF-D1C48B4AD102}"/>
            </a:ext>
          </a:extLst>
        </xdr:cNvPr>
        <xdr:cNvSpPr>
          <a:spLocks/>
        </xdr:cNvSpPr>
      </xdr:nvSpPr>
      <xdr:spPr bwMode="auto">
        <a:xfrm>
          <a:off x="22071342" y="6899489"/>
          <a:ext cx="5187356" cy="368293"/>
        </a:xfrm>
        <a:prstGeom prst="round2SameRect">
          <a:avLst/>
        </a:prstGeom>
        <a:solidFill>
          <a:schemeClr val="tx1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txBody>
        <a:bodyPr vertOverflow="clip" wrap="square" lIns="18288" tIns="0" rIns="0" bIns="0" rtlCol="0" anchor="ctr" upright="1"/>
        <a:lstStyle/>
        <a:p>
          <a:pPr algn="ctr"/>
          <a:r>
            <a:rPr lang="pt-BR" sz="18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USINA</a:t>
          </a:r>
          <a:r>
            <a:rPr lang="pt-BR" sz="18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V</a:t>
          </a:r>
        </a:p>
      </xdr:txBody>
    </xdr:sp>
    <xdr:clientData/>
  </xdr:twoCellAnchor>
  <xdr:twoCellAnchor>
    <xdr:from>
      <xdr:col>1</xdr:col>
      <xdr:colOff>135672</xdr:colOff>
      <xdr:row>158</xdr:row>
      <xdr:rowOff>203016</xdr:rowOff>
    </xdr:from>
    <xdr:to>
      <xdr:col>33</xdr:col>
      <xdr:colOff>283446</xdr:colOff>
      <xdr:row>175</xdr:row>
      <xdr:rowOff>0</xdr:rowOff>
    </xdr:to>
    <xdr:graphicFrame macro="">
      <xdr:nvGraphicFramePr>
        <xdr:cNvPr id="12" name="Gráfico 1">
          <a:extLst>
            <a:ext uri="{FF2B5EF4-FFF2-40B4-BE49-F238E27FC236}">
              <a16:creationId xmlns:a16="http://schemas.microsoft.com/office/drawing/2014/main" id="{09990DEA-2D25-9E7E-C960-75A6972342B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41</xdr:col>
      <xdr:colOff>179070</xdr:colOff>
      <xdr:row>58</xdr:row>
      <xdr:rowOff>0</xdr:rowOff>
    </xdr:from>
    <xdr:to>
      <xdr:col>51</xdr:col>
      <xdr:colOff>27635</xdr:colOff>
      <xdr:row>70</xdr:row>
      <xdr:rowOff>38100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765AF8F8-4C41-4C56-88AF-DD4F72049C8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31</xdr:col>
      <xdr:colOff>74868</xdr:colOff>
      <xdr:row>58</xdr:row>
      <xdr:rowOff>0</xdr:rowOff>
    </xdr:from>
    <xdr:to>
      <xdr:col>41</xdr:col>
      <xdr:colOff>38370</xdr:colOff>
      <xdr:row>70</xdr:row>
      <xdr:rowOff>22390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786CDEA-9C3B-4265-9337-5AF0B050CA0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21</xdr:col>
      <xdr:colOff>102802</xdr:colOff>
      <xdr:row>58</xdr:row>
      <xdr:rowOff>0</xdr:rowOff>
    </xdr:from>
    <xdr:to>
      <xdr:col>30</xdr:col>
      <xdr:colOff>526623</xdr:colOff>
      <xdr:row>70</xdr:row>
      <xdr:rowOff>21306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9FA66DF0-0B93-4AF3-AFEB-C776D03DF6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11</xdr:col>
      <xdr:colOff>154036</xdr:colOff>
      <xdr:row>58</xdr:row>
      <xdr:rowOff>0</xdr:rowOff>
    </xdr:from>
    <xdr:to>
      <xdr:col>20</xdr:col>
      <xdr:colOff>554557</xdr:colOff>
      <xdr:row>70</xdr:row>
      <xdr:rowOff>22390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A129A5B7-8E10-45A3-AC43-7BA385E1312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2</xdr:col>
      <xdr:colOff>1</xdr:colOff>
      <xdr:row>58</xdr:row>
      <xdr:rowOff>0</xdr:rowOff>
    </xdr:from>
    <xdr:to>
      <xdr:col>11</xdr:col>
      <xdr:colOff>19051</xdr:colOff>
      <xdr:row>70</xdr:row>
      <xdr:rowOff>38100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E2C9BD7A-3389-436C-9EAC-9B1407FB106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29</xdr:row>
      <xdr:rowOff>0</xdr:rowOff>
    </xdr:from>
    <xdr:to>
      <xdr:col>20</xdr:col>
      <xdr:colOff>170210</xdr:colOff>
      <xdr:row>36</xdr:row>
      <xdr:rowOff>513992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id="{049A0512-B4DC-4555-9A02-22C15AEAE80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85345</xdr:colOff>
      <xdr:row>29</xdr:row>
      <xdr:rowOff>0</xdr:rowOff>
    </xdr:from>
    <xdr:to>
      <xdr:col>16</xdr:col>
      <xdr:colOff>238410</xdr:colOff>
      <xdr:row>36</xdr:row>
      <xdr:rowOff>502562</xdr:rowOff>
    </xdr:to>
    <xdr:graphicFrame macro="">
      <xdr:nvGraphicFramePr>
        <xdr:cNvPr id="15" name="Gráfico 14">
          <a:extLst>
            <a:ext uri="{FF2B5EF4-FFF2-40B4-BE49-F238E27FC236}">
              <a16:creationId xmlns:a16="http://schemas.microsoft.com/office/drawing/2014/main" id="{5C5CEE19-3D3C-4BCD-A89E-2339AA3089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53510</xdr:colOff>
      <xdr:row>29</xdr:row>
      <xdr:rowOff>0</xdr:rowOff>
    </xdr:from>
    <xdr:to>
      <xdr:col>13</xdr:col>
      <xdr:colOff>26575</xdr:colOff>
      <xdr:row>36</xdr:row>
      <xdr:rowOff>500657</xdr:rowOff>
    </xdr:to>
    <xdr:graphicFrame macro="">
      <xdr:nvGraphicFramePr>
        <xdr:cNvPr id="16" name="Gráfico 15">
          <a:extLst>
            <a:ext uri="{FF2B5EF4-FFF2-40B4-BE49-F238E27FC236}">
              <a16:creationId xmlns:a16="http://schemas.microsoft.com/office/drawing/2014/main" id="{EFACB33C-4EF1-4523-9B48-013F653F30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19770</xdr:colOff>
      <xdr:row>29</xdr:row>
      <xdr:rowOff>0</xdr:rowOff>
    </xdr:from>
    <xdr:to>
      <xdr:col>8</xdr:col>
      <xdr:colOff>173810</xdr:colOff>
      <xdr:row>36</xdr:row>
      <xdr:rowOff>502562</xdr:rowOff>
    </xdr:to>
    <xdr:graphicFrame macro="">
      <xdr:nvGraphicFramePr>
        <xdr:cNvPr id="17" name="Gráfico 16">
          <a:extLst>
            <a:ext uri="{FF2B5EF4-FFF2-40B4-BE49-F238E27FC236}">
              <a16:creationId xmlns:a16="http://schemas.microsoft.com/office/drawing/2014/main" id="{6CB3BBB0-D092-4917-B1BA-BD0AD2EECF3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29</xdr:row>
      <xdr:rowOff>0</xdr:rowOff>
    </xdr:from>
    <xdr:to>
      <xdr:col>4</xdr:col>
      <xdr:colOff>151500</xdr:colOff>
      <xdr:row>36</xdr:row>
      <xdr:rowOff>513992</xdr:rowOff>
    </xdr:to>
    <xdr:graphicFrame macro="">
      <xdr:nvGraphicFramePr>
        <xdr:cNvPr id="18" name="Gráfico 17">
          <a:extLst>
            <a:ext uri="{FF2B5EF4-FFF2-40B4-BE49-F238E27FC236}">
              <a16:creationId xmlns:a16="http://schemas.microsoft.com/office/drawing/2014/main" id="{10CE85A7-DB95-4FF1-852C-345E6DF7EB8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4" xr16:uid="{00000000-0016-0000-0500-000000000000}" autoFormatId="16" applyNumberFormats="0" applyBorderFormats="0" applyFontFormats="0" applyPatternFormats="0" applyAlignmentFormats="0" applyWidthHeightFormats="0">
  <queryTableRefresh nextId="15">
    <queryTableFields count="12">
      <queryTableField id="1" name="Hora" tableColumnId="1"/>
      <queryTableField id="2" name="US1_D+1" tableColumnId="2"/>
      <queryTableField id="3" name="US1_REAL" tableColumnId="3"/>
      <queryTableField id="4" name="US2_D+1" tableColumnId="4"/>
      <queryTableField id="5" name="US2_REAL" tableColumnId="5"/>
      <queryTableField id="6" name="US3_D+1" tableColumnId="6"/>
      <queryTableField id="7" name="US3_REAL" tableColumnId="7"/>
      <queryTableField id="8" name="US4_D+1" tableColumnId="8"/>
      <queryTableField id="9" name="US4_REAL" tableColumnId="9"/>
      <queryTableField id="12" name="US5_D+13" tableColumnId="10"/>
      <queryTableField id="13" name="US5_REAL3" tableColumnId="11"/>
      <queryTableField id="14" name="DataDia" tableColumnId="12"/>
    </queryTableFields>
  </queryTableRefresh>
</queryTable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13</v>
    <v>3</v>
  </rv>
</rvData>
</file>

<file path=xl/richData/rdrichvaluestructure.xml><?xml version="1.0" encoding="utf-8"?>
<rvStructures xmlns="http://schemas.microsoft.com/office/spreadsheetml/2017/richdata" count="1">
  <s t="_error">
    <k n="errorType" t="i"/>
    <k n="subType" t="i"/>
  </s>
</rvStructure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b_Proj_Msg" displayName="tb_Proj_Msg" ref="BS1:BX3" totalsRowShown="0" headerRowDxfId="1">
  <tableColumns count="6">
    <tableColumn id="1" xr3:uid="{00000000-0010-0000-0000-000001000000}" name="Data"/>
    <tableColumn id="2" xr3:uid="{00000000-0010-0000-0000-000002000000}" name="Proj_US1">
      <calculatedColumnFormula>'JUSTIFICATIVA DE USINA'!$AB$3</calculatedColumnFormula>
    </tableColumn>
    <tableColumn id="3" xr3:uid="{00000000-0010-0000-0000-000003000000}" name="Proj_US2"/>
    <tableColumn id="4" xr3:uid="{00000000-0010-0000-0000-000004000000}" name="Proj_US3"/>
    <tableColumn id="5" xr3:uid="{00000000-0010-0000-0000-000005000000}" name="Proj_US4"/>
    <tableColumn id="6" xr3:uid="{00000000-0010-0000-0000-000006000000}" name="Proj_US_RC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B_HH_Usina" displayName="TB_HH_Usina" ref="AY1:BJ25" tableType="queryTable" totalsRowShown="0">
  <tableColumns count="12">
    <tableColumn id="1" xr3:uid="{00000000-0010-0000-0100-000001000000}" uniqueName="1" name="Hora" queryTableFieldId="1"/>
    <tableColumn id="2" xr3:uid="{00000000-0010-0000-0100-000002000000}" uniqueName="2" name="US1_D+1" queryTableFieldId="2"/>
    <tableColumn id="3" xr3:uid="{00000000-0010-0000-0100-000003000000}" uniqueName="3" name="US1_REAL" queryTableFieldId="3"/>
    <tableColumn id="4" xr3:uid="{00000000-0010-0000-0100-000004000000}" uniqueName="4" name="US2_D+1" queryTableFieldId="4"/>
    <tableColumn id="5" xr3:uid="{00000000-0010-0000-0100-000005000000}" uniqueName="5" name="US2_REAL" queryTableFieldId="5"/>
    <tableColumn id="6" xr3:uid="{00000000-0010-0000-0100-000006000000}" uniqueName="6" name="US3_D+1" queryTableFieldId="6"/>
    <tableColumn id="7" xr3:uid="{00000000-0010-0000-0100-000007000000}" uniqueName="7" name="US3_REAL" queryTableFieldId="7"/>
    <tableColumn id="8" xr3:uid="{00000000-0010-0000-0100-000008000000}" uniqueName="8" name="US4_D+1" queryTableFieldId="8"/>
    <tableColumn id="9" xr3:uid="{00000000-0010-0000-0100-000009000000}" uniqueName="9" name="US4_REAL" queryTableFieldId="9"/>
    <tableColumn id="10" xr3:uid="{E75AC4D9-C882-4F3B-91FB-178D0379B965}" uniqueName="10" name="US5_D+13" queryTableFieldId="12"/>
    <tableColumn id="11" xr3:uid="{4BC28286-EA47-4CB2-8182-EB9008640991}" uniqueName="11" name="US5_REAL3" queryTableFieldId="13"/>
    <tableColumn id="12" xr3:uid="{D83F961B-3FE9-4B5A-B8BA-44845E457083}" uniqueName="12" name="DataDia" queryTableFieldId="14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cco">
  <a:themeElements>
    <a:clrScheme name="Tema Vale">
      <a:dk1>
        <a:srgbClr val="007E7A"/>
      </a:dk1>
      <a:lt1>
        <a:sysClr val="window" lastClr="FFFFFF"/>
      </a:lt1>
      <a:dk2>
        <a:srgbClr val="1F497D"/>
      </a:dk2>
      <a:lt2>
        <a:srgbClr val="EEECE1"/>
      </a:lt2>
      <a:accent1>
        <a:srgbClr val="747678"/>
      </a:accent1>
      <a:accent2>
        <a:srgbClr val="EDB111"/>
      </a:accent2>
      <a:accent3>
        <a:srgbClr val="E37222"/>
      </a:accent3>
      <a:accent4>
        <a:srgbClr val="BB133E"/>
      </a:accent4>
      <a:accent5>
        <a:srgbClr val="3D7EDB"/>
      </a:accent5>
      <a:accent6>
        <a:srgbClr val="00B0CA"/>
      </a:accent6>
      <a:hlink>
        <a:srgbClr val="69BE28"/>
      </a:hlink>
      <a:folHlink>
        <a:srgbClr val="DFDF0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B1:EY177"/>
  <sheetViews>
    <sheetView showGridLines="0" tabSelected="1" topLeftCell="U1" zoomScale="50" zoomScaleNormal="50" workbookViewId="0">
      <selection activeCell="BT11" sqref="BT11"/>
    </sheetView>
  </sheetViews>
  <sheetFormatPr defaultColWidth="8.88671875" defaultRowHeight="16.5" customHeight="1"/>
  <cols>
    <col min="1" max="1" width="3.6640625" style="17" customWidth="1"/>
    <col min="2" max="2" width="2.6640625" style="17" customWidth="1"/>
    <col min="3" max="11" width="8.6640625" style="17" customWidth="1"/>
    <col min="12" max="12" width="2.6640625" style="17" customWidth="1"/>
    <col min="13" max="21" width="8.6640625" style="17" customWidth="1"/>
    <col min="22" max="22" width="2.6640625" style="17" customWidth="1"/>
    <col min="23" max="31" width="8.6640625" style="17" customWidth="1"/>
    <col min="32" max="32" width="2.6640625" style="17" customWidth="1"/>
    <col min="33" max="33" width="6.6640625" style="17" customWidth="1"/>
    <col min="34" max="41" width="8.6640625" style="17" customWidth="1"/>
    <col min="42" max="42" width="2.6640625" style="17" customWidth="1"/>
    <col min="43" max="51" width="8.6640625" style="17" customWidth="1"/>
    <col min="52" max="52" width="2.6640625" style="17" customWidth="1"/>
    <col min="53" max="53" width="3.6640625" style="17" customWidth="1"/>
    <col min="54" max="62" width="2.109375" style="17" customWidth="1"/>
    <col min="63" max="64" width="7.33203125" style="17" customWidth="1"/>
    <col min="65" max="67" width="8.88671875" style="17"/>
    <col min="68" max="68" width="12.109375" style="17" bestFit="1" customWidth="1"/>
    <col min="69" max="16384" width="8.88671875" style="17"/>
  </cols>
  <sheetData>
    <row r="1" spans="2:155" ht="16.5" customHeight="1">
      <c r="F1" s="38"/>
      <c r="G1" s="38"/>
      <c r="H1" s="38"/>
      <c r="I1" s="38"/>
      <c r="J1" s="38"/>
      <c r="K1" s="38"/>
      <c r="L1" s="38"/>
      <c r="M1" s="38"/>
      <c r="N1" s="38"/>
      <c r="O1" s="38"/>
      <c r="P1" s="39"/>
      <c r="Q1" s="39"/>
      <c r="R1" s="39"/>
      <c r="S1" s="39"/>
      <c r="CK1" s="17" t="s">
        <v>20</v>
      </c>
    </row>
    <row r="2" spans="2:155" ht="34.950000000000003" customHeight="1" thickBot="1"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 t="s">
        <v>21</v>
      </c>
      <c r="AE2" s="37"/>
      <c r="AF2" s="37"/>
      <c r="AG2" s="37"/>
      <c r="AH2" s="37"/>
      <c r="AI2" s="37"/>
      <c r="AJ2" s="37"/>
      <c r="AK2" s="37"/>
      <c r="AL2" s="124">
        <v>45518</v>
      </c>
      <c r="AM2" s="124"/>
      <c r="AN2" s="124"/>
      <c r="AO2" s="124"/>
      <c r="AP2" s="124"/>
      <c r="AQ2" s="124"/>
      <c r="AR2" s="124"/>
      <c r="AS2" s="124"/>
      <c r="AT2" s="124"/>
      <c r="AU2" s="124"/>
      <c r="AV2" s="124"/>
      <c r="AW2" s="124"/>
      <c r="AX2" s="124"/>
      <c r="AY2" s="124"/>
      <c r="AZ2" s="124"/>
    </row>
    <row r="3" spans="2:155" ht="170.4" customHeight="1">
      <c r="B3" s="40"/>
      <c r="C3" s="130" t="s">
        <v>22</v>
      </c>
      <c r="D3" s="130"/>
      <c r="E3" s="130"/>
      <c r="F3" s="130"/>
      <c r="G3" s="130"/>
      <c r="H3" s="130"/>
      <c r="I3" s="130"/>
      <c r="J3" s="130"/>
      <c r="K3" s="130"/>
      <c r="L3" s="130"/>
      <c r="M3" s="130"/>
      <c r="N3" s="130"/>
      <c r="O3" s="130"/>
      <c r="P3" s="130"/>
      <c r="Q3" s="130"/>
      <c r="R3" s="130"/>
      <c r="S3" s="130"/>
      <c r="T3" s="130"/>
      <c r="U3" s="130"/>
      <c r="V3" s="130"/>
      <c r="W3" s="130"/>
      <c r="X3" s="130"/>
      <c r="Y3" s="130"/>
      <c r="Z3" s="130"/>
      <c r="AA3" s="130"/>
      <c r="AB3" s="130"/>
      <c r="AC3" s="130"/>
      <c r="AD3" s="130"/>
      <c r="AE3" s="130"/>
      <c r="AF3" s="130"/>
      <c r="AG3" s="130"/>
      <c r="AH3" s="130"/>
      <c r="AI3" s="103"/>
      <c r="AJ3" s="103"/>
      <c r="AK3" s="131" t="s">
        <v>23</v>
      </c>
      <c r="AL3" s="131"/>
      <c r="AM3" s="131"/>
      <c r="AN3" s="132" t="str">
        <f ca="1">IF(TODAY()&gt;'ACOMPANHAMENTO USINA'!AL2,"23:59:59",NOW())</f>
        <v>23:59:59</v>
      </c>
      <c r="AO3" s="132"/>
      <c r="AP3" s="132"/>
      <c r="AQ3" s="132"/>
      <c r="AR3" s="132"/>
      <c r="AS3" s="132"/>
      <c r="AT3" s="132"/>
      <c r="AU3" s="132"/>
      <c r="AV3" s="132"/>
      <c r="AW3" s="132"/>
      <c r="AX3" s="132"/>
      <c r="AY3" s="132"/>
      <c r="AZ3" s="133"/>
      <c r="BQ3" s="17" t="s">
        <v>24</v>
      </c>
      <c r="DK3" s="40"/>
      <c r="DL3" s="41"/>
      <c r="DM3" s="41"/>
      <c r="DN3" s="41"/>
      <c r="DO3" s="41"/>
      <c r="DP3" s="42" t="s">
        <v>25</v>
      </c>
      <c r="DQ3" s="42"/>
      <c r="DR3" s="42"/>
      <c r="DS3" s="42"/>
      <c r="DT3" s="42"/>
      <c r="DU3" s="42"/>
      <c r="DV3" s="42"/>
      <c r="DW3" s="42"/>
      <c r="DX3" s="42"/>
      <c r="DY3" s="42"/>
      <c r="DZ3" s="42"/>
      <c r="EA3" s="42"/>
      <c r="EB3" s="42"/>
      <c r="EC3" s="42"/>
      <c r="ED3" s="42"/>
      <c r="EE3" s="42"/>
      <c r="EF3" s="42"/>
      <c r="EG3" s="42"/>
      <c r="EH3" s="42"/>
      <c r="EI3" s="42"/>
      <c r="EJ3" s="42"/>
      <c r="EK3" s="42"/>
      <c r="EL3" s="42"/>
      <c r="EM3" s="42"/>
      <c r="EN3" s="42"/>
      <c r="EO3" s="42"/>
      <c r="EP3" s="42"/>
      <c r="EQ3" s="127" t="s">
        <v>23</v>
      </c>
      <c r="ER3" s="127"/>
      <c r="ES3" s="127"/>
      <c r="ET3" s="128">
        <f ca="1">NOW()</f>
        <v>45520.656252199071</v>
      </c>
      <c r="EU3" s="128"/>
      <c r="EV3" s="128"/>
      <c r="EW3" s="125">
        <f ca="1">NOW()</f>
        <v>45520.656252199071</v>
      </c>
      <c r="EX3" s="125"/>
      <c r="EY3" s="126"/>
    </row>
    <row r="4" spans="2:155" ht="19.95" customHeight="1">
      <c r="B4" s="25"/>
      <c r="C4" s="26"/>
      <c r="D4" s="26"/>
      <c r="E4" s="26"/>
      <c r="F4" s="26"/>
      <c r="G4" s="26"/>
      <c r="H4" s="26"/>
      <c r="I4" s="26"/>
      <c r="J4" s="26"/>
      <c r="K4" s="26"/>
      <c r="L4" s="26"/>
      <c r="M4" s="26"/>
      <c r="N4" s="26"/>
      <c r="O4" s="26"/>
      <c r="P4" s="135" t="s">
        <v>26</v>
      </c>
      <c r="Q4" s="135"/>
      <c r="R4" s="135"/>
      <c r="S4" s="134">
        <f ca="1">NOW()</f>
        <v>45520.656252199071</v>
      </c>
      <c r="T4" s="134"/>
      <c r="AZ4" s="24"/>
    </row>
    <row r="5" spans="2:155" ht="19.95" customHeight="1">
      <c r="B5" s="23"/>
      <c r="AZ5" s="24"/>
    </row>
    <row r="6" spans="2:155" ht="19.95" customHeight="1">
      <c r="B6" s="27"/>
      <c r="C6" s="28"/>
      <c r="D6" s="28"/>
      <c r="AZ6" s="24"/>
    </row>
    <row r="7" spans="2:155" ht="19.95" customHeight="1">
      <c r="B7" s="23"/>
      <c r="AZ7" s="24"/>
    </row>
    <row r="8" spans="2:155" ht="19.95" customHeight="1">
      <c r="B8" s="23"/>
      <c r="AZ8" s="24"/>
    </row>
    <row r="9" spans="2:155" ht="19.95" customHeight="1">
      <c r="B9" s="23"/>
      <c r="AZ9" s="24"/>
    </row>
    <row r="10" spans="2:155" ht="19.95" customHeight="1">
      <c r="B10" s="23"/>
      <c r="AZ10" s="24"/>
    </row>
    <row r="11" spans="2:155" ht="19.95" customHeight="1">
      <c r="B11" s="23"/>
      <c r="AZ11" s="24"/>
    </row>
    <row r="12" spans="2:155" ht="19.95" customHeight="1">
      <c r="B12" s="23"/>
      <c r="AZ12" s="24"/>
    </row>
    <row r="13" spans="2:155" ht="19.95" customHeight="1">
      <c r="B13" s="23"/>
      <c r="AZ13" s="24"/>
    </row>
    <row r="14" spans="2:155" ht="19.95" customHeight="1">
      <c r="B14" s="23"/>
      <c r="AZ14" s="24"/>
    </row>
    <row r="15" spans="2:155" ht="19.95" customHeight="1">
      <c r="B15" s="23"/>
      <c r="AZ15" s="24"/>
    </row>
    <row r="16" spans="2:155" ht="19.95" customHeight="1">
      <c r="B16" s="23"/>
      <c r="AZ16" s="24"/>
    </row>
    <row r="17" spans="2:74" ht="19.95" customHeight="1">
      <c r="B17" s="23"/>
      <c r="AZ17" s="24"/>
      <c r="BL17" s="129" t="s">
        <v>27</v>
      </c>
      <c r="BM17" s="129"/>
      <c r="BN17" s="129"/>
      <c r="BO17" s="129"/>
      <c r="BP17" s="129"/>
      <c r="BQ17" s="129"/>
      <c r="BR17" s="129"/>
      <c r="BS17" s="129"/>
      <c r="BT17" s="129"/>
      <c r="BU17" s="129"/>
      <c r="BV17" s="129"/>
    </row>
    <row r="18" spans="2:74" ht="19.95" customHeight="1">
      <c r="B18" s="23"/>
      <c r="AZ18" s="24"/>
      <c r="BL18" s="129"/>
      <c r="BM18" s="129"/>
      <c r="BN18" s="129"/>
      <c r="BO18" s="129"/>
      <c r="BP18" s="129"/>
      <c r="BQ18" s="129"/>
      <c r="BR18" s="129"/>
      <c r="BS18" s="129"/>
      <c r="BT18" s="129"/>
      <c r="BU18" s="129"/>
      <c r="BV18" s="129"/>
    </row>
    <row r="19" spans="2:74" s="30" customFormat="1" ht="19.95" customHeight="1">
      <c r="B19" s="29"/>
      <c r="K19" s="31"/>
      <c r="AZ19" s="32"/>
      <c r="BL19" s="129"/>
      <c r="BM19" s="129"/>
      <c r="BN19" s="129"/>
      <c r="BO19" s="129"/>
      <c r="BP19" s="129"/>
      <c r="BQ19" s="129"/>
      <c r="BR19" s="129"/>
      <c r="BS19" s="129"/>
      <c r="BT19" s="129"/>
      <c r="BU19" s="129"/>
      <c r="BV19" s="129"/>
    </row>
    <row r="20" spans="2:74" ht="16.5" customHeight="1">
      <c r="B20" s="23"/>
      <c r="AZ20" s="24"/>
      <c r="BL20" s="129"/>
      <c r="BM20" s="129"/>
      <c r="BN20" s="129"/>
      <c r="BO20" s="129"/>
      <c r="BP20" s="129"/>
      <c r="BQ20" s="129"/>
      <c r="BR20" s="129"/>
      <c r="BS20" s="129"/>
      <c r="BT20" s="129"/>
      <c r="BU20" s="129"/>
      <c r="BV20" s="129"/>
    </row>
    <row r="21" spans="2:74" ht="16.5" customHeight="1">
      <c r="B21" s="23"/>
      <c r="AZ21" s="24"/>
      <c r="BL21" s="129"/>
      <c r="BM21" s="129"/>
      <c r="BN21" s="129"/>
      <c r="BO21" s="129"/>
      <c r="BP21" s="129"/>
      <c r="BQ21" s="129"/>
      <c r="BR21" s="129"/>
      <c r="BS21" s="129"/>
      <c r="BT21" s="129"/>
      <c r="BU21" s="129"/>
      <c r="BV21" s="129"/>
    </row>
    <row r="22" spans="2:74" ht="16.5" customHeight="1">
      <c r="B22" s="23"/>
      <c r="AZ22" s="24"/>
      <c r="BL22" s="129"/>
      <c r="BM22" s="129"/>
      <c r="BN22" s="129"/>
      <c r="BO22" s="129"/>
      <c r="BP22" s="129"/>
      <c r="BQ22" s="129"/>
      <c r="BR22" s="129"/>
      <c r="BS22" s="129"/>
      <c r="BT22" s="129"/>
      <c r="BU22" s="129"/>
      <c r="BV22" s="129"/>
    </row>
    <row r="23" spans="2:74" ht="16.5" customHeight="1">
      <c r="B23" s="23"/>
      <c r="AZ23" s="24"/>
      <c r="BL23" s="129"/>
      <c r="BM23" s="129"/>
      <c r="BN23" s="129"/>
      <c r="BO23" s="129"/>
      <c r="BP23" s="129"/>
      <c r="BQ23" s="129"/>
      <c r="BR23" s="129"/>
      <c r="BS23" s="129"/>
      <c r="BT23" s="129"/>
      <c r="BU23" s="129"/>
      <c r="BV23" s="129"/>
    </row>
    <row r="24" spans="2:74" ht="16.5" customHeight="1">
      <c r="B24" s="23"/>
      <c r="AZ24" s="24"/>
      <c r="BL24" s="129"/>
      <c r="BM24" s="129"/>
      <c r="BN24" s="129"/>
      <c r="BO24" s="129"/>
      <c r="BP24" s="129"/>
      <c r="BQ24" s="129"/>
      <c r="BR24" s="129"/>
      <c r="BS24" s="129"/>
      <c r="BT24" s="129"/>
      <c r="BU24" s="129"/>
      <c r="BV24" s="129"/>
    </row>
    <row r="25" spans="2:74" ht="16.5" customHeight="1">
      <c r="B25" s="23"/>
      <c r="AZ25" s="24"/>
      <c r="BL25" s="129"/>
      <c r="BM25" s="129"/>
      <c r="BN25" s="129"/>
      <c r="BO25" s="129"/>
      <c r="BP25" s="129"/>
      <c r="BQ25" s="129"/>
      <c r="BR25" s="129"/>
      <c r="BS25" s="129"/>
      <c r="BT25" s="129"/>
      <c r="BU25" s="129"/>
      <c r="BV25" s="129"/>
    </row>
    <row r="26" spans="2:74" ht="16.5" customHeight="1">
      <c r="B26" s="23"/>
      <c r="AZ26" s="24"/>
      <c r="BL26" s="129"/>
      <c r="BM26" s="129"/>
      <c r="BN26" s="129"/>
      <c r="BO26" s="129"/>
      <c r="BP26" s="129"/>
      <c r="BQ26" s="129"/>
      <c r="BR26" s="129"/>
      <c r="BS26" s="129"/>
      <c r="BT26" s="129"/>
      <c r="BU26" s="129"/>
      <c r="BV26" s="129"/>
    </row>
    <row r="27" spans="2:74" ht="16.5" customHeight="1">
      <c r="B27" s="23"/>
      <c r="AZ27" s="24"/>
      <c r="BL27" s="129"/>
      <c r="BM27" s="129"/>
      <c r="BN27" s="129"/>
      <c r="BO27" s="129"/>
      <c r="BP27" s="129"/>
      <c r="BQ27" s="129"/>
      <c r="BR27" s="129"/>
      <c r="BS27" s="129"/>
      <c r="BT27" s="129"/>
      <c r="BU27" s="129"/>
      <c r="BV27" s="129"/>
    </row>
    <row r="28" spans="2:74" ht="16.5" customHeight="1">
      <c r="B28" s="23"/>
      <c r="AZ28" s="24"/>
      <c r="BL28" s="129"/>
      <c r="BM28" s="129"/>
      <c r="BN28" s="129"/>
      <c r="BO28" s="129"/>
      <c r="BP28" s="129"/>
      <c r="BQ28" s="129"/>
      <c r="BR28" s="129"/>
      <c r="BS28" s="129"/>
      <c r="BT28" s="129"/>
      <c r="BU28" s="129"/>
      <c r="BV28" s="129"/>
    </row>
    <row r="29" spans="2:74" ht="17.399999999999999" customHeight="1">
      <c r="B29" s="23"/>
      <c r="AZ29" s="24"/>
      <c r="BL29" s="129"/>
      <c r="BM29" s="129"/>
      <c r="BN29" s="129"/>
      <c r="BO29" s="129"/>
      <c r="BP29" s="129"/>
      <c r="BQ29" s="129"/>
      <c r="BR29" s="129"/>
      <c r="BS29" s="129"/>
      <c r="BT29" s="129"/>
      <c r="BU29" s="129"/>
      <c r="BV29" s="129"/>
    </row>
    <row r="30" spans="2:74" ht="13.8">
      <c r="B30" s="23"/>
      <c r="AZ30" s="24"/>
    </row>
    <row r="31" spans="2:74" ht="13.8">
      <c r="B31" s="23"/>
      <c r="AZ31" s="24"/>
    </row>
    <row r="32" spans="2:74" ht="13.8">
      <c r="B32" s="23"/>
      <c r="AZ32" s="24"/>
    </row>
    <row r="33" spans="2:52" s="39" customFormat="1" ht="38.4" customHeight="1">
      <c r="B33" s="43"/>
      <c r="C33" s="44" t="s">
        <v>7</v>
      </c>
      <c r="D33" s="117" t="s">
        <v>8</v>
      </c>
      <c r="E33" s="118"/>
      <c r="F33" s="119" t="s">
        <v>9</v>
      </c>
      <c r="G33" s="119"/>
      <c r="H33" s="119"/>
      <c r="I33" s="119"/>
      <c r="J33" s="119"/>
      <c r="K33" s="119"/>
      <c r="M33" s="44" t="s">
        <v>7</v>
      </c>
      <c r="N33" s="117" t="s">
        <v>8</v>
      </c>
      <c r="O33" s="118"/>
      <c r="P33" s="119" t="s">
        <v>9</v>
      </c>
      <c r="Q33" s="119"/>
      <c r="R33" s="119"/>
      <c r="S33" s="119"/>
      <c r="T33" s="119"/>
      <c r="U33" s="119"/>
      <c r="W33" s="44" t="s">
        <v>7</v>
      </c>
      <c r="X33" s="117" t="s">
        <v>8</v>
      </c>
      <c r="Y33" s="118"/>
      <c r="Z33" s="119" t="s">
        <v>9</v>
      </c>
      <c r="AA33" s="119"/>
      <c r="AB33" s="119"/>
      <c r="AC33" s="119"/>
      <c r="AD33" s="119"/>
      <c r="AE33" s="119"/>
      <c r="AG33" s="44" t="s">
        <v>7</v>
      </c>
      <c r="AH33" s="117" t="s">
        <v>8</v>
      </c>
      <c r="AI33" s="118"/>
      <c r="AJ33" s="119" t="s">
        <v>9</v>
      </c>
      <c r="AK33" s="119"/>
      <c r="AL33" s="119"/>
      <c r="AM33" s="119"/>
      <c r="AN33" s="119"/>
      <c r="AO33" s="119"/>
      <c r="AP33" s="17"/>
      <c r="AQ33" s="44" t="s">
        <v>7</v>
      </c>
      <c r="AR33" s="117" t="s">
        <v>8</v>
      </c>
      <c r="AS33" s="118"/>
      <c r="AT33" s="119" t="s">
        <v>9</v>
      </c>
      <c r="AU33" s="119"/>
      <c r="AV33" s="119"/>
      <c r="AW33" s="119"/>
      <c r="AX33" s="119"/>
      <c r="AY33" s="119"/>
      <c r="AZ33" s="45"/>
    </row>
    <row r="34" spans="2:52" s="46" customFormat="1" ht="75" customHeight="1">
      <c r="B34" s="47"/>
      <c r="C34" s="48">
        <v>1</v>
      </c>
      <c r="D34" s="122">
        <f ca="1">'JUSTIFICATIVA DE USINA'!C3</f>
        <v>3016.6527109462158</v>
      </c>
      <c r="E34" s="122"/>
      <c r="F34" s="123" t="str">
        <f>IF('JUSTIFICATIVA DE USINA'!D3="","",'JUSTIFICATIVA DE USINA'!D3)</f>
        <v/>
      </c>
      <c r="G34" s="123"/>
      <c r="H34" s="123"/>
      <c r="I34" s="123"/>
      <c r="J34" s="123"/>
      <c r="K34" s="123"/>
      <c r="M34" s="48">
        <v>1</v>
      </c>
      <c r="N34" s="122">
        <f ca="1">'JUSTIFICATIVA DE USINA'!G3</f>
        <v>0</v>
      </c>
      <c r="O34" s="122"/>
      <c r="P34" s="123" t="str">
        <f>IF('JUSTIFICATIVA DE USINA'!H3="","",'JUSTIFICATIVA DE USINA'!H3)</f>
        <v/>
      </c>
      <c r="Q34" s="123"/>
      <c r="R34" s="123"/>
      <c r="S34" s="123"/>
      <c r="T34" s="123"/>
      <c r="U34" s="123"/>
      <c r="W34" s="48">
        <v>1</v>
      </c>
      <c r="X34" s="122">
        <f ca="1">'JUSTIFICATIVA DE USINA'!K3</f>
        <v>1190</v>
      </c>
      <c r="Y34" s="122"/>
      <c r="Z34" s="123" t="str">
        <f>IF('JUSTIFICATIVA DE USINA'!L3="","",'JUSTIFICATIVA DE USINA'!L3)</f>
        <v/>
      </c>
      <c r="AA34" s="123"/>
      <c r="AB34" s="123"/>
      <c r="AC34" s="123"/>
      <c r="AD34" s="123"/>
      <c r="AE34" s="123"/>
      <c r="AG34" s="48">
        <v>1</v>
      </c>
      <c r="AH34" s="122">
        <f ca="1">'JUSTIFICATIVA DE USINA'!O3</f>
        <v>189.04166666666669</v>
      </c>
      <c r="AI34" s="122"/>
      <c r="AJ34" s="123" t="str">
        <f>IF('JUSTIFICATIVA DE USINA'!P3="","",'JUSTIFICATIVA DE USINA'!P3)</f>
        <v/>
      </c>
      <c r="AK34" s="123"/>
      <c r="AL34" s="123"/>
      <c r="AM34" s="123"/>
      <c r="AN34" s="123"/>
      <c r="AO34" s="123"/>
      <c r="AP34" s="104"/>
      <c r="AQ34" s="48">
        <v>1</v>
      </c>
      <c r="AR34" s="122">
        <f ca="1">'JUSTIFICATIVA DE USINA'!S3</f>
        <v>141.83299937606051</v>
      </c>
      <c r="AS34" s="122"/>
      <c r="AT34" s="123" t="str">
        <f>IF('JUSTIFICATIVA DE USINA'!T3="","",'JUSTIFICATIVA DE USINA'!T3)</f>
        <v/>
      </c>
      <c r="AU34" s="123"/>
      <c r="AV34" s="123"/>
      <c r="AW34" s="123"/>
      <c r="AX34" s="123"/>
      <c r="AY34" s="123"/>
      <c r="AZ34" s="49"/>
    </row>
    <row r="35" spans="2:52" s="46" customFormat="1" ht="75" customHeight="1">
      <c r="B35" s="47"/>
      <c r="C35" s="48">
        <v>2</v>
      </c>
      <c r="D35" s="122">
        <f ca="1">'JUSTIFICATIVA DE USINA'!C4</f>
        <v>1817.9273237609577</v>
      </c>
      <c r="E35" s="122"/>
      <c r="F35" s="123" t="str">
        <f>IF('JUSTIFICATIVA DE USINA'!D4="","",'JUSTIFICATIVA DE USINA'!D4)</f>
        <v/>
      </c>
      <c r="G35" s="123"/>
      <c r="H35" s="123"/>
      <c r="I35" s="123"/>
      <c r="J35" s="123"/>
      <c r="K35" s="123"/>
      <c r="M35" s="48">
        <v>2</v>
      </c>
      <c r="N35" s="122">
        <f ca="1">'JUSTIFICATIVA DE USINA'!G4</f>
        <v>0</v>
      </c>
      <c r="O35" s="122"/>
      <c r="P35" s="123" t="str">
        <f>IF('JUSTIFICATIVA DE USINA'!H4="","",'JUSTIFICATIVA DE USINA'!H4)</f>
        <v/>
      </c>
      <c r="Q35" s="123"/>
      <c r="R35" s="123"/>
      <c r="S35" s="123"/>
      <c r="T35" s="123"/>
      <c r="U35" s="123"/>
      <c r="W35" s="48">
        <v>2</v>
      </c>
      <c r="X35" s="122">
        <f ca="1">'JUSTIFICATIVA DE USINA'!K4</f>
        <v>-101.83159999999998</v>
      </c>
      <c r="Y35" s="122"/>
      <c r="Z35" s="123" t="str">
        <f>IF('JUSTIFICATIVA DE USINA'!L4="","",'JUSTIFICATIVA DE USINA'!L4)</f>
        <v/>
      </c>
      <c r="AA35" s="123"/>
      <c r="AB35" s="123"/>
      <c r="AC35" s="123"/>
      <c r="AD35" s="123"/>
      <c r="AE35" s="123"/>
      <c r="AG35" s="48">
        <v>2</v>
      </c>
      <c r="AH35" s="122">
        <f ca="1">'JUSTIFICATIVA DE USINA'!O4</f>
        <v>94.041666666666686</v>
      </c>
      <c r="AI35" s="122"/>
      <c r="AJ35" s="123" t="str">
        <f>IF('JUSTIFICATIVA DE USINA'!P4="","",'JUSTIFICATIVA DE USINA'!P4)</f>
        <v/>
      </c>
      <c r="AK35" s="123"/>
      <c r="AL35" s="123"/>
      <c r="AM35" s="123"/>
      <c r="AN35" s="123"/>
      <c r="AO35" s="123"/>
      <c r="AP35" s="104"/>
      <c r="AQ35" s="48">
        <v>2</v>
      </c>
      <c r="AR35" s="122">
        <f ca="1">'JUSTIFICATIVA DE USINA'!S4</f>
        <v>-196.82829229157019</v>
      </c>
      <c r="AS35" s="122"/>
      <c r="AT35" s="123" t="str">
        <f>IF('JUSTIFICATIVA DE USINA'!T4="","",'JUSTIFICATIVA DE USINA'!T4)</f>
        <v/>
      </c>
      <c r="AU35" s="123"/>
      <c r="AV35" s="123"/>
      <c r="AW35" s="123"/>
      <c r="AX35" s="123"/>
      <c r="AY35" s="123"/>
      <c r="AZ35" s="49"/>
    </row>
    <row r="36" spans="2:52" s="46" customFormat="1" ht="75" customHeight="1">
      <c r="B36" s="47"/>
      <c r="C36" s="48">
        <v>3</v>
      </c>
      <c r="D36" s="122">
        <f ca="1">'JUSTIFICATIVA DE USINA'!C5</f>
        <v>-683.75824481893324</v>
      </c>
      <c r="E36" s="122"/>
      <c r="F36" s="123" t="str">
        <f>IF('JUSTIFICATIVA DE USINA'!D5="","",'JUSTIFICATIVA DE USINA'!D5)</f>
        <v/>
      </c>
      <c r="G36" s="123"/>
      <c r="H36" s="123"/>
      <c r="I36" s="123"/>
      <c r="J36" s="123"/>
      <c r="K36" s="123"/>
      <c r="M36" s="48">
        <v>3</v>
      </c>
      <c r="N36" s="122">
        <f ca="1">'JUSTIFICATIVA DE USINA'!G5</f>
        <v>0</v>
      </c>
      <c r="O36" s="122"/>
      <c r="P36" s="123" t="str">
        <f>IF('JUSTIFICATIVA DE USINA'!H5="","",'JUSTIFICATIVA DE USINA'!H5)</f>
        <v/>
      </c>
      <c r="Q36" s="123"/>
      <c r="R36" s="123"/>
      <c r="S36" s="123"/>
      <c r="T36" s="123"/>
      <c r="U36" s="123"/>
      <c r="W36" s="48">
        <v>3</v>
      </c>
      <c r="X36" s="122">
        <f ca="1">'JUSTIFICATIVA DE USINA'!K5</f>
        <v>1389.8771999999999</v>
      </c>
      <c r="Y36" s="122"/>
      <c r="Z36" s="123" t="str">
        <f>IF('JUSTIFICATIVA DE USINA'!L5="","",'JUSTIFICATIVA DE USINA'!L5)</f>
        <v/>
      </c>
      <c r="AA36" s="123"/>
      <c r="AB36" s="123"/>
      <c r="AC36" s="123"/>
      <c r="AD36" s="123"/>
      <c r="AE36" s="123"/>
      <c r="AG36" s="48">
        <v>3</v>
      </c>
      <c r="AH36" s="122">
        <f ca="1">'JUSTIFICATIVA DE USINA'!O5</f>
        <v>17.041666666666686</v>
      </c>
      <c r="AI36" s="122"/>
      <c r="AJ36" s="123" t="str">
        <f>IF('JUSTIFICATIVA DE USINA'!P5="","",'JUSTIFICATIVA DE USINA'!P5)</f>
        <v/>
      </c>
      <c r="AK36" s="123"/>
      <c r="AL36" s="123"/>
      <c r="AM36" s="123"/>
      <c r="AN36" s="123"/>
      <c r="AO36" s="123"/>
      <c r="AP36" s="104"/>
      <c r="AQ36" s="48">
        <v>3</v>
      </c>
      <c r="AR36" s="122">
        <f ca="1">'JUSTIFICATIVA DE USINA'!S5</f>
        <v>-349.01283352668207</v>
      </c>
      <c r="AS36" s="122"/>
      <c r="AT36" s="123" t="str">
        <f>IF('JUSTIFICATIVA DE USINA'!T5="","",'JUSTIFICATIVA DE USINA'!T5)</f>
        <v/>
      </c>
      <c r="AU36" s="123"/>
      <c r="AV36" s="123"/>
      <c r="AW36" s="123"/>
      <c r="AX36" s="123"/>
      <c r="AY36" s="123"/>
      <c r="AZ36" s="49"/>
    </row>
    <row r="37" spans="2:52" s="46" customFormat="1" ht="75" customHeight="1">
      <c r="B37" s="47"/>
      <c r="C37" s="48">
        <v>4</v>
      </c>
      <c r="D37" s="122">
        <f ca="1">'JUSTIFICATIVA DE USINA'!C6</f>
        <v>189.55474872377636</v>
      </c>
      <c r="E37" s="122"/>
      <c r="F37" s="123" t="str">
        <f>IF('JUSTIFICATIVA DE USINA'!D6="","",'JUSTIFICATIVA DE USINA'!D6)</f>
        <v/>
      </c>
      <c r="G37" s="123"/>
      <c r="H37" s="123"/>
      <c r="I37" s="123"/>
      <c r="J37" s="123"/>
      <c r="K37" s="123"/>
      <c r="M37" s="48">
        <v>4</v>
      </c>
      <c r="N37" s="122">
        <f ca="1">'JUSTIFICATIVA DE USINA'!G6</f>
        <v>0</v>
      </c>
      <c r="O37" s="122"/>
      <c r="P37" s="123" t="str">
        <f>IF('JUSTIFICATIVA DE USINA'!H6="","",'JUSTIFICATIVA DE USINA'!H6)</f>
        <v/>
      </c>
      <c r="Q37" s="123"/>
      <c r="R37" s="123"/>
      <c r="S37" s="123"/>
      <c r="T37" s="123"/>
      <c r="U37" s="123"/>
      <c r="W37" s="48">
        <v>4</v>
      </c>
      <c r="X37" s="122">
        <f ca="1">'JUSTIFICATIVA DE USINA'!K6</f>
        <v>1074.8735999999999</v>
      </c>
      <c r="Y37" s="122"/>
      <c r="Z37" s="123" t="str">
        <f>IF('JUSTIFICATIVA DE USINA'!L6="","",'JUSTIFICATIVA DE USINA'!L6)</f>
        <v/>
      </c>
      <c r="AA37" s="123"/>
      <c r="AB37" s="123"/>
      <c r="AC37" s="123"/>
      <c r="AD37" s="123"/>
      <c r="AE37" s="123"/>
      <c r="AG37" s="48">
        <v>4</v>
      </c>
      <c r="AH37" s="122">
        <f ca="1">'JUSTIFICATIVA DE USINA'!O6</f>
        <v>65.041666666666686</v>
      </c>
      <c r="AI37" s="122"/>
      <c r="AJ37" s="123" t="str">
        <f>IF('JUSTIFICATIVA DE USINA'!P6="","",'JUSTIFICATIVA DE USINA'!P6)</f>
        <v/>
      </c>
      <c r="AK37" s="123"/>
      <c r="AL37" s="123"/>
      <c r="AM37" s="123"/>
      <c r="AN37" s="123"/>
      <c r="AO37" s="123"/>
      <c r="AP37" s="104"/>
      <c r="AQ37" s="48">
        <v>4</v>
      </c>
      <c r="AR37" s="122">
        <f ca="1">'JUSTIFICATIVA DE USINA'!S6</f>
        <v>-349.01283352668207</v>
      </c>
      <c r="AS37" s="122"/>
      <c r="AT37" s="123" t="str">
        <f>IF('JUSTIFICATIVA DE USINA'!T6="","",'JUSTIFICATIVA DE USINA'!T6)</f>
        <v/>
      </c>
      <c r="AU37" s="123"/>
      <c r="AV37" s="123"/>
      <c r="AW37" s="123"/>
      <c r="AX37" s="123"/>
      <c r="AY37" s="123"/>
      <c r="AZ37" s="49"/>
    </row>
    <row r="38" spans="2:52" s="46" customFormat="1" ht="75" customHeight="1">
      <c r="B38" s="47"/>
      <c r="C38" s="48">
        <v>5</v>
      </c>
      <c r="D38" s="122">
        <f ca="1">'JUSTIFICATIVA DE USINA'!C7</f>
        <v>-1210.9021388560068</v>
      </c>
      <c r="E38" s="122"/>
      <c r="F38" s="123" t="str">
        <f>IF('JUSTIFICATIVA DE USINA'!D7="","",'JUSTIFICATIVA DE USINA'!D7)</f>
        <v/>
      </c>
      <c r="G38" s="123"/>
      <c r="H38" s="123"/>
      <c r="I38" s="123"/>
      <c r="J38" s="123"/>
      <c r="K38" s="123"/>
      <c r="M38" s="48">
        <v>5</v>
      </c>
      <c r="N38" s="122">
        <f ca="1">'JUSTIFICATIVA DE USINA'!G7</f>
        <v>0</v>
      </c>
      <c r="O38" s="122"/>
      <c r="P38" s="123" t="str">
        <f>IF('JUSTIFICATIVA DE USINA'!H7="","",'JUSTIFICATIVA DE USINA'!H7)</f>
        <v/>
      </c>
      <c r="Q38" s="123"/>
      <c r="R38" s="123"/>
      <c r="S38" s="123"/>
      <c r="T38" s="123"/>
      <c r="U38" s="123"/>
      <c r="W38" s="48">
        <v>5</v>
      </c>
      <c r="X38" s="122">
        <f ca="1">'JUSTIFICATIVA DE USINA'!K7</f>
        <v>-175.37199999999984</v>
      </c>
      <c r="Y38" s="122"/>
      <c r="Z38" s="123" t="str">
        <f>IF('JUSTIFICATIVA DE USINA'!L7="","",'JUSTIFICATIVA DE USINA'!L7)</f>
        <v/>
      </c>
      <c r="AA38" s="123"/>
      <c r="AB38" s="123"/>
      <c r="AC38" s="123"/>
      <c r="AD38" s="123"/>
      <c r="AE38" s="123"/>
      <c r="AG38" s="48">
        <v>5</v>
      </c>
      <c r="AH38" s="122">
        <f ca="1">'JUSTIFICATIVA DE USINA'!O7</f>
        <v>64.041666666666686</v>
      </c>
      <c r="AI38" s="122"/>
      <c r="AJ38" s="123" t="str">
        <f>IF('JUSTIFICATIVA DE USINA'!P7="","",'JUSTIFICATIVA DE USINA'!P7)</f>
        <v/>
      </c>
      <c r="AK38" s="123"/>
      <c r="AL38" s="123"/>
      <c r="AM38" s="123"/>
      <c r="AN38" s="123"/>
      <c r="AO38" s="123"/>
      <c r="AP38" s="104"/>
      <c r="AQ38" s="48">
        <v>5</v>
      </c>
      <c r="AR38" s="122">
        <f ca="1">'JUSTIFICATIVA DE USINA'!S7</f>
        <v>-349.01283352668207</v>
      </c>
      <c r="AS38" s="122"/>
      <c r="AT38" s="123" t="str">
        <f>IF('JUSTIFICATIVA DE USINA'!T7="","",'JUSTIFICATIVA DE USINA'!T7)</f>
        <v/>
      </c>
      <c r="AU38" s="123"/>
      <c r="AV38" s="123"/>
      <c r="AW38" s="123"/>
      <c r="AX38" s="123"/>
      <c r="AY38" s="123"/>
      <c r="AZ38" s="49"/>
    </row>
    <row r="39" spans="2:52" s="46" customFormat="1" ht="75" customHeight="1">
      <c r="B39" s="47"/>
      <c r="C39" s="48" t="s">
        <v>16</v>
      </c>
      <c r="D39" s="122">
        <f ca="1">'JUSTIFICATIVA DE USINA'!C8</f>
        <v>1447.0859612454424</v>
      </c>
      <c r="E39" s="122"/>
      <c r="F39" s="123" t="str">
        <f>IF('JUSTIFICATIVA DE USINA'!D8="","",'JUSTIFICATIVA DE USINA'!D8)</f>
        <v/>
      </c>
      <c r="G39" s="123"/>
      <c r="H39" s="123"/>
      <c r="I39" s="123"/>
      <c r="J39" s="123"/>
      <c r="K39" s="123"/>
      <c r="M39" s="48" t="s">
        <v>16</v>
      </c>
      <c r="N39" s="122">
        <f ca="1">'JUSTIFICATIVA DE USINA'!G8</f>
        <v>0</v>
      </c>
      <c r="O39" s="122"/>
      <c r="P39" s="123" t="str">
        <f>IF('JUSTIFICATIVA DE USINA'!H8="","",'JUSTIFICATIVA DE USINA'!H8)</f>
        <v/>
      </c>
      <c r="Q39" s="123"/>
      <c r="R39" s="123"/>
      <c r="S39" s="123"/>
      <c r="T39" s="123"/>
      <c r="U39" s="123"/>
      <c r="W39" s="48" t="s">
        <v>16</v>
      </c>
      <c r="X39" s="122">
        <f ca="1">'JUSTIFICATIVA DE USINA'!K8</f>
        <v>843.04199999999992</v>
      </c>
      <c r="Y39" s="122"/>
      <c r="Z39" s="123" t="str">
        <f>IF('JUSTIFICATIVA DE USINA'!L8="","",'JUSTIFICATIVA DE USINA'!L8)</f>
        <v/>
      </c>
      <c r="AA39" s="123"/>
      <c r="AB39" s="123"/>
      <c r="AC39" s="123"/>
      <c r="AD39" s="123"/>
      <c r="AE39" s="123"/>
      <c r="AG39" s="48" t="s">
        <v>16</v>
      </c>
      <c r="AH39" s="122">
        <f ca="1">'JUSTIFICATIVA DE USINA'!O8</f>
        <v>25.041666666666686</v>
      </c>
      <c r="AI39" s="122"/>
      <c r="AJ39" s="123" t="str">
        <f>IF('JUSTIFICATIVA DE USINA'!P8="","",'JUSTIFICATIVA DE USINA'!P8)</f>
        <v/>
      </c>
      <c r="AK39" s="123"/>
      <c r="AL39" s="123"/>
      <c r="AM39" s="123"/>
      <c r="AN39" s="123"/>
      <c r="AO39" s="123"/>
      <c r="AP39" s="104"/>
      <c r="AQ39" s="48" t="s">
        <v>16</v>
      </c>
      <c r="AR39" s="122">
        <f ca="1">'JUSTIFICATIVA DE USINA'!S8</f>
        <v>-70.677309284116689</v>
      </c>
      <c r="AS39" s="122"/>
      <c r="AT39" s="123" t="str">
        <f>IF('JUSTIFICATIVA DE USINA'!T8="","",'JUSTIFICATIVA DE USINA'!T8)</f>
        <v/>
      </c>
      <c r="AU39" s="123"/>
      <c r="AV39" s="123"/>
      <c r="AW39" s="123"/>
      <c r="AX39" s="123"/>
      <c r="AY39" s="123"/>
      <c r="AZ39" s="49"/>
    </row>
    <row r="40" spans="2:52" s="46" customFormat="1" ht="75" customHeight="1">
      <c r="B40" s="47"/>
      <c r="C40" s="48">
        <v>7</v>
      </c>
      <c r="D40" s="122">
        <f ca="1">'JUSTIFICATIVA DE USINA'!C9</f>
        <v>-2101.9153382698605</v>
      </c>
      <c r="E40" s="122"/>
      <c r="F40" s="123" t="str">
        <f>IF('JUSTIFICATIVA DE USINA'!D9="","",'JUSTIFICATIVA DE USINA'!D9)</f>
        <v/>
      </c>
      <c r="G40" s="123"/>
      <c r="H40" s="123"/>
      <c r="I40" s="123"/>
      <c r="J40" s="123"/>
      <c r="K40" s="123"/>
      <c r="M40" s="48">
        <v>7</v>
      </c>
      <c r="N40" s="122">
        <f ca="1">'JUSTIFICATIVA DE USINA'!G9</f>
        <v>0</v>
      </c>
      <c r="O40" s="122"/>
      <c r="P40" s="123" t="str">
        <f>IF('JUSTIFICATIVA DE USINA'!H9="","",'JUSTIFICATIVA DE USINA'!H9)</f>
        <v/>
      </c>
      <c r="Q40" s="123"/>
      <c r="R40" s="123"/>
      <c r="S40" s="123"/>
      <c r="T40" s="123"/>
      <c r="U40" s="123"/>
      <c r="W40" s="48">
        <v>7</v>
      </c>
      <c r="X40" s="122">
        <f ca="1">'JUSTIFICATIVA DE USINA'!K9</f>
        <v>-885.37199999999984</v>
      </c>
      <c r="Y40" s="122"/>
      <c r="Z40" s="123" t="str">
        <f>IF('JUSTIFICATIVA DE USINA'!L9="","",'JUSTIFICATIVA DE USINA'!L9)</f>
        <v/>
      </c>
      <c r="AA40" s="123"/>
      <c r="AB40" s="123"/>
      <c r="AC40" s="123"/>
      <c r="AD40" s="123"/>
      <c r="AE40" s="123"/>
      <c r="AG40" s="48">
        <v>7</v>
      </c>
      <c r="AH40" s="122">
        <f ca="1">'JUSTIFICATIVA DE USINA'!O9</f>
        <v>-142.95833333333331</v>
      </c>
      <c r="AI40" s="122"/>
      <c r="AJ40" s="123" t="str">
        <f>IF('JUSTIFICATIVA DE USINA'!P9="","",'JUSTIFICATIVA DE USINA'!P9)</f>
        <v/>
      </c>
      <c r="AK40" s="123"/>
      <c r="AL40" s="123"/>
      <c r="AM40" s="123"/>
      <c r="AN40" s="123"/>
      <c r="AO40" s="123"/>
      <c r="AP40" s="104"/>
      <c r="AQ40" s="48">
        <v>7</v>
      </c>
      <c r="AR40" s="122">
        <f ca="1">'JUSTIFICATIVA DE USINA'!S9</f>
        <v>20.833490178415445</v>
      </c>
      <c r="AS40" s="122"/>
      <c r="AT40" s="123" t="str">
        <f>IF('JUSTIFICATIVA DE USINA'!T9="","",'JUSTIFICATIVA DE USINA'!T9)</f>
        <v/>
      </c>
      <c r="AU40" s="123"/>
      <c r="AV40" s="123"/>
      <c r="AW40" s="123"/>
      <c r="AX40" s="123"/>
      <c r="AY40" s="123"/>
      <c r="AZ40" s="49"/>
    </row>
    <row r="41" spans="2:52" s="46" customFormat="1" ht="75" customHeight="1">
      <c r="B41" s="47"/>
      <c r="C41" s="48">
        <v>8</v>
      </c>
      <c r="D41" s="122">
        <f ca="1">'JUSTIFICATIVA DE USINA'!C10</f>
        <v>-4345.9861393713009</v>
      </c>
      <c r="E41" s="122"/>
      <c r="F41" s="123" t="str">
        <f>IF('JUSTIFICATIVA DE USINA'!D10="","",'JUSTIFICATIVA DE USINA'!D10)</f>
        <v/>
      </c>
      <c r="G41" s="123"/>
      <c r="H41" s="123"/>
      <c r="I41" s="123"/>
      <c r="J41" s="123"/>
      <c r="K41" s="123"/>
      <c r="M41" s="48">
        <v>8</v>
      </c>
      <c r="N41" s="122">
        <f ca="1">'JUSTIFICATIVA DE USINA'!G10</f>
        <v>0</v>
      </c>
      <c r="O41" s="122"/>
      <c r="P41" s="123" t="str">
        <f>IF('JUSTIFICATIVA DE USINA'!H10="","",'JUSTIFICATIVA DE USINA'!H10)</f>
        <v/>
      </c>
      <c r="Q41" s="123"/>
      <c r="R41" s="123"/>
      <c r="S41" s="123"/>
      <c r="T41" s="123"/>
      <c r="U41" s="123"/>
      <c r="W41" s="48">
        <v>8</v>
      </c>
      <c r="X41" s="122">
        <f ca="1">'JUSTIFICATIVA DE USINA'!K10</f>
        <v>-1175.3719999999998</v>
      </c>
      <c r="Y41" s="122"/>
      <c r="Z41" s="123" t="str">
        <f>IF('JUSTIFICATIVA DE USINA'!L10="","",'JUSTIFICATIVA DE USINA'!L10)</f>
        <v/>
      </c>
      <c r="AA41" s="123"/>
      <c r="AB41" s="123"/>
      <c r="AC41" s="123"/>
      <c r="AD41" s="123"/>
      <c r="AE41" s="123"/>
      <c r="AG41" s="48">
        <v>8</v>
      </c>
      <c r="AH41" s="122">
        <f ca="1">'JUSTIFICATIVA DE USINA'!O10</f>
        <v>-142.95833333333331</v>
      </c>
      <c r="AI41" s="122"/>
      <c r="AJ41" s="123" t="str">
        <f>IF('JUSTIFICATIVA DE USINA'!P10="","",'JUSTIFICATIVA DE USINA'!P10)</f>
        <v/>
      </c>
      <c r="AK41" s="123"/>
      <c r="AL41" s="123"/>
      <c r="AM41" s="123"/>
      <c r="AN41" s="123"/>
      <c r="AO41" s="123"/>
      <c r="AP41" s="104"/>
      <c r="AQ41" s="48">
        <v>8</v>
      </c>
      <c r="AR41" s="122">
        <f ca="1">'JUSTIFICATIVA DE USINA'!S10</f>
        <v>-30.251474229344524</v>
      </c>
      <c r="AS41" s="122"/>
      <c r="AT41" s="123" t="str">
        <f>IF('JUSTIFICATIVA DE USINA'!T10="","",'JUSTIFICATIVA DE USINA'!T10)</f>
        <v/>
      </c>
      <c r="AU41" s="123"/>
      <c r="AV41" s="123"/>
      <c r="AW41" s="123"/>
      <c r="AX41" s="123"/>
      <c r="AY41" s="123"/>
      <c r="AZ41" s="49"/>
    </row>
    <row r="42" spans="2:52" s="46" customFormat="1" ht="75" customHeight="1">
      <c r="B42" s="47"/>
      <c r="C42" s="48">
        <v>9</v>
      </c>
      <c r="D42" s="122">
        <f ca="1">'JUSTIFICATIVA DE USINA'!C11</f>
        <v>-2981.4635377642262</v>
      </c>
      <c r="E42" s="122"/>
      <c r="F42" s="123" t="str">
        <f>IF('JUSTIFICATIVA DE USINA'!D11="","",'JUSTIFICATIVA DE USINA'!D11)</f>
        <v/>
      </c>
      <c r="G42" s="123"/>
      <c r="H42" s="123"/>
      <c r="I42" s="123"/>
      <c r="J42" s="123"/>
      <c r="K42" s="123"/>
      <c r="M42" s="48">
        <v>9</v>
      </c>
      <c r="N42" s="122">
        <f ca="1">'JUSTIFICATIVA DE USINA'!G11</f>
        <v>0</v>
      </c>
      <c r="O42" s="122"/>
      <c r="P42" s="123" t="str">
        <f>IF('JUSTIFICATIVA DE USINA'!H11="","",'JUSTIFICATIVA DE USINA'!H11)</f>
        <v/>
      </c>
      <c r="Q42" s="123"/>
      <c r="R42" s="123"/>
      <c r="S42" s="123"/>
      <c r="T42" s="123"/>
      <c r="U42" s="123"/>
      <c r="W42" s="48">
        <v>9</v>
      </c>
      <c r="X42" s="122">
        <f ca="1">'JUSTIFICATIVA DE USINA'!K11</f>
        <v>944.50520000000006</v>
      </c>
      <c r="Y42" s="122"/>
      <c r="Z42" s="123" t="str">
        <f>IF('JUSTIFICATIVA DE USINA'!L11="","",'JUSTIFICATIVA DE USINA'!L11)</f>
        <v/>
      </c>
      <c r="AA42" s="123"/>
      <c r="AB42" s="123"/>
      <c r="AC42" s="123"/>
      <c r="AD42" s="123"/>
      <c r="AE42" s="123"/>
      <c r="AG42" s="48">
        <v>9</v>
      </c>
      <c r="AH42" s="122">
        <f ca="1">'JUSTIFICATIVA DE USINA'!O11</f>
        <v>-142.95833333333331</v>
      </c>
      <c r="AI42" s="122"/>
      <c r="AJ42" s="123" t="str">
        <f>IF('JUSTIFICATIVA DE USINA'!P11="","",'JUSTIFICATIVA DE USINA'!P11)</f>
        <v/>
      </c>
      <c r="AK42" s="123"/>
      <c r="AL42" s="123"/>
      <c r="AM42" s="123"/>
      <c r="AN42" s="123"/>
      <c r="AO42" s="123"/>
      <c r="AP42" s="104"/>
      <c r="AQ42" s="48">
        <v>9</v>
      </c>
      <c r="AR42" s="122">
        <f ca="1">'JUSTIFICATIVA DE USINA'!S11</f>
        <v>4.0345075819110434</v>
      </c>
      <c r="AS42" s="122"/>
      <c r="AT42" s="123" t="str">
        <f>IF('JUSTIFICATIVA DE USINA'!T11="","",'JUSTIFICATIVA DE USINA'!T11)</f>
        <v/>
      </c>
      <c r="AU42" s="123"/>
      <c r="AV42" s="123"/>
      <c r="AW42" s="123"/>
      <c r="AX42" s="123"/>
      <c r="AY42" s="123"/>
      <c r="AZ42" s="49"/>
    </row>
    <row r="43" spans="2:52" s="46" customFormat="1" ht="75" customHeight="1">
      <c r="B43" s="47"/>
      <c r="C43" s="48">
        <v>10</v>
      </c>
      <c r="D43" s="122">
        <f ca="1">'JUSTIFICATIVA DE USINA'!C12</f>
        <v>-2458.4609387336241</v>
      </c>
      <c r="E43" s="122"/>
      <c r="F43" s="123" t="str">
        <f>IF('JUSTIFICATIVA DE USINA'!D12="","",'JUSTIFICATIVA DE USINA'!D12)</f>
        <v/>
      </c>
      <c r="G43" s="123"/>
      <c r="H43" s="123"/>
      <c r="I43" s="123"/>
      <c r="J43" s="123"/>
      <c r="K43" s="123"/>
      <c r="M43" s="48">
        <v>10</v>
      </c>
      <c r="N43" s="122">
        <f ca="1">'JUSTIFICATIVA DE USINA'!G12</f>
        <v>0</v>
      </c>
      <c r="O43" s="122"/>
      <c r="P43" s="123" t="str">
        <f>IF('JUSTIFICATIVA DE USINA'!H12="","",'JUSTIFICATIVA DE USINA'!H12)</f>
        <v/>
      </c>
      <c r="Q43" s="123"/>
      <c r="R43" s="123"/>
      <c r="S43" s="123"/>
      <c r="T43" s="123"/>
      <c r="U43" s="123"/>
      <c r="W43" s="48">
        <v>10</v>
      </c>
      <c r="X43" s="122">
        <f ca="1">'JUSTIFICATIVA DE USINA'!K12</f>
        <v>896.58240000000001</v>
      </c>
      <c r="Y43" s="122"/>
      <c r="Z43" s="123" t="str">
        <f>IF('JUSTIFICATIVA DE USINA'!L12="","",'JUSTIFICATIVA DE USINA'!L12)</f>
        <v/>
      </c>
      <c r="AA43" s="123"/>
      <c r="AB43" s="123"/>
      <c r="AC43" s="123"/>
      <c r="AD43" s="123"/>
      <c r="AE43" s="123"/>
      <c r="AG43" s="48">
        <v>10</v>
      </c>
      <c r="AH43" s="122">
        <f ca="1">'JUSTIFICATIVA DE USINA'!O12</f>
        <v>-142.95833333333331</v>
      </c>
      <c r="AI43" s="122"/>
      <c r="AJ43" s="123" t="str">
        <f>IF('JUSTIFICATIVA DE USINA'!P12="","",'JUSTIFICATIVA DE USINA'!P12)</f>
        <v/>
      </c>
      <c r="AK43" s="123"/>
      <c r="AL43" s="123"/>
      <c r="AM43" s="123"/>
      <c r="AN43" s="123"/>
      <c r="AO43" s="123"/>
      <c r="AP43" s="104"/>
      <c r="AQ43" s="48">
        <v>10</v>
      </c>
      <c r="AR43" s="122">
        <f ca="1">'JUSTIFICATIVA DE USINA'!S12</f>
        <v>46.035956498461076</v>
      </c>
      <c r="AS43" s="122"/>
      <c r="AT43" s="123" t="str">
        <f>IF('JUSTIFICATIVA DE USINA'!T12="","",'JUSTIFICATIVA DE USINA'!T12)</f>
        <v/>
      </c>
      <c r="AU43" s="123"/>
      <c r="AV43" s="123"/>
      <c r="AW43" s="123"/>
      <c r="AX43" s="123"/>
      <c r="AY43" s="123"/>
      <c r="AZ43" s="49"/>
    </row>
    <row r="44" spans="2:52" s="46" customFormat="1" ht="75" customHeight="1">
      <c r="B44" s="47"/>
      <c r="C44" s="48">
        <v>11</v>
      </c>
      <c r="D44" s="122">
        <f ca="1">'JUSTIFICATIVA DE USINA'!C13</f>
        <v>-1990.7688452021848</v>
      </c>
      <c r="E44" s="122"/>
      <c r="F44" s="123" t="str">
        <f>IF('JUSTIFICATIVA DE USINA'!D13="","",'JUSTIFICATIVA DE USINA'!D13)</f>
        <v/>
      </c>
      <c r="G44" s="123"/>
      <c r="H44" s="123"/>
      <c r="I44" s="123"/>
      <c r="J44" s="123"/>
      <c r="K44" s="123"/>
      <c r="M44" s="48">
        <v>11</v>
      </c>
      <c r="N44" s="122">
        <f ca="1">'JUSTIFICATIVA DE USINA'!G13</f>
        <v>0</v>
      </c>
      <c r="O44" s="122"/>
      <c r="P44" s="123" t="str">
        <f>IF('JUSTIFICATIVA DE USINA'!H13="","",'JUSTIFICATIVA DE USINA'!H13)</f>
        <v/>
      </c>
      <c r="Q44" s="123"/>
      <c r="R44" s="123"/>
      <c r="S44" s="123"/>
      <c r="T44" s="123"/>
      <c r="U44" s="123"/>
      <c r="W44" s="48">
        <v>11</v>
      </c>
      <c r="X44" s="122">
        <f ca="1">'JUSTIFICATIVA DE USINA'!K13</f>
        <v>574.75080000000003</v>
      </c>
      <c r="Y44" s="122"/>
      <c r="Z44" s="123" t="str">
        <f>IF('JUSTIFICATIVA DE USINA'!L13="","",'JUSTIFICATIVA DE USINA'!L13)</f>
        <v/>
      </c>
      <c r="AA44" s="123"/>
      <c r="AB44" s="123"/>
      <c r="AC44" s="123"/>
      <c r="AD44" s="123"/>
      <c r="AE44" s="123"/>
      <c r="AG44" s="48">
        <v>11</v>
      </c>
      <c r="AH44" s="122">
        <f ca="1">'JUSTIFICATIVA DE USINA'!O13</f>
        <v>-137.95833333333331</v>
      </c>
      <c r="AI44" s="122"/>
      <c r="AJ44" s="123" t="str">
        <f>IF('JUSTIFICATIVA DE USINA'!P13="","",'JUSTIFICATIVA DE USINA'!P13)</f>
        <v/>
      </c>
      <c r="AK44" s="123"/>
      <c r="AL44" s="123"/>
      <c r="AM44" s="123"/>
      <c r="AN44" s="123"/>
      <c r="AO44" s="123"/>
      <c r="AP44" s="104"/>
      <c r="AQ44" s="48">
        <v>11</v>
      </c>
      <c r="AR44" s="122">
        <f ca="1">'JUSTIFICATIVA DE USINA'!S13</f>
        <v>-46.84192346471076</v>
      </c>
      <c r="AS44" s="122"/>
      <c r="AT44" s="123" t="str">
        <f>IF('JUSTIFICATIVA DE USINA'!T13="","",'JUSTIFICATIVA DE USINA'!T13)</f>
        <v/>
      </c>
      <c r="AU44" s="123"/>
      <c r="AV44" s="123"/>
      <c r="AW44" s="123"/>
      <c r="AX44" s="123"/>
      <c r="AY44" s="123"/>
      <c r="AZ44" s="49"/>
    </row>
    <row r="45" spans="2:52" s="46" customFormat="1" ht="75" customHeight="1">
      <c r="B45" s="47"/>
      <c r="C45" s="48">
        <v>12</v>
      </c>
      <c r="D45" s="122">
        <f ca="1">'JUSTIFICATIVA DE USINA'!C14</f>
        <v>-2845.1960401394135</v>
      </c>
      <c r="E45" s="122"/>
      <c r="F45" s="123" t="str">
        <f>IF('JUSTIFICATIVA DE USINA'!D14="","",'JUSTIFICATIVA DE USINA'!D14)</f>
        <v/>
      </c>
      <c r="G45" s="123"/>
      <c r="H45" s="123"/>
      <c r="I45" s="123"/>
      <c r="J45" s="123"/>
      <c r="K45" s="123"/>
      <c r="M45" s="48">
        <v>12</v>
      </c>
      <c r="N45" s="122">
        <f ca="1">'JUSTIFICATIVA DE USINA'!G14</f>
        <v>0</v>
      </c>
      <c r="O45" s="122"/>
      <c r="P45" s="123" t="str">
        <f>IF('JUSTIFICATIVA DE USINA'!H14="","",'JUSTIFICATIVA DE USINA'!H14)</f>
        <v/>
      </c>
      <c r="Q45" s="123"/>
      <c r="R45" s="123"/>
      <c r="S45" s="123"/>
      <c r="T45" s="123"/>
      <c r="U45" s="123"/>
      <c r="W45" s="48">
        <v>12</v>
      </c>
      <c r="X45" s="122">
        <f ca="1">'JUSTIFICATIVA DE USINA'!K14</f>
        <v>1440</v>
      </c>
      <c r="Y45" s="122"/>
      <c r="Z45" s="123" t="str">
        <f>IF('JUSTIFICATIVA DE USINA'!L14="","",'JUSTIFICATIVA DE USINA'!L14)</f>
        <v/>
      </c>
      <c r="AA45" s="123"/>
      <c r="AB45" s="123"/>
      <c r="AC45" s="123"/>
      <c r="AD45" s="123"/>
      <c r="AE45" s="123"/>
      <c r="AG45" s="48">
        <v>12</v>
      </c>
      <c r="AH45" s="122">
        <f ca="1">'JUSTIFICATIVA DE USINA'!O14</f>
        <v>52.041666666666686</v>
      </c>
      <c r="AI45" s="122"/>
      <c r="AJ45" s="123" t="str">
        <f>IF('JUSTIFICATIVA DE USINA'!P14="","",'JUSTIFICATIVA DE USINA'!P14)</f>
        <v/>
      </c>
      <c r="AK45" s="123"/>
      <c r="AL45" s="123"/>
      <c r="AM45" s="123"/>
      <c r="AN45" s="123"/>
      <c r="AO45" s="123"/>
      <c r="AP45" s="104"/>
      <c r="AQ45" s="48">
        <v>12</v>
      </c>
      <c r="AR45" s="122">
        <f ca="1">'JUSTIFICATIVA DE USINA'!S14</f>
        <v>-349.01283352668207</v>
      </c>
      <c r="AS45" s="122"/>
      <c r="AT45" s="123" t="str">
        <f>IF('JUSTIFICATIVA DE USINA'!T14="","",'JUSTIFICATIVA DE USINA'!T14)</f>
        <v/>
      </c>
      <c r="AU45" s="123"/>
      <c r="AV45" s="123"/>
      <c r="AW45" s="123"/>
      <c r="AX45" s="123"/>
      <c r="AY45" s="123"/>
      <c r="AZ45" s="49"/>
    </row>
    <row r="46" spans="2:52" s="46" customFormat="1" ht="75" customHeight="1">
      <c r="B46" s="47"/>
      <c r="C46" s="48">
        <v>13</v>
      </c>
      <c r="D46" s="122">
        <f ca="1">'JUSTIFICATIVA DE USINA'!C15</f>
        <v>553.07783441307038</v>
      </c>
      <c r="E46" s="122"/>
      <c r="F46" s="123" t="str">
        <f>IF('JUSTIFICATIVA DE USINA'!D15="","",'JUSTIFICATIVA DE USINA'!D15)</f>
        <v/>
      </c>
      <c r="G46" s="123"/>
      <c r="H46" s="123"/>
      <c r="I46" s="123"/>
      <c r="J46" s="123"/>
      <c r="K46" s="123"/>
      <c r="M46" s="48">
        <v>13</v>
      </c>
      <c r="N46" s="122">
        <f ca="1">'JUSTIFICATIVA DE USINA'!G15</f>
        <v>0</v>
      </c>
      <c r="O46" s="122"/>
      <c r="P46" s="123" t="str">
        <f>IF('JUSTIFICATIVA DE USINA'!H15="","",'JUSTIFICATIVA DE USINA'!H15)</f>
        <v/>
      </c>
      <c r="Q46" s="123"/>
      <c r="R46" s="123"/>
      <c r="S46" s="123"/>
      <c r="T46" s="123"/>
      <c r="U46" s="123"/>
      <c r="W46" s="48">
        <v>13</v>
      </c>
      <c r="X46" s="122">
        <f ca="1">'JUSTIFICATIVA DE USINA'!K15</f>
        <v>2150</v>
      </c>
      <c r="Y46" s="122"/>
      <c r="Z46" s="123" t="str">
        <f>IF('JUSTIFICATIVA DE USINA'!L15="","",'JUSTIFICATIVA DE USINA'!L15)</f>
        <v/>
      </c>
      <c r="AA46" s="123"/>
      <c r="AB46" s="123"/>
      <c r="AC46" s="123"/>
      <c r="AD46" s="123"/>
      <c r="AE46" s="123"/>
      <c r="AG46" s="48">
        <v>13</v>
      </c>
      <c r="AH46" s="122">
        <f ca="1">'JUSTIFICATIVA DE USINA'!O15</f>
        <v>81.041666666666686</v>
      </c>
      <c r="AI46" s="122"/>
      <c r="AJ46" s="123" t="str">
        <f>IF('JUSTIFICATIVA DE USINA'!P15="","",'JUSTIFICATIVA DE USINA'!P15)</f>
        <v/>
      </c>
      <c r="AK46" s="123"/>
      <c r="AL46" s="123"/>
      <c r="AM46" s="123"/>
      <c r="AN46" s="123"/>
      <c r="AO46" s="123"/>
      <c r="AP46" s="104"/>
      <c r="AQ46" s="48">
        <v>13</v>
      </c>
      <c r="AR46" s="122">
        <f ca="1">'JUSTIFICATIVA DE USINA'!S15</f>
        <v>-349.01283352668207</v>
      </c>
      <c r="AS46" s="122"/>
      <c r="AT46" s="123" t="str">
        <f>IF('JUSTIFICATIVA DE USINA'!T15="","",'JUSTIFICATIVA DE USINA'!T15)</f>
        <v/>
      </c>
      <c r="AU46" s="123"/>
      <c r="AV46" s="123"/>
      <c r="AW46" s="123"/>
      <c r="AX46" s="123"/>
      <c r="AY46" s="123"/>
      <c r="AZ46" s="49"/>
    </row>
    <row r="47" spans="2:52" s="46" customFormat="1" ht="75" customHeight="1">
      <c r="B47" s="47"/>
      <c r="C47" s="48">
        <v>14</v>
      </c>
      <c r="D47" s="122">
        <f ca="1">'JUSTIFICATIVA DE USINA'!C16</f>
        <v>-274.98534809266857</v>
      </c>
      <c r="E47" s="122"/>
      <c r="F47" s="123" t="str">
        <f>IF('JUSTIFICATIVA DE USINA'!D16="","",'JUSTIFICATIVA DE USINA'!D16)</f>
        <v/>
      </c>
      <c r="G47" s="123"/>
      <c r="H47" s="123"/>
      <c r="I47" s="123"/>
      <c r="J47" s="123"/>
      <c r="K47" s="123"/>
      <c r="M47" s="48">
        <v>14</v>
      </c>
      <c r="N47" s="122">
        <f ca="1">'JUSTIFICATIVA DE USINA'!G16</f>
        <v>0</v>
      </c>
      <c r="O47" s="122"/>
      <c r="P47" s="123" t="str">
        <f>IF('JUSTIFICATIVA DE USINA'!H16="","",'JUSTIFICATIVA DE USINA'!H16)</f>
        <v/>
      </c>
      <c r="Q47" s="123"/>
      <c r="R47" s="123"/>
      <c r="S47" s="123"/>
      <c r="T47" s="123"/>
      <c r="U47" s="123"/>
      <c r="W47" s="48">
        <v>14</v>
      </c>
      <c r="X47" s="122">
        <f ca="1">'JUSTIFICATIVA DE USINA'!K16</f>
        <v>614.62800000000016</v>
      </c>
      <c r="Y47" s="122"/>
      <c r="Z47" s="123" t="str">
        <f>IF('JUSTIFICATIVA DE USINA'!L16="","",'JUSTIFICATIVA DE USINA'!L16)</f>
        <v/>
      </c>
      <c r="AA47" s="123"/>
      <c r="AB47" s="123"/>
      <c r="AC47" s="123"/>
      <c r="AD47" s="123"/>
      <c r="AE47" s="123"/>
      <c r="AG47" s="48">
        <v>14</v>
      </c>
      <c r="AH47" s="122">
        <f ca="1">'JUSTIFICATIVA DE USINA'!O16</f>
        <v>106.04166666666669</v>
      </c>
      <c r="AI47" s="122"/>
      <c r="AJ47" s="123" t="str">
        <f>IF('JUSTIFICATIVA DE USINA'!P16="","",'JUSTIFICATIVA DE USINA'!P16)</f>
        <v/>
      </c>
      <c r="AK47" s="123"/>
      <c r="AL47" s="123"/>
      <c r="AM47" s="123"/>
      <c r="AN47" s="123"/>
      <c r="AO47" s="123"/>
      <c r="AP47" s="104"/>
      <c r="AQ47" s="48">
        <v>14</v>
      </c>
      <c r="AR47" s="122">
        <f ca="1">'JUSTIFICATIVA DE USINA'!S16</f>
        <v>-349.01283352668207</v>
      </c>
      <c r="AS47" s="122"/>
      <c r="AT47" s="123" t="str">
        <f>IF('JUSTIFICATIVA DE USINA'!T16="","",'JUSTIFICATIVA DE USINA'!T16)</f>
        <v/>
      </c>
      <c r="AU47" s="123"/>
      <c r="AV47" s="123"/>
      <c r="AW47" s="123"/>
      <c r="AX47" s="123"/>
      <c r="AY47" s="123"/>
      <c r="AZ47" s="49"/>
    </row>
    <row r="48" spans="2:52" s="46" customFormat="1" ht="75" customHeight="1">
      <c r="B48" s="47"/>
      <c r="C48" s="48">
        <v>15</v>
      </c>
      <c r="D48" s="122">
        <f ca="1">'JUSTIFICATIVA DE USINA'!C17</f>
        <v>73.353746743108786</v>
      </c>
      <c r="E48" s="122"/>
      <c r="F48" s="123" t="str">
        <f>IF('JUSTIFICATIVA DE USINA'!D17="","",'JUSTIFICATIVA DE USINA'!D17)</f>
        <v/>
      </c>
      <c r="G48" s="123"/>
      <c r="H48" s="123"/>
      <c r="I48" s="123"/>
      <c r="J48" s="123"/>
      <c r="K48" s="123"/>
      <c r="M48" s="48">
        <v>15</v>
      </c>
      <c r="N48" s="122">
        <f ca="1">'JUSTIFICATIVA DE USINA'!G17</f>
        <v>0</v>
      </c>
      <c r="O48" s="122"/>
      <c r="P48" s="123" t="str">
        <f>IF('JUSTIFICATIVA DE USINA'!H17="","",'JUSTIFICATIVA DE USINA'!H17)</f>
        <v/>
      </c>
      <c r="Q48" s="123"/>
      <c r="R48" s="123"/>
      <c r="S48" s="123"/>
      <c r="T48" s="123"/>
      <c r="U48" s="123"/>
      <c r="W48" s="48">
        <v>15</v>
      </c>
      <c r="X48" s="122">
        <f ca="1">'JUSTIFICATIVA DE USINA'!K17</f>
        <v>-344.03160000000003</v>
      </c>
      <c r="Y48" s="122"/>
      <c r="Z48" s="123" t="str">
        <f>IF('JUSTIFICATIVA DE USINA'!L17="","",'JUSTIFICATIVA DE USINA'!L17)</f>
        <v/>
      </c>
      <c r="AA48" s="123"/>
      <c r="AB48" s="123"/>
      <c r="AC48" s="123"/>
      <c r="AD48" s="123"/>
      <c r="AE48" s="123"/>
      <c r="AG48" s="48">
        <v>15</v>
      </c>
      <c r="AH48" s="122">
        <f ca="1">'JUSTIFICATIVA DE USINA'!O17</f>
        <v>135.04166666666669</v>
      </c>
      <c r="AI48" s="122"/>
      <c r="AJ48" s="123" t="str">
        <f>IF('JUSTIFICATIVA DE USINA'!P17="","",'JUSTIFICATIVA DE USINA'!P17)</f>
        <v/>
      </c>
      <c r="AK48" s="123"/>
      <c r="AL48" s="123"/>
      <c r="AM48" s="123"/>
      <c r="AN48" s="123"/>
      <c r="AO48" s="123"/>
      <c r="AP48" s="104"/>
      <c r="AQ48" s="48">
        <v>15</v>
      </c>
      <c r="AR48" s="122">
        <f ca="1">'JUSTIFICATIVA DE USINA'!S17</f>
        <v>-349.01283352668207</v>
      </c>
      <c r="AS48" s="122"/>
      <c r="AT48" s="123" t="str">
        <f>IF('JUSTIFICATIVA DE USINA'!T17="","",'JUSTIFICATIVA DE USINA'!T17)</f>
        <v/>
      </c>
      <c r="AU48" s="123"/>
      <c r="AV48" s="123"/>
      <c r="AW48" s="123"/>
      <c r="AX48" s="123"/>
      <c r="AY48" s="123"/>
      <c r="AZ48" s="49"/>
    </row>
    <row r="49" spans="2:52" s="46" customFormat="1" ht="75" customHeight="1">
      <c r="B49" s="47"/>
      <c r="C49" s="48">
        <v>16</v>
      </c>
      <c r="D49" s="122">
        <f ca="1">'JUSTIFICATIVA DE USINA'!C18</f>
        <v>-1073.13814091719</v>
      </c>
      <c r="E49" s="122"/>
      <c r="F49" s="123" t="str">
        <f>IF('JUSTIFICATIVA DE USINA'!D18="","",'JUSTIFICATIVA DE USINA'!D18)</f>
        <v/>
      </c>
      <c r="G49" s="123"/>
      <c r="H49" s="123"/>
      <c r="I49" s="123"/>
      <c r="J49" s="123"/>
      <c r="K49" s="123"/>
      <c r="M49" s="48">
        <v>16</v>
      </c>
      <c r="N49" s="122">
        <f ca="1">'JUSTIFICATIVA DE USINA'!G18</f>
        <v>0</v>
      </c>
      <c r="O49" s="122"/>
      <c r="P49" s="123" t="str">
        <f>IF('JUSTIFICATIVA DE USINA'!H18="","",'JUSTIFICATIVA DE USINA'!H18)</f>
        <v/>
      </c>
      <c r="Q49" s="123"/>
      <c r="R49" s="123"/>
      <c r="S49" s="123"/>
      <c r="T49" s="123"/>
      <c r="U49" s="123"/>
      <c r="W49" s="48">
        <v>16</v>
      </c>
      <c r="X49" s="122">
        <f ca="1">'JUSTIFICATIVA DE USINA'!K18</f>
        <v>-1188.7895999999998</v>
      </c>
      <c r="Y49" s="122"/>
      <c r="Z49" s="123" t="str">
        <f>IF('JUSTIFICATIVA DE USINA'!L18="","",'JUSTIFICATIVA DE USINA'!L18)</f>
        <v/>
      </c>
      <c r="AA49" s="123"/>
      <c r="AB49" s="123"/>
      <c r="AC49" s="123"/>
      <c r="AD49" s="123"/>
      <c r="AE49" s="123"/>
      <c r="AG49" s="48">
        <v>16</v>
      </c>
      <c r="AH49" s="122">
        <f ca="1">'JUSTIFICATIVA DE USINA'!O18</f>
        <v>-89.958333333333314</v>
      </c>
      <c r="AI49" s="122"/>
      <c r="AJ49" s="123" t="str">
        <f>IF('JUSTIFICATIVA DE USINA'!P18="","",'JUSTIFICATIVA DE USINA'!P18)</f>
        <v/>
      </c>
      <c r="AK49" s="123"/>
      <c r="AL49" s="123"/>
      <c r="AM49" s="123"/>
      <c r="AN49" s="123"/>
      <c r="AO49" s="123"/>
      <c r="AP49" s="104"/>
      <c r="AQ49" s="48">
        <v>16</v>
      </c>
      <c r="AR49" s="122">
        <f ca="1">'JUSTIFICATIVA DE USINA'!S18</f>
        <v>-349.01283352668207</v>
      </c>
      <c r="AS49" s="122"/>
      <c r="AT49" s="123" t="str">
        <f>IF('JUSTIFICATIVA DE USINA'!T18="","",'JUSTIFICATIVA DE USINA'!T18)</f>
        <v/>
      </c>
      <c r="AU49" s="123"/>
      <c r="AV49" s="123"/>
      <c r="AW49" s="123"/>
      <c r="AX49" s="123"/>
      <c r="AY49" s="123"/>
      <c r="AZ49" s="49"/>
    </row>
    <row r="50" spans="2:52" s="46" customFormat="1" ht="75" customHeight="1">
      <c r="B50" s="47"/>
      <c r="C50" s="48">
        <v>17</v>
      </c>
      <c r="D50" s="122">
        <f ca="1">'JUSTIFICATIVA DE USINA'!C19</f>
        <v>-3926.8371485983016</v>
      </c>
      <c r="E50" s="122"/>
      <c r="F50" s="123" t="str">
        <f>IF('JUSTIFICATIVA DE USINA'!D19="","",'JUSTIFICATIVA DE USINA'!D19)</f>
        <v/>
      </c>
      <c r="G50" s="123"/>
      <c r="H50" s="123"/>
      <c r="I50" s="123"/>
      <c r="J50" s="123"/>
      <c r="K50" s="123"/>
      <c r="M50" s="48">
        <v>17</v>
      </c>
      <c r="N50" s="122">
        <f ca="1">'JUSTIFICATIVA DE USINA'!G19</f>
        <v>0</v>
      </c>
      <c r="O50" s="122"/>
      <c r="P50" s="123" t="str">
        <f>IF('JUSTIFICATIVA DE USINA'!H19="","",'JUSTIFICATIVA DE USINA'!H19)</f>
        <v/>
      </c>
      <c r="Q50" s="123"/>
      <c r="R50" s="123"/>
      <c r="S50" s="123"/>
      <c r="T50" s="123"/>
      <c r="U50" s="123"/>
      <c r="W50" s="48">
        <v>17</v>
      </c>
      <c r="X50" s="122">
        <f ca="1">'JUSTIFICATIVA DE USINA'!K19</f>
        <v>-1285.3719999999998</v>
      </c>
      <c r="Y50" s="122"/>
      <c r="Z50" s="123" t="str">
        <f>IF('JUSTIFICATIVA DE USINA'!L19="","",'JUSTIFICATIVA DE USINA'!L19)</f>
        <v/>
      </c>
      <c r="AA50" s="123"/>
      <c r="AB50" s="123"/>
      <c r="AC50" s="123"/>
      <c r="AD50" s="123"/>
      <c r="AE50" s="123"/>
      <c r="AG50" s="48">
        <v>17</v>
      </c>
      <c r="AH50" s="122">
        <f ca="1">'JUSTIFICATIVA DE USINA'!O19</f>
        <v>140.04166666666669</v>
      </c>
      <c r="AI50" s="122"/>
      <c r="AJ50" s="123" t="str">
        <f>IF('JUSTIFICATIVA DE USINA'!P19="","",'JUSTIFICATIVA DE USINA'!P19)</f>
        <v/>
      </c>
      <c r="AK50" s="123"/>
      <c r="AL50" s="123"/>
      <c r="AM50" s="123"/>
      <c r="AN50" s="123"/>
      <c r="AO50" s="123"/>
      <c r="AP50" s="104"/>
      <c r="AQ50" s="48">
        <v>17</v>
      </c>
      <c r="AR50" s="122">
        <f ca="1">'JUSTIFICATIVA DE USINA'!S19</f>
        <v>-349.01283352668207</v>
      </c>
      <c r="AS50" s="122"/>
      <c r="AT50" s="123" t="str">
        <f>IF('JUSTIFICATIVA DE USINA'!T19="","",'JUSTIFICATIVA DE USINA'!T19)</f>
        <v/>
      </c>
      <c r="AU50" s="123"/>
      <c r="AV50" s="123"/>
      <c r="AW50" s="123"/>
      <c r="AX50" s="123"/>
      <c r="AY50" s="123"/>
      <c r="AZ50" s="49"/>
    </row>
    <row r="51" spans="2:52" s="46" customFormat="1" ht="75" customHeight="1">
      <c r="B51" s="47"/>
      <c r="C51" s="48">
        <v>18</v>
      </c>
      <c r="D51" s="122">
        <f ca="1">'JUSTIFICATIVA DE USINA'!C20</f>
        <v>-2435.8021388560064</v>
      </c>
      <c r="E51" s="122"/>
      <c r="F51" s="123" t="str">
        <f>IF('JUSTIFICATIVA DE USINA'!D20="","",'JUSTIFICATIVA DE USINA'!D20)</f>
        <v/>
      </c>
      <c r="G51" s="123"/>
      <c r="H51" s="123"/>
      <c r="I51" s="123"/>
      <c r="J51" s="123"/>
      <c r="K51" s="123"/>
      <c r="M51" s="48">
        <v>18</v>
      </c>
      <c r="N51" s="122">
        <f ca="1">'JUSTIFICATIVA DE USINA'!G20</f>
        <v>0</v>
      </c>
      <c r="O51" s="122"/>
      <c r="P51" s="123" t="str">
        <f>IF('JUSTIFICATIVA DE USINA'!H20="","",'JUSTIFICATIVA DE USINA'!H20)</f>
        <v/>
      </c>
      <c r="Q51" s="123"/>
      <c r="R51" s="123"/>
      <c r="S51" s="123"/>
      <c r="T51" s="123"/>
      <c r="U51" s="123"/>
      <c r="W51" s="48">
        <v>18</v>
      </c>
      <c r="X51" s="122">
        <f ca="1">'JUSTIFICATIVA DE USINA'!K20</f>
        <v>-1647.0807999999997</v>
      </c>
      <c r="Y51" s="122"/>
      <c r="Z51" s="123" t="str">
        <f>IF('JUSTIFICATIVA DE USINA'!L20="","",'JUSTIFICATIVA DE USINA'!L20)</f>
        <v/>
      </c>
      <c r="AA51" s="123"/>
      <c r="AB51" s="123"/>
      <c r="AC51" s="123"/>
      <c r="AD51" s="123"/>
      <c r="AE51" s="123"/>
      <c r="AG51" s="48">
        <v>18</v>
      </c>
      <c r="AH51" s="122">
        <f ca="1">'JUSTIFICATIVA DE USINA'!O20</f>
        <v>41.041666666666686</v>
      </c>
      <c r="AI51" s="122"/>
      <c r="AJ51" s="123" t="str">
        <f>IF('JUSTIFICATIVA DE USINA'!P20="","",'JUSTIFICATIVA DE USINA'!P20)</f>
        <v/>
      </c>
      <c r="AK51" s="123"/>
      <c r="AL51" s="123"/>
      <c r="AM51" s="123"/>
      <c r="AN51" s="123"/>
      <c r="AO51" s="123"/>
      <c r="AP51" s="104"/>
      <c r="AQ51" s="48">
        <v>18</v>
      </c>
      <c r="AR51" s="122">
        <f ca="1">'JUSTIFICATIVA DE USINA'!S20</f>
        <v>-349.01283352668207</v>
      </c>
      <c r="AS51" s="122"/>
      <c r="AT51" s="123" t="str">
        <f>IF('JUSTIFICATIVA DE USINA'!T20="","",'JUSTIFICATIVA DE USINA'!T20)</f>
        <v/>
      </c>
      <c r="AU51" s="123"/>
      <c r="AV51" s="123"/>
      <c r="AW51" s="123"/>
      <c r="AX51" s="123"/>
      <c r="AY51" s="123"/>
      <c r="AZ51" s="49"/>
    </row>
    <row r="52" spans="2:52" s="46" customFormat="1" ht="75" customHeight="1">
      <c r="B52" s="47"/>
      <c r="C52" s="48">
        <v>19</v>
      </c>
      <c r="D52" s="122">
        <f ca="1">'JUSTIFICATIVA DE USINA'!C21</f>
        <v>-3263.7066405226633</v>
      </c>
      <c r="E52" s="122"/>
      <c r="F52" s="123" t="str">
        <f>IF('JUSTIFICATIVA DE USINA'!D21="","",'JUSTIFICATIVA DE USINA'!D21)</f>
        <v/>
      </c>
      <c r="G52" s="123"/>
      <c r="H52" s="123"/>
      <c r="I52" s="123"/>
      <c r="J52" s="123"/>
      <c r="K52" s="123"/>
      <c r="M52" s="48">
        <v>19</v>
      </c>
      <c r="N52" s="122">
        <f ca="1">'JUSTIFICATIVA DE USINA'!G21</f>
        <v>0</v>
      </c>
      <c r="O52" s="122"/>
      <c r="P52" s="123" t="str">
        <f>IF('JUSTIFICATIVA DE USINA'!H21="","",'JUSTIFICATIVA DE USINA'!H21)</f>
        <v/>
      </c>
      <c r="Q52" s="123"/>
      <c r="R52" s="123"/>
      <c r="S52" s="123"/>
      <c r="T52" s="123"/>
      <c r="U52" s="123"/>
      <c r="W52" s="48">
        <v>19</v>
      </c>
      <c r="X52" s="122">
        <f ca="1">'JUSTIFICATIVA DE USINA'!K21</f>
        <v>-1825.6175999999998</v>
      </c>
      <c r="Y52" s="122"/>
      <c r="Z52" s="123" t="str">
        <f>IF('JUSTIFICATIVA DE USINA'!L21="","",'JUSTIFICATIVA DE USINA'!L21)</f>
        <v/>
      </c>
      <c r="AA52" s="123"/>
      <c r="AB52" s="123"/>
      <c r="AC52" s="123"/>
      <c r="AD52" s="123"/>
      <c r="AE52" s="123"/>
      <c r="AG52" s="48">
        <v>19</v>
      </c>
      <c r="AH52" s="122">
        <f ca="1">'JUSTIFICATIVA DE USINA'!O21</f>
        <v>-142.95833333333331</v>
      </c>
      <c r="AI52" s="122"/>
      <c r="AJ52" s="123" t="str">
        <f>IF('JUSTIFICATIVA DE USINA'!P21="","",'JUSTIFICATIVA DE USINA'!P21)</f>
        <v/>
      </c>
      <c r="AK52" s="123"/>
      <c r="AL52" s="123"/>
      <c r="AM52" s="123"/>
      <c r="AN52" s="123"/>
      <c r="AO52" s="123"/>
      <c r="AP52" s="104"/>
      <c r="AQ52" s="48">
        <v>19</v>
      </c>
      <c r="AR52" s="122">
        <f ca="1">'JUSTIFICATIVA DE USINA'!S21</f>
        <v>-349.01283352668207</v>
      </c>
      <c r="AS52" s="122"/>
      <c r="AT52" s="123" t="str">
        <f>IF('JUSTIFICATIVA DE USINA'!T21="","",'JUSTIFICATIVA DE USINA'!T21)</f>
        <v/>
      </c>
      <c r="AU52" s="123"/>
      <c r="AV52" s="123"/>
      <c r="AW52" s="123"/>
      <c r="AX52" s="123"/>
      <c r="AY52" s="123"/>
      <c r="AZ52" s="49"/>
    </row>
    <row r="53" spans="2:52" s="46" customFormat="1" ht="75" customHeight="1">
      <c r="B53" s="47"/>
      <c r="C53" s="48">
        <v>20</v>
      </c>
      <c r="D53" s="122">
        <f ca="1">'JUSTIFICATIVA DE USINA'!C22</f>
        <v>-3430.1960401394153</v>
      </c>
      <c r="E53" s="122"/>
      <c r="F53" s="123" t="str">
        <f>IF('JUSTIFICATIVA DE USINA'!D22="","",'JUSTIFICATIVA DE USINA'!D22)</f>
        <v/>
      </c>
      <c r="G53" s="123"/>
      <c r="H53" s="123"/>
      <c r="I53" s="123"/>
      <c r="J53" s="123"/>
      <c r="K53" s="123"/>
      <c r="M53" s="48">
        <v>20</v>
      </c>
      <c r="N53" s="122">
        <f ca="1">'JUSTIFICATIVA DE USINA'!G22</f>
        <v>0</v>
      </c>
      <c r="O53" s="122"/>
      <c r="P53" s="123" t="str">
        <f>IF('JUSTIFICATIVA DE USINA'!H22="","",'JUSTIFICATIVA DE USINA'!H22)</f>
        <v/>
      </c>
      <c r="Q53" s="123"/>
      <c r="R53" s="123"/>
      <c r="S53" s="123"/>
      <c r="T53" s="123"/>
      <c r="U53" s="123"/>
      <c r="W53" s="48">
        <v>20</v>
      </c>
      <c r="X53" s="122">
        <f ca="1">'JUSTIFICATIVA DE USINA'!K22</f>
        <v>-1968.7895999999998</v>
      </c>
      <c r="Y53" s="122"/>
      <c r="Z53" s="123" t="str">
        <f>IF('JUSTIFICATIVA DE USINA'!L22="","",'JUSTIFICATIVA DE USINA'!L22)</f>
        <v/>
      </c>
      <c r="AA53" s="123"/>
      <c r="AB53" s="123"/>
      <c r="AC53" s="123"/>
      <c r="AD53" s="123"/>
      <c r="AE53" s="123"/>
      <c r="AG53" s="48">
        <v>20</v>
      </c>
      <c r="AH53" s="122">
        <f ca="1">'JUSTIFICATIVA DE USINA'!O22</f>
        <v>-104.95833333333331</v>
      </c>
      <c r="AI53" s="122"/>
      <c r="AJ53" s="123" t="str">
        <f>IF('JUSTIFICATIVA DE USINA'!P22="","",'JUSTIFICATIVA DE USINA'!P22)</f>
        <v/>
      </c>
      <c r="AK53" s="123"/>
      <c r="AL53" s="123"/>
      <c r="AM53" s="123"/>
      <c r="AN53" s="123"/>
      <c r="AO53" s="123"/>
      <c r="AP53" s="104"/>
      <c r="AQ53" s="48">
        <v>20</v>
      </c>
      <c r="AR53" s="122">
        <f ca="1">'JUSTIFICATIVA DE USINA'!S22</f>
        <v>-349.01283352668207</v>
      </c>
      <c r="AS53" s="122"/>
      <c r="AT53" s="123" t="str">
        <f>IF('JUSTIFICATIVA DE USINA'!T22="","",'JUSTIFICATIVA DE USINA'!T22)</f>
        <v/>
      </c>
      <c r="AU53" s="123"/>
      <c r="AV53" s="123"/>
      <c r="AW53" s="123"/>
      <c r="AX53" s="123"/>
      <c r="AY53" s="123"/>
      <c r="AZ53" s="49"/>
    </row>
    <row r="54" spans="2:52" s="46" customFormat="1" ht="75" customHeight="1">
      <c r="B54" s="47"/>
      <c r="C54" s="48">
        <v>21</v>
      </c>
      <c r="D54" s="122">
        <f ca="1">'JUSTIFICATIVA DE USINA'!C23</f>
        <v>-5271.4407399477877</v>
      </c>
      <c r="E54" s="122"/>
      <c r="F54" s="123" t="str">
        <f>IF('JUSTIFICATIVA DE USINA'!D23="","",'JUSTIFICATIVA DE USINA'!D23)</f>
        <v/>
      </c>
      <c r="G54" s="123"/>
      <c r="H54" s="123"/>
      <c r="I54" s="123"/>
      <c r="J54" s="123"/>
      <c r="K54" s="123"/>
      <c r="M54" s="48">
        <v>21</v>
      </c>
      <c r="N54" s="122">
        <f ca="1">'JUSTIFICATIVA DE USINA'!G23</f>
        <v>16</v>
      </c>
      <c r="O54" s="122"/>
      <c r="P54" s="123" t="str">
        <f>IF('JUSTIFICATIVA DE USINA'!H23="","",'JUSTIFICATIVA DE USINA'!H23)</f>
        <v/>
      </c>
      <c r="Q54" s="123"/>
      <c r="R54" s="123"/>
      <c r="S54" s="123"/>
      <c r="T54" s="123"/>
      <c r="U54" s="123"/>
      <c r="W54" s="48">
        <v>21</v>
      </c>
      <c r="X54" s="122">
        <f ca="1">'JUSTIFICATIVA DE USINA'!K23</f>
        <v>-127.08079999999973</v>
      </c>
      <c r="Y54" s="122"/>
      <c r="Z54" s="123" t="str">
        <f>IF('JUSTIFICATIVA DE USINA'!L23="","",'JUSTIFICATIVA DE USINA'!L23)</f>
        <v/>
      </c>
      <c r="AA54" s="123"/>
      <c r="AB54" s="123"/>
      <c r="AC54" s="123"/>
      <c r="AD54" s="123"/>
      <c r="AE54" s="123"/>
      <c r="AG54" s="48">
        <v>21</v>
      </c>
      <c r="AH54" s="122">
        <f ca="1">'JUSTIFICATIVA DE USINA'!O23</f>
        <v>55.041666666666686</v>
      </c>
      <c r="AI54" s="122"/>
      <c r="AJ54" s="123" t="str">
        <f>IF('JUSTIFICATIVA DE USINA'!P23="","",'JUSTIFICATIVA DE USINA'!P23)</f>
        <v/>
      </c>
      <c r="AK54" s="123"/>
      <c r="AL54" s="123"/>
      <c r="AM54" s="123"/>
      <c r="AN54" s="123"/>
      <c r="AO54" s="123"/>
      <c r="AP54" s="104"/>
      <c r="AQ54" s="48">
        <v>21</v>
      </c>
      <c r="AR54" s="122">
        <f ca="1">'JUSTIFICATIVA DE USINA'!S23</f>
        <v>-349.01283352668207</v>
      </c>
      <c r="AS54" s="122"/>
      <c r="AT54" s="123" t="str">
        <f>IF('JUSTIFICATIVA DE USINA'!T23="","",'JUSTIFICATIVA DE USINA'!T23)</f>
        <v/>
      </c>
      <c r="AU54" s="123"/>
      <c r="AV54" s="123"/>
      <c r="AW54" s="123"/>
      <c r="AX54" s="123"/>
      <c r="AY54" s="123"/>
      <c r="AZ54" s="49"/>
    </row>
    <row r="55" spans="2:52" s="46" customFormat="1" ht="75" customHeight="1">
      <c r="B55" s="47"/>
      <c r="C55" s="48">
        <v>22</v>
      </c>
      <c r="D55" s="122">
        <f ca="1">'JUSTIFICATIVA DE USINA'!C24</f>
        <v>-4536.6455391490817</v>
      </c>
      <c r="E55" s="122"/>
      <c r="F55" s="123" t="str">
        <f>IF('JUSTIFICATIVA DE USINA'!D24="","",'JUSTIFICATIVA DE USINA'!D24)</f>
        <v/>
      </c>
      <c r="G55" s="123"/>
      <c r="H55" s="123"/>
      <c r="I55" s="123"/>
      <c r="J55" s="123"/>
      <c r="K55" s="123"/>
      <c r="M55" s="48">
        <v>22</v>
      </c>
      <c r="N55" s="122">
        <f ca="1">'JUSTIFICATIVA DE USINA'!G24</f>
        <v>7</v>
      </c>
      <c r="O55" s="122"/>
      <c r="P55" s="123" t="str">
        <f>IF('JUSTIFICATIVA DE USINA'!H24="","",'JUSTIFICATIVA DE USINA'!H24)</f>
        <v/>
      </c>
      <c r="Q55" s="123"/>
      <c r="R55" s="123"/>
      <c r="S55" s="123"/>
      <c r="T55" s="123"/>
      <c r="U55" s="123"/>
      <c r="W55" s="48">
        <v>22</v>
      </c>
      <c r="X55" s="122">
        <f ca="1">'JUSTIFICATIVA DE USINA'!K24</f>
        <v>-738.78959999999984</v>
      </c>
      <c r="Y55" s="122"/>
      <c r="Z55" s="123" t="str">
        <f>IF('JUSTIFICATIVA DE USINA'!L24="","",'JUSTIFICATIVA DE USINA'!L24)</f>
        <v/>
      </c>
      <c r="AA55" s="123"/>
      <c r="AB55" s="123"/>
      <c r="AC55" s="123"/>
      <c r="AD55" s="123"/>
      <c r="AE55" s="123"/>
      <c r="AG55" s="48">
        <v>22</v>
      </c>
      <c r="AH55" s="122">
        <f ca="1">'JUSTIFICATIVA DE USINA'!O24</f>
        <v>153.04166666666669</v>
      </c>
      <c r="AI55" s="122"/>
      <c r="AJ55" s="123" t="str">
        <f>IF('JUSTIFICATIVA DE USINA'!P24="","",'JUSTIFICATIVA DE USINA'!P24)</f>
        <v/>
      </c>
      <c r="AK55" s="123"/>
      <c r="AL55" s="123"/>
      <c r="AM55" s="123"/>
      <c r="AN55" s="123"/>
      <c r="AO55" s="123"/>
      <c r="AP55" s="104"/>
      <c r="AQ55" s="48">
        <v>22</v>
      </c>
      <c r="AR55" s="122">
        <f ca="1">'JUSTIFICATIVA DE USINA'!S24</f>
        <v>-349.01283352668207</v>
      </c>
      <c r="AS55" s="122"/>
      <c r="AT55" s="123" t="str">
        <f>IF('JUSTIFICATIVA DE USINA'!T24="","",'JUSTIFICATIVA DE USINA'!T24)</f>
        <v/>
      </c>
      <c r="AU55" s="123"/>
      <c r="AV55" s="123"/>
      <c r="AW55" s="123"/>
      <c r="AX55" s="123"/>
      <c r="AY55" s="123"/>
      <c r="AZ55" s="49"/>
    </row>
    <row r="56" spans="2:52" s="46" customFormat="1" ht="75" customHeight="1">
      <c r="B56" s="47"/>
      <c r="C56" s="48">
        <v>23</v>
      </c>
      <c r="D56" s="122">
        <f ca="1">'JUSTIFICATIVA DE USINA'!C25</f>
        <v>-2630.1587385629336</v>
      </c>
      <c r="E56" s="122"/>
      <c r="F56" s="123" t="str">
        <f>IF('JUSTIFICATIVA DE USINA'!D25="","",'JUSTIFICATIVA DE USINA'!D25)</f>
        <v/>
      </c>
      <c r="G56" s="123"/>
      <c r="H56" s="123"/>
      <c r="I56" s="123"/>
      <c r="J56" s="123"/>
      <c r="K56" s="123"/>
      <c r="M56" s="48">
        <v>23</v>
      </c>
      <c r="N56" s="122">
        <f ca="1">'JUSTIFICATIVA DE USINA'!G25</f>
        <v>0</v>
      </c>
      <c r="O56" s="122"/>
      <c r="P56" s="123" t="str">
        <f>IF('JUSTIFICATIVA DE USINA'!H25="","",'JUSTIFICATIVA DE USINA'!H25)</f>
        <v/>
      </c>
      <c r="Q56" s="123"/>
      <c r="R56" s="123"/>
      <c r="S56" s="123"/>
      <c r="T56" s="123"/>
      <c r="U56" s="123"/>
      <c r="W56" s="48">
        <v>23</v>
      </c>
      <c r="X56" s="122">
        <f ca="1">'JUSTIFICATIVA DE USINA'!K25</f>
        <v>-1759.0351999999998</v>
      </c>
      <c r="Y56" s="122"/>
      <c r="Z56" s="123" t="str">
        <f>IF('JUSTIFICATIVA DE USINA'!L25="","",'JUSTIFICATIVA DE USINA'!L25)</f>
        <v/>
      </c>
      <c r="AA56" s="123"/>
      <c r="AB56" s="123"/>
      <c r="AC56" s="123"/>
      <c r="AD56" s="123"/>
      <c r="AE56" s="123"/>
      <c r="AG56" s="48">
        <v>23</v>
      </c>
      <c r="AH56" s="122">
        <f ca="1">'JUSTIFICATIVA DE USINA'!O25</f>
        <v>-40.958333333333314</v>
      </c>
      <c r="AI56" s="122"/>
      <c r="AJ56" s="123" t="str">
        <f>IF('JUSTIFICATIVA DE USINA'!P25="","",'JUSTIFICATIVA DE USINA'!P25)</f>
        <v/>
      </c>
      <c r="AK56" s="123"/>
      <c r="AL56" s="123"/>
      <c r="AM56" s="123"/>
      <c r="AN56" s="123"/>
      <c r="AO56" s="123"/>
      <c r="AP56" s="104"/>
      <c r="AQ56" s="48">
        <v>23</v>
      </c>
      <c r="AR56" s="122">
        <f ca="1">'JUSTIFICATIVA DE USINA'!S25</f>
        <v>-349.01283352668207</v>
      </c>
      <c r="AS56" s="122"/>
      <c r="AT56" s="123" t="str">
        <f>IF('JUSTIFICATIVA DE USINA'!T25="","",'JUSTIFICATIVA DE USINA'!T25)</f>
        <v/>
      </c>
      <c r="AU56" s="123"/>
      <c r="AV56" s="123"/>
      <c r="AW56" s="123"/>
      <c r="AX56" s="123"/>
      <c r="AY56" s="123"/>
      <c r="AZ56" s="49"/>
    </row>
    <row r="57" spans="2:52" s="46" customFormat="1" ht="75" customHeight="1">
      <c r="B57" s="47"/>
      <c r="C57" s="48">
        <v>24</v>
      </c>
      <c r="D57" s="122">
        <f ca="1">'JUSTIFICATIVA DE USINA'!C26</f>
        <v>-1131.3726424228134</v>
      </c>
      <c r="E57" s="122"/>
      <c r="F57" s="123" t="str">
        <f>IF('JUSTIFICATIVA DE USINA'!D26="","",'JUSTIFICATIVA DE USINA'!D26)</f>
        <v/>
      </c>
      <c r="G57" s="123"/>
      <c r="H57" s="123"/>
      <c r="I57" s="123"/>
      <c r="J57" s="123"/>
      <c r="K57" s="123"/>
      <c r="M57" s="48">
        <v>24</v>
      </c>
      <c r="N57" s="122">
        <f ca="1">'JUSTIFICATIVA DE USINA'!G26</f>
        <v>139</v>
      </c>
      <c r="O57" s="122"/>
      <c r="P57" s="123" t="str">
        <f>IF('JUSTIFICATIVA DE USINA'!H26="","",'JUSTIFICATIVA DE USINA'!H26)</f>
        <v/>
      </c>
      <c r="Q57" s="123"/>
      <c r="R57" s="123"/>
      <c r="S57" s="123"/>
      <c r="T57" s="123"/>
      <c r="U57" s="123"/>
      <c r="W57" s="48">
        <v>24</v>
      </c>
      <c r="X57" s="122">
        <f ca="1">'JUSTIFICATIVA DE USINA'!K26</f>
        <v>-158.78960000000006</v>
      </c>
      <c r="Y57" s="122"/>
      <c r="Z57" s="123" t="str">
        <f>IF('JUSTIFICATIVA DE USINA'!L26="","",'JUSTIFICATIVA DE USINA'!L26)</f>
        <v/>
      </c>
      <c r="AA57" s="123"/>
      <c r="AB57" s="123"/>
      <c r="AC57" s="123"/>
      <c r="AD57" s="123"/>
      <c r="AE57" s="123"/>
      <c r="AG57" s="48">
        <v>24</v>
      </c>
      <c r="AH57" s="122">
        <f ca="1">'JUSTIFICATIVA DE USINA'!O26</f>
        <v>8.0416666666666856</v>
      </c>
      <c r="AI57" s="122"/>
      <c r="AJ57" s="123" t="str">
        <f>IF('JUSTIFICATIVA DE USINA'!P26="","",'JUSTIFICATIVA DE USINA'!P26)</f>
        <v/>
      </c>
      <c r="AK57" s="123"/>
      <c r="AL57" s="123"/>
      <c r="AM57" s="123"/>
      <c r="AN57" s="123"/>
      <c r="AO57" s="123"/>
      <c r="AP57" s="104"/>
      <c r="AQ57" s="48">
        <v>24</v>
      </c>
      <c r="AR57" s="122">
        <f ca="1">'JUSTIFICATIVA DE USINA'!S26</f>
        <v>-349.01283352668207</v>
      </c>
      <c r="AS57" s="122"/>
      <c r="AT57" s="123" t="str">
        <f>IF('JUSTIFICATIVA DE USINA'!T26="","",'JUSTIFICATIVA DE USINA'!T26)</f>
        <v/>
      </c>
      <c r="AU57" s="123"/>
      <c r="AV57" s="123"/>
      <c r="AW57" s="123"/>
      <c r="AX57" s="123"/>
      <c r="AY57" s="123"/>
      <c r="AZ57" s="49"/>
    </row>
    <row r="58" spans="2:52" ht="16.5" customHeight="1">
      <c r="B58" s="23"/>
      <c r="AZ58" s="24"/>
    </row>
    <row r="59" spans="2:52" ht="16.5" customHeight="1">
      <c r="B59" s="23"/>
      <c r="AZ59" s="24"/>
    </row>
    <row r="60" spans="2:52" ht="16.5" customHeight="1">
      <c r="B60" s="23"/>
      <c r="AZ60" s="24"/>
    </row>
    <row r="61" spans="2:52" ht="16.5" customHeight="1">
      <c r="B61" s="23"/>
      <c r="AZ61" s="24"/>
    </row>
    <row r="62" spans="2:52" ht="16.5" customHeight="1">
      <c r="B62" s="23"/>
      <c r="AZ62" s="24"/>
    </row>
    <row r="63" spans="2:52" ht="16.5" customHeight="1">
      <c r="B63" s="23"/>
      <c r="AZ63" s="24"/>
    </row>
    <row r="64" spans="2:52" ht="16.5" customHeight="1">
      <c r="B64" s="23"/>
      <c r="AZ64" s="24"/>
    </row>
    <row r="65" spans="2:52" ht="16.5" customHeight="1">
      <c r="B65" s="23"/>
      <c r="AZ65" s="24"/>
    </row>
    <row r="66" spans="2:52" ht="16.5" customHeight="1">
      <c r="B66" s="23"/>
      <c r="AZ66" s="24"/>
    </row>
    <row r="67" spans="2:52" ht="16.5" customHeight="1">
      <c r="B67" s="23"/>
      <c r="AZ67" s="24"/>
    </row>
    <row r="68" spans="2:52" ht="16.5" customHeight="1">
      <c r="B68" s="23"/>
      <c r="AZ68" s="24"/>
    </row>
    <row r="69" spans="2:52" ht="16.5" customHeight="1">
      <c r="B69" s="23"/>
      <c r="AZ69" s="24"/>
    </row>
    <row r="70" spans="2:52" ht="16.5" customHeight="1">
      <c r="B70" s="23"/>
      <c r="AZ70" s="24"/>
    </row>
    <row r="71" spans="2:52" ht="16.5" customHeight="1">
      <c r="B71" s="23"/>
      <c r="AZ71" s="24"/>
    </row>
    <row r="72" spans="2:52" ht="16.5" customHeight="1" thickBot="1">
      <c r="B72" s="34"/>
      <c r="C72" s="35"/>
      <c r="D72" s="35"/>
      <c r="E72" s="35"/>
      <c r="F72" s="35"/>
      <c r="G72" s="35"/>
      <c r="H72" s="35"/>
      <c r="I72" s="35"/>
      <c r="J72" s="35"/>
      <c r="K72" s="35"/>
      <c r="L72" s="35"/>
      <c r="M72" s="35"/>
      <c r="N72" s="35"/>
      <c r="O72" s="35"/>
      <c r="P72" s="35"/>
      <c r="Q72" s="35"/>
      <c r="R72" s="35"/>
      <c r="S72" s="35"/>
      <c r="T72" s="35"/>
      <c r="U72" s="35"/>
      <c r="V72" s="35"/>
      <c r="W72" s="35"/>
      <c r="X72" s="35"/>
      <c r="Y72" s="35"/>
      <c r="Z72" s="35"/>
      <c r="AA72" s="35"/>
      <c r="AB72" s="35"/>
      <c r="AC72" s="35"/>
      <c r="AD72" s="35"/>
      <c r="AE72" s="35"/>
      <c r="AF72" s="35"/>
      <c r="AG72" s="35"/>
      <c r="AH72" s="35"/>
      <c r="AI72" s="35"/>
      <c r="AJ72" s="35"/>
      <c r="AK72" s="35"/>
      <c r="AL72" s="35"/>
      <c r="AM72" s="35"/>
      <c r="AN72" s="35"/>
      <c r="AO72" s="35"/>
      <c r="AP72" s="35"/>
      <c r="AQ72" s="35"/>
      <c r="AR72" s="35"/>
      <c r="AS72" s="35"/>
      <c r="AT72" s="35"/>
      <c r="AU72" s="35"/>
      <c r="AV72" s="35"/>
      <c r="AW72" s="35"/>
      <c r="AX72" s="35"/>
      <c r="AY72" s="35"/>
      <c r="AZ72" s="36"/>
    </row>
    <row r="73" spans="2:52" ht="19.95" customHeight="1">
      <c r="B73" s="18"/>
      <c r="C73" s="19"/>
      <c r="D73" s="19"/>
      <c r="E73" s="19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Q73" s="20"/>
      <c r="R73" s="20"/>
      <c r="S73" s="20"/>
      <c r="T73" s="20"/>
      <c r="U73" s="20"/>
      <c r="V73" s="20"/>
      <c r="W73" s="20"/>
      <c r="X73" s="20"/>
      <c r="Y73" s="20"/>
      <c r="Z73" s="20"/>
      <c r="AA73" s="20"/>
      <c r="AB73" s="20"/>
      <c r="AC73" s="20"/>
      <c r="AD73" s="20"/>
      <c r="AE73" s="20"/>
      <c r="AF73" s="20"/>
      <c r="AG73" s="20"/>
      <c r="AH73" s="20"/>
      <c r="AI73" s="20"/>
      <c r="AJ73" s="20"/>
      <c r="AK73" s="20"/>
      <c r="AL73" s="20"/>
      <c r="AM73" s="21"/>
      <c r="AN73" s="21"/>
      <c r="AO73" s="21"/>
      <c r="AP73" s="21"/>
      <c r="AQ73" s="21"/>
      <c r="AR73" s="21"/>
      <c r="AS73" s="21"/>
      <c r="AT73" s="21"/>
      <c r="AU73" s="21"/>
      <c r="AV73" s="21"/>
      <c r="AW73" s="21"/>
      <c r="AX73" s="21"/>
      <c r="AY73" s="21"/>
      <c r="AZ73" s="22"/>
    </row>
    <row r="74" spans="2:52" ht="19.95" customHeight="1">
      <c r="B74" s="23"/>
      <c r="AZ74" s="24"/>
    </row>
    <row r="75" spans="2:52" ht="19.95" customHeight="1">
      <c r="B75" s="23"/>
      <c r="AZ75" s="24"/>
    </row>
    <row r="76" spans="2:52" ht="19.95" customHeight="1">
      <c r="B76" s="23"/>
      <c r="AZ76" s="24"/>
    </row>
    <row r="77" spans="2:52" ht="19.95" customHeight="1">
      <c r="B77" s="23"/>
      <c r="AZ77" s="24"/>
    </row>
    <row r="78" spans="2:52" ht="19.95" customHeight="1">
      <c r="B78" s="23"/>
      <c r="AZ78" s="24"/>
    </row>
    <row r="79" spans="2:52" ht="19.95" customHeight="1">
      <c r="B79" s="23"/>
      <c r="AZ79" s="24"/>
    </row>
    <row r="80" spans="2:52" ht="19.95" customHeight="1">
      <c r="B80" s="23"/>
      <c r="AZ80" s="24"/>
    </row>
    <row r="81" spans="2:52" ht="19.95" customHeight="1">
      <c r="B81" s="23"/>
      <c r="AZ81" s="24"/>
    </row>
    <row r="82" spans="2:52" ht="19.95" customHeight="1">
      <c r="B82" s="23"/>
      <c r="AZ82" s="24"/>
    </row>
    <row r="83" spans="2:52" ht="19.95" customHeight="1">
      <c r="B83" s="23"/>
      <c r="AZ83" s="24"/>
    </row>
    <row r="84" spans="2:52" ht="19.95" customHeight="1">
      <c r="B84" s="23"/>
      <c r="AZ84" s="24"/>
    </row>
    <row r="85" spans="2:52" ht="19.95" customHeight="1">
      <c r="B85" s="23"/>
      <c r="AZ85" s="24"/>
    </row>
    <row r="86" spans="2:52" ht="19.95" customHeight="1">
      <c r="B86" s="23"/>
      <c r="AZ86" s="24"/>
    </row>
    <row r="87" spans="2:52" ht="19.95" customHeight="1">
      <c r="B87" s="23"/>
      <c r="AZ87" s="24"/>
    </row>
    <row r="88" spans="2:52" ht="19.95" customHeight="1">
      <c r="B88" s="23"/>
      <c r="AZ88" s="24"/>
    </row>
    <row r="89" spans="2:52" ht="19.95" customHeight="1">
      <c r="B89" s="23"/>
      <c r="AZ89" s="24"/>
    </row>
    <row r="90" spans="2:52" ht="19.95" customHeight="1">
      <c r="B90" s="23"/>
      <c r="AZ90" s="24"/>
    </row>
    <row r="91" spans="2:52" ht="19.95" customHeight="1">
      <c r="B91" s="23"/>
      <c r="AZ91" s="24"/>
    </row>
    <row r="92" spans="2:52" ht="19.95" customHeight="1">
      <c r="B92" s="23"/>
      <c r="AI92" s="120" t="s">
        <v>1</v>
      </c>
      <c r="AJ92" s="121"/>
      <c r="AK92" s="121"/>
      <c r="AL92" s="121"/>
      <c r="AM92" s="121"/>
      <c r="AN92" s="121"/>
      <c r="AO92" s="121"/>
      <c r="AP92" s="121"/>
      <c r="AQ92" s="121"/>
      <c r="AR92" s="121"/>
      <c r="AS92" s="121"/>
      <c r="AT92" s="121"/>
      <c r="AU92" s="121"/>
      <c r="AV92" s="121"/>
      <c r="AW92" s="121"/>
      <c r="AX92" s="121"/>
      <c r="AY92" s="121"/>
      <c r="AZ92" s="24"/>
    </row>
    <row r="93" spans="2:52" ht="19.95" customHeight="1">
      <c r="B93" s="23"/>
      <c r="AI93" s="120"/>
      <c r="AJ93" s="121"/>
      <c r="AK93" s="121"/>
      <c r="AL93" s="121"/>
      <c r="AM93" s="121"/>
      <c r="AN93" s="121"/>
      <c r="AO93" s="121"/>
      <c r="AP93" s="121"/>
      <c r="AQ93" s="121"/>
      <c r="AR93" s="121"/>
      <c r="AS93" s="121"/>
      <c r="AT93" s="121"/>
      <c r="AU93" s="121"/>
      <c r="AV93" s="121"/>
      <c r="AW93" s="121"/>
      <c r="AX93" s="121"/>
      <c r="AY93" s="121"/>
      <c r="AZ93" s="24"/>
    </row>
    <row r="94" spans="2:52" ht="19.95" customHeight="1">
      <c r="B94" s="23"/>
      <c r="AI94" s="113" t="str">
        <f>'JUSTIFICATIVA DE USINA'!AB3</f>
        <v>USINA 1</v>
      </c>
      <c r="AJ94" s="111"/>
      <c r="AK94" s="111"/>
      <c r="AL94" s="111"/>
      <c r="AM94" s="111"/>
      <c r="AN94" s="111"/>
      <c r="AO94" s="111"/>
      <c r="AP94" s="111"/>
      <c r="AQ94" s="111"/>
      <c r="AR94" s="111"/>
      <c r="AS94" s="111"/>
      <c r="AT94" s="111"/>
      <c r="AU94" s="111"/>
      <c r="AV94" s="111"/>
      <c r="AW94" s="111"/>
      <c r="AX94" s="111"/>
      <c r="AY94" s="112"/>
      <c r="AZ94" s="24"/>
    </row>
    <row r="95" spans="2:52" ht="19.95" customHeight="1">
      <c r="B95" s="23"/>
      <c r="AI95" s="113"/>
      <c r="AJ95" s="111"/>
      <c r="AK95" s="111"/>
      <c r="AL95" s="111"/>
      <c r="AM95" s="111"/>
      <c r="AN95" s="111"/>
      <c r="AO95" s="111"/>
      <c r="AP95" s="111"/>
      <c r="AQ95" s="111"/>
      <c r="AR95" s="111"/>
      <c r="AS95" s="111"/>
      <c r="AT95" s="111"/>
      <c r="AU95" s="111"/>
      <c r="AV95" s="111"/>
      <c r="AW95" s="111"/>
      <c r="AX95" s="111"/>
      <c r="AY95" s="112"/>
      <c r="AZ95" s="24"/>
    </row>
    <row r="96" spans="2:52" ht="19.95" customHeight="1">
      <c r="B96" s="23"/>
      <c r="AI96" s="113"/>
      <c r="AJ96" s="111"/>
      <c r="AK96" s="111"/>
      <c r="AL96" s="111"/>
      <c r="AM96" s="111"/>
      <c r="AN96" s="111"/>
      <c r="AO96" s="111"/>
      <c r="AP96" s="111"/>
      <c r="AQ96" s="111"/>
      <c r="AR96" s="111"/>
      <c r="AS96" s="111"/>
      <c r="AT96" s="111"/>
      <c r="AU96" s="111"/>
      <c r="AV96" s="111"/>
      <c r="AW96" s="111"/>
      <c r="AX96" s="111"/>
      <c r="AY96" s="112"/>
      <c r="AZ96" s="24"/>
    </row>
    <row r="97" spans="2:52" ht="19.95" customHeight="1">
      <c r="B97" s="23"/>
      <c r="AI97" s="113"/>
      <c r="AJ97" s="111"/>
      <c r="AK97" s="111"/>
      <c r="AL97" s="111"/>
      <c r="AM97" s="111"/>
      <c r="AN97" s="111"/>
      <c r="AO97" s="111"/>
      <c r="AP97" s="111"/>
      <c r="AQ97" s="111"/>
      <c r="AR97" s="111"/>
      <c r="AS97" s="111"/>
      <c r="AT97" s="111"/>
      <c r="AU97" s="111"/>
      <c r="AV97" s="111"/>
      <c r="AW97" s="111"/>
      <c r="AX97" s="111"/>
      <c r="AY97" s="112"/>
      <c r="AZ97" s="24"/>
    </row>
    <row r="98" spans="2:52" ht="19.95" customHeight="1">
      <c r="B98" s="23"/>
      <c r="AI98" s="113"/>
      <c r="AJ98" s="111"/>
      <c r="AK98" s="111"/>
      <c r="AL98" s="111"/>
      <c r="AM98" s="111"/>
      <c r="AN98" s="111"/>
      <c r="AO98" s="111"/>
      <c r="AP98" s="111"/>
      <c r="AQ98" s="111"/>
      <c r="AR98" s="111"/>
      <c r="AS98" s="111"/>
      <c r="AT98" s="111"/>
      <c r="AU98" s="111"/>
      <c r="AV98" s="111"/>
      <c r="AW98" s="111"/>
      <c r="AX98" s="111"/>
      <c r="AY98" s="112"/>
      <c r="AZ98" s="24"/>
    </row>
    <row r="99" spans="2:52" ht="19.95" customHeight="1">
      <c r="B99" s="23"/>
      <c r="AI99" s="113"/>
      <c r="AJ99" s="111"/>
      <c r="AK99" s="111"/>
      <c r="AL99" s="111"/>
      <c r="AM99" s="111"/>
      <c r="AN99" s="111"/>
      <c r="AO99" s="111"/>
      <c r="AP99" s="111"/>
      <c r="AQ99" s="111"/>
      <c r="AR99" s="111"/>
      <c r="AS99" s="111"/>
      <c r="AT99" s="111"/>
      <c r="AU99" s="111"/>
      <c r="AV99" s="111"/>
      <c r="AW99" s="111"/>
      <c r="AX99" s="111"/>
      <c r="AY99" s="112"/>
      <c r="AZ99" s="24"/>
    </row>
    <row r="100" spans="2:52" ht="19.95" customHeight="1">
      <c r="B100" s="23"/>
      <c r="AI100" s="113"/>
      <c r="AJ100" s="111"/>
      <c r="AK100" s="111"/>
      <c r="AL100" s="111"/>
      <c r="AM100" s="111"/>
      <c r="AN100" s="111"/>
      <c r="AO100" s="111"/>
      <c r="AP100" s="111"/>
      <c r="AQ100" s="111"/>
      <c r="AR100" s="111"/>
      <c r="AS100" s="111"/>
      <c r="AT100" s="111"/>
      <c r="AU100" s="111"/>
      <c r="AV100" s="111"/>
      <c r="AW100" s="111"/>
      <c r="AX100" s="111"/>
      <c r="AY100" s="112"/>
      <c r="AZ100" s="24"/>
    </row>
    <row r="101" spans="2:52" ht="19.95" customHeight="1">
      <c r="B101" s="23"/>
      <c r="AI101" s="113"/>
      <c r="AJ101" s="111"/>
      <c r="AK101" s="111"/>
      <c r="AL101" s="111"/>
      <c r="AM101" s="111"/>
      <c r="AN101" s="111"/>
      <c r="AO101" s="111"/>
      <c r="AP101" s="111"/>
      <c r="AQ101" s="111"/>
      <c r="AR101" s="111"/>
      <c r="AS101" s="111"/>
      <c r="AT101" s="111"/>
      <c r="AU101" s="111"/>
      <c r="AV101" s="111"/>
      <c r="AW101" s="111"/>
      <c r="AX101" s="111"/>
      <c r="AY101" s="112"/>
      <c r="AZ101" s="24"/>
    </row>
    <row r="102" spans="2:52" ht="19.95" customHeight="1">
      <c r="B102" s="23"/>
      <c r="AI102" s="113"/>
      <c r="AJ102" s="111"/>
      <c r="AK102" s="111"/>
      <c r="AL102" s="111"/>
      <c r="AM102" s="111"/>
      <c r="AN102" s="111"/>
      <c r="AO102" s="111"/>
      <c r="AP102" s="111"/>
      <c r="AQ102" s="111"/>
      <c r="AR102" s="111"/>
      <c r="AS102" s="111"/>
      <c r="AT102" s="111"/>
      <c r="AU102" s="111"/>
      <c r="AV102" s="111"/>
      <c r="AW102" s="111"/>
      <c r="AX102" s="111"/>
      <c r="AY102" s="112"/>
      <c r="AZ102" s="24"/>
    </row>
    <row r="103" spans="2:52" ht="19.95" customHeight="1">
      <c r="B103" s="23"/>
      <c r="AI103" s="113"/>
      <c r="AJ103" s="111"/>
      <c r="AK103" s="111"/>
      <c r="AL103" s="111"/>
      <c r="AM103" s="111"/>
      <c r="AN103" s="111"/>
      <c r="AO103" s="111"/>
      <c r="AP103" s="111"/>
      <c r="AQ103" s="111"/>
      <c r="AR103" s="111"/>
      <c r="AS103" s="111"/>
      <c r="AT103" s="111"/>
      <c r="AU103" s="111"/>
      <c r="AV103" s="111"/>
      <c r="AW103" s="111"/>
      <c r="AX103" s="111"/>
      <c r="AY103" s="112"/>
      <c r="AZ103" s="24"/>
    </row>
    <row r="104" spans="2:52" ht="19.95" customHeight="1">
      <c r="B104" s="23"/>
      <c r="AI104" s="113"/>
      <c r="AJ104" s="111"/>
      <c r="AK104" s="111"/>
      <c r="AL104" s="111"/>
      <c r="AM104" s="111"/>
      <c r="AN104" s="111"/>
      <c r="AO104" s="111"/>
      <c r="AP104" s="111"/>
      <c r="AQ104" s="111"/>
      <c r="AR104" s="111"/>
      <c r="AS104" s="111"/>
      <c r="AT104" s="111"/>
      <c r="AU104" s="111"/>
      <c r="AV104" s="111"/>
      <c r="AW104" s="111"/>
      <c r="AX104" s="111"/>
      <c r="AY104" s="112"/>
      <c r="AZ104" s="24"/>
    </row>
    <row r="105" spans="2:52" ht="19.95" customHeight="1">
      <c r="B105" s="23"/>
      <c r="AI105" s="113"/>
      <c r="AJ105" s="111"/>
      <c r="AK105" s="111"/>
      <c r="AL105" s="111"/>
      <c r="AM105" s="111"/>
      <c r="AN105" s="111"/>
      <c r="AO105" s="111"/>
      <c r="AP105" s="111"/>
      <c r="AQ105" s="111"/>
      <c r="AR105" s="111"/>
      <c r="AS105" s="111"/>
      <c r="AT105" s="111"/>
      <c r="AU105" s="111"/>
      <c r="AV105" s="111"/>
      <c r="AW105" s="111"/>
      <c r="AX105" s="111"/>
      <c r="AY105" s="112"/>
      <c r="AZ105" s="24"/>
    </row>
    <row r="106" spans="2:52" ht="19.95" customHeight="1">
      <c r="B106" s="23"/>
      <c r="AI106" s="113"/>
      <c r="AJ106" s="111"/>
      <c r="AK106" s="111"/>
      <c r="AL106" s="111"/>
      <c r="AM106" s="111"/>
      <c r="AN106" s="111"/>
      <c r="AO106" s="111"/>
      <c r="AP106" s="111"/>
      <c r="AQ106" s="111"/>
      <c r="AR106" s="111"/>
      <c r="AS106" s="111"/>
      <c r="AT106" s="111"/>
      <c r="AU106" s="111"/>
      <c r="AV106" s="111"/>
      <c r="AW106" s="111"/>
      <c r="AX106" s="111"/>
      <c r="AY106" s="112"/>
      <c r="AZ106" s="24"/>
    </row>
    <row r="107" spans="2:52" ht="19.95" customHeight="1" thickBot="1">
      <c r="B107" s="23"/>
      <c r="AI107" s="114"/>
      <c r="AJ107" s="115"/>
      <c r="AK107" s="115"/>
      <c r="AL107" s="115"/>
      <c r="AM107" s="115"/>
      <c r="AN107" s="115"/>
      <c r="AO107" s="115"/>
      <c r="AP107" s="115"/>
      <c r="AQ107" s="115"/>
      <c r="AR107" s="115"/>
      <c r="AS107" s="115"/>
      <c r="AT107" s="115"/>
      <c r="AU107" s="115"/>
      <c r="AV107" s="115"/>
      <c r="AW107" s="115"/>
      <c r="AX107" s="115"/>
      <c r="AY107" s="116"/>
      <c r="AZ107" s="24"/>
    </row>
    <row r="108" spans="2:52" ht="19.95" customHeight="1">
      <c r="B108" s="23"/>
      <c r="AZ108" s="24"/>
    </row>
    <row r="109" spans="2:52" ht="19.95" customHeight="1">
      <c r="B109" s="23"/>
      <c r="AI109" s="120" t="s">
        <v>2</v>
      </c>
      <c r="AJ109" s="121"/>
      <c r="AK109" s="121"/>
      <c r="AL109" s="121"/>
      <c r="AM109" s="121"/>
      <c r="AN109" s="121"/>
      <c r="AO109" s="121"/>
      <c r="AP109" s="121"/>
      <c r="AQ109" s="121"/>
      <c r="AR109" s="121"/>
      <c r="AS109" s="121"/>
      <c r="AT109" s="121"/>
      <c r="AU109" s="121"/>
      <c r="AV109" s="121"/>
      <c r="AW109" s="121"/>
      <c r="AX109" s="121"/>
      <c r="AY109" s="121"/>
      <c r="AZ109" s="24"/>
    </row>
    <row r="110" spans="2:52" ht="19.95" customHeight="1">
      <c r="B110" s="23"/>
      <c r="AI110" s="120"/>
      <c r="AJ110" s="121"/>
      <c r="AK110" s="121"/>
      <c r="AL110" s="121"/>
      <c r="AM110" s="121"/>
      <c r="AN110" s="121"/>
      <c r="AO110" s="121"/>
      <c r="AP110" s="121"/>
      <c r="AQ110" s="121"/>
      <c r="AR110" s="121"/>
      <c r="AS110" s="121"/>
      <c r="AT110" s="121"/>
      <c r="AU110" s="121"/>
      <c r="AV110" s="121"/>
      <c r="AW110" s="121"/>
      <c r="AX110" s="121"/>
      <c r="AY110" s="121"/>
      <c r="AZ110" s="24"/>
    </row>
    <row r="111" spans="2:52" ht="19.95" customHeight="1">
      <c r="B111" s="23"/>
      <c r="AI111" s="110" t="str">
        <f>'JUSTIFICATIVA DE USINA'!AN3</f>
        <v>USINA 2</v>
      </c>
      <c r="AJ111" s="111"/>
      <c r="AK111" s="111"/>
      <c r="AL111" s="111"/>
      <c r="AM111" s="111"/>
      <c r="AN111" s="111"/>
      <c r="AO111" s="111"/>
      <c r="AP111" s="111"/>
      <c r="AQ111" s="111"/>
      <c r="AR111" s="111"/>
      <c r="AS111" s="111"/>
      <c r="AT111" s="111"/>
      <c r="AU111" s="111"/>
      <c r="AV111" s="111"/>
      <c r="AW111" s="111"/>
      <c r="AX111" s="111"/>
      <c r="AY111" s="112"/>
      <c r="AZ111" s="24"/>
    </row>
    <row r="112" spans="2:52" ht="19.95" customHeight="1">
      <c r="B112" s="23"/>
      <c r="AI112" s="113"/>
      <c r="AJ112" s="111"/>
      <c r="AK112" s="111"/>
      <c r="AL112" s="111"/>
      <c r="AM112" s="111"/>
      <c r="AN112" s="111"/>
      <c r="AO112" s="111"/>
      <c r="AP112" s="111"/>
      <c r="AQ112" s="111"/>
      <c r="AR112" s="111"/>
      <c r="AS112" s="111"/>
      <c r="AT112" s="111"/>
      <c r="AU112" s="111"/>
      <c r="AV112" s="111"/>
      <c r="AW112" s="111"/>
      <c r="AX112" s="111"/>
      <c r="AY112" s="112"/>
      <c r="AZ112" s="24"/>
    </row>
    <row r="113" spans="2:52" ht="19.95" customHeight="1">
      <c r="B113" s="23"/>
      <c r="AI113" s="113"/>
      <c r="AJ113" s="111"/>
      <c r="AK113" s="111"/>
      <c r="AL113" s="111"/>
      <c r="AM113" s="111"/>
      <c r="AN113" s="111"/>
      <c r="AO113" s="111"/>
      <c r="AP113" s="111"/>
      <c r="AQ113" s="111"/>
      <c r="AR113" s="111"/>
      <c r="AS113" s="111"/>
      <c r="AT113" s="111"/>
      <c r="AU113" s="111"/>
      <c r="AV113" s="111"/>
      <c r="AW113" s="111"/>
      <c r="AX113" s="111"/>
      <c r="AY113" s="112"/>
      <c r="AZ113" s="24"/>
    </row>
    <row r="114" spans="2:52" ht="19.95" customHeight="1">
      <c r="B114" s="23"/>
      <c r="AI114" s="113"/>
      <c r="AJ114" s="111"/>
      <c r="AK114" s="111"/>
      <c r="AL114" s="111"/>
      <c r="AM114" s="111"/>
      <c r="AN114" s="111"/>
      <c r="AO114" s="111"/>
      <c r="AP114" s="111"/>
      <c r="AQ114" s="111"/>
      <c r="AR114" s="111"/>
      <c r="AS114" s="111"/>
      <c r="AT114" s="111"/>
      <c r="AU114" s="111"/>
      <c r="AV114" s="111"/>
      <c r="AW114" s="111"/>
      <c r="AX114" s="111"/>
      <c r="AY114" s="112"/>
      <c r="AZ114" s="24"/>
    </row>
    <row r="115" spans="2:52" ht="19.95" customHeight="1">
      <c r="B115" s="23"/>
      <c r="AI115" s="113"/>
      <c r="AJ115" s="111"/>
      <c r="AK115" s="111"/>
      <c r="AL115" s="111"/>
      <c r="AM115" s="111"/>
      <c r="AN115" s="111"/>
      <c r="AO115" s="111"/>
      <c r="AP115" s="111"/>
      <c r="AQ115" s="111"/>
      <c r="AR115" s="111"/>
      <c r="AS115" s="111"/>
      <c r="AT115" s="111"/>
      <c r="AU115" s="111"/>
      <c r="AV115" s="111"/>
      <c r="AW115" s="111"/>
      <c r="AX115" s="111"/>
      <c r="AY115" s="112"/>
      <c r="AZ115" s="24"/>
    </row>
    <row r="116" spans="2:52" ht="19.95" customHeight="1">
      <c r="B116" s="23"/>
      <c r="AI116" s="113"/>
      <c r="AJ116" s="111"/>
      <c r="AK116" s="111"/>
      <c r="AL116" s="111"/>
      <c r="AM116" s="111"/>
      <c r="AN116" s="111"/>
      <c r="AO116" s="111"/>
      <c r="AP116" s="111"/>
      <c r="AQ116" s="111"/>
      <c r="AR116" s="111"/>
      <c r="AS116" s="111"/>
      <c r="AT116" s="111"/>
      <c r="AU116" s="111"/>
      <c r="AV116" s="111"/>
      <c r="AW116" s="111"/>
      <c r="AX116" s="111"/>
      <c r="AY116" s="112"/>
      <c r="AZ116" s="24"/>
    </row>
    <row r="117" spans="2:52" ht="19.95" customHeight="1">
      <c r="B117" s="23"/>
      <c r="AI117" s="113"/>
      <c r="AJ117" s="111"/>
      <c r="AK117" s="111"/>
      <c r="AL117" s="111"/>
      <c r="AM117" s="111"/>
      <c r="AN117" s="111"/>
      <c r="AO117" s="111"/>
      <c r="AP117" s="111"/>
      <c r="AQ117" s="111"/>
      <c r="AR117" s="111"/>
      <c r="AS117" s="111"/>
      <c r="AT117" s="111"/>
      <c r="AU117" s="111"/>
      <c r="AV117" s="111"/>
      <c r="AW117" s="111"/>
      <c r="AX117" s="111"/>
      <c r="AY117" s="112"/>
      <c r="AZ117" s="24"/>
    </row>
    <row r="118" spans="2:52" ht="19.95" customHeight="1">
      <c r="B118" s="23"/>
      <c r="AI118" s="113"/>
      <c r="AJ118" s="111"/>
      <c r="AK118" s="111"/>
      <c r="AL118" s="111"/>
      <c r="AM118" s="111"/>
      <c r="AN118" s="111"/>
      <c r="AO118" s="111"/>
      <c r="AP118" s="111"/>
      <c r="AQ118" s="111"/>
      <c r="AR118" s="111"/>
      <c r="AS118" s="111"/>
      <c r="AT118" s="111"/>
      <c r="AU118" s="111"/>
      <c r="AV118" s="111"/>
      <c r="AW118" s="111"/>
      <c r="AX118" s="111"/>
      <c r="AY118" s="112"/>
      <c r="AZ118" s="24"/>
    </row>
    <row r="119" spans="2:52" ht="19.95" customHeight="1">
      <c r="B119" s="23"/>
      <c r="AI119" s="113"/>
      <c r="AJ119" s="111"/>
      <c r="AK119" s="111"/>
      <c r="AL119" s="111"/>
      <c r="AM119" s="111"/>
      <c r="AN119" s="111"/>
      <c r="AO119" s="111"/>
      <c r="AP119" s="111"/>
      <c r="AQ119" s="111"/>
      <c r="AR119" s="111"/>
      <c r="AS119" s="111"/>
      <c r="AT119" s="111"/>
      <c r="AU119" s="111"/>
      <c r="AV119" s="111"/>
      <c r="AW119" s="111"/>
      <c r="AX119" s="111"/>
      <c r="AY119" s="112"/>
      <c r="AZ119" s="24"/>
    </row>
    <row r="120" spans="2:52" ht="19.95" customHeight="1">
      <c r="B120" s="23"/>
      <c r="AI120" s="113"/>
      <c r="AJ120" s="111"/>
      <c r="AK120" s="111"/>
      <c r="AL120" s="111"/>
      <c r="AM120" s="111"/>
      <c r="AN120" s="111"/>
      <c r="AO120" s="111"/>
      <c r="AP120" s="111"/>
      <c r="AQ120" s="111"/>
      <c r="AR120" s="111"/>
      <c r="AS120" s="111"/>
      <c r="AT120" s="111"/>
      <c r="AU120" s="111"/>
      <c r="AV120" s="111"/>
      <c r="AW120" s="111"/>
      <c r="AX120" s="111"/>
      <c r="AY120" s="112"/>
      <c r="AZ120" s="24"/>
    </row>
    <row r="121" spans="2:52" ht="19.95" customHeight="1">
      <c r="B121" s="23"/>
      <c r="AI121" s="113"/>
      <c r="AJ121" s="111"/>
      <c r="AK121" s="111"/>
      <c r="AL121" s="111"/>
      <c r="AM121" s="111"/>
      <c r="AN121" s="111"/>
      <c r="AO121" s="111"/>
      <c r="AP121" s="111"/>
      <c r="AQ121" s="111"/>
      <c r="AR121" s="111"/>
      <c r="AS121" s="111"/>
      <c r="AT121" s="111"/>
      <c r="AU121" s="111"/>
      <c r="AV121" s="111"/>
      <c r="AW121" s="111"/>
      <c r="AX121" s="111"/>
      <c r="AY121" s="112"/>
      <c r="AZ121" s="24"/>
    </row>
    <row r="122" spans="2:52" ht="19.95" customHeight="1">
      <c r="B122" s="23"/>
      <c r="AI122" s="113"/>
      <c r="AJ122" s="111"/>
      <c r="AK122" s="111"/>
      <c r="AL122" s="111"/>
      <c r="AM122" s="111"/>
      <c r="AN122" s="111"/>
      <c r="AO122" s="111"/>
      <c r="AP122" s="111"/>
      <c r="AQ122" s="111"/>
      <c r="AR122" s="111"/>
      <c r="AS122" s="111"/>
      <c r="AT122" s="111"/>
      <c r="AU122" s="111"/>
      <c r="AV122" s="111"/>
      <c r="AW122" s="111"/>
      <c r="AX122" s="111"/>
      <c r="AY122" s="112"/>
      <c r="AZ122" s="24"/>
    </row>
    <row r="123" spans="2:52" ht="19.95" customHeight="1">
      <c r="B123" s="23"/>
      <c r="AI123" s="113"/>
      <c r="AJ123" s="111"/>
      <c r="AK123" s="111"/>
      <c r="AL123" s="111"/>
      <c r="AM123" s="111"/>
      <c r="AN123" s="111"/>
      <c r="AO123" s="111"/>
      <c r="AP123" s="111"/>
      <c r="AQ123" s="111"/>
      <c r="AR123" s="111"/>
      <c r="AS123" s="111"/>
      <c r="AT123" s="111"/>
      <c r="AU123" s="111"/>
      <c r="AV123" s="111"/>
      <c r="AW123" s="111"/>
      <c r="AX123" s="111"/>
      <c r="AY123" s="112"/>
      <c r="AZ123" s="24"/>
    </row>
    <row r="124" spans="2:52" ht="19.95" customHeight="1" thickBot="1">
      <c r="B124" s="23"/>
      <c r="AI124" s="114"/>
      <c r="AJ124" s="115"/>
      <c r="AK124" s="115"/>
      <c r="AL124" s="115"/>
      <c r="AM124" s="115"/>
      <c r="AN124" s="115"/>
      <c r="AO124" s="115"/>
      <c r="AP124" s="115"/>
      <c r="AQ124" s="115"/>
      <c r="AR124" s="115"/>
      <c r="AS124" s="115"/>
      <c r="AT124" s="115"/>
      <c r="AU124" s="115"/>
      <c r="AV124" s="115"/>
      <c r="AW124" s="115"/>
      <c r="AX124" s="115"/>
      <c r="AY124" s="116"/>
      <c r="AZ124" s="24"/>
    </row>
    <row r="125" spans="2:52" ht="19.95" customHeight="1">
      <c r="B125" s="23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 s="24"/>
    </row>
    <row r="126" spans="2:52" ht="19.95" customHeight="1">
      <c r="B126" s="23"/>
      <c r="AI126" s="120" t="s">
        <v>3</v>
      </c>
      <c r="AJ126" s="121"/>
      <c r="AK126" s="121"/>
      <c r="AL126" s="121"/>
      <c r="AM126" s="121"/>
      <c r="AN126" s="121"/>
      <c r="AO126" s="121"/>
      <c r="AP126" s="121"/>
      <c r="AQ126" s="121"/>
      <c r="AR126" s="121"/>
      <c r="AS126" s="121"/>
      <c r="AT126" s="121"/>
      <c r="AU126" s="121"/>
      <c r="AV126" s="121"/>
      <c r="AW126" s="121"/>
      <c r="AX126" s="121"/>
      <c r="AY126" s="121"/>
      <c r="AZ126" s="24"/>
    </row>
    <row r="127" spans="2:52" ht="19.95" customHeight="1">
      <c r="B127" s="23"/>
      <c r="AI127" s="120"/>
      <c r="AJ127" s="121"/>
      <c r="AK127" s="121"/>
      <c r="AL127" s="121"/>
      <c r="AM127" s="121"/>
      <c r="AN127" s="121"/>
      <c r="AO127" s="121"/>
      <c r="AP127" s="121"/>
      <c r="AQ127" s="121"/>
      <c r="AR127" s="121"/>
      <c r="AS127" s="121"/>
      <c r="AT127" s="121"/>
      <c r="AU127" s="121"/>
      <c r="AV127" s="121"/>
      <c r="AW127" s="121"/>
      <c r="AX127" s="121"/>
      <c r="AY127" s="121"/>
      <c r="AZ127" s="24"/>
    </row>
    <row r="128" spans="2:52" ht="19.95" customHeight="1">
      <c r="B128" s="23"/>
      <c r="AI128" s="110" t="str">
        <f>'JUSTIFICATIVA DE USINA'!AZ3</f>
        <v xml:space="preserve">USINA 3
</v>
      </c>
      <c r="AJ128" s="111"/>
      <c r="AK128" s="111"/>
      <c r="AL128" s="111"/>
      <c r="AM128" s="111"/>
      <c r="AN128" s="111"/>
      <c r="AO128" s="111"/>
      <c r="AP128" s="111"/>
      <c r="AQ128" s="111"/>
      <c r="AR128" s="111"/>
      <c r="AS128" s="111"/>
      <c r="AT128" s="111"/>
      <c r="AU128" s="111"/>
      <c r="AV128" s="111"/>
      <c r="AW128" s="111"/>
      <c r="AX128" s="111"/>
      <c r="AY128" s="112"/>
      <c r="AZ128" s="24"/>
    </row>
    <row r="129" spans="2:52" ht="19.95" customHeight="1">
      <c r="B129" s="23"/>
      <c r="AI129" s="113"/>
      <c r="AJ129" s="111"/>
      <c r="AK129" s="111"/>
      <c r="AL129" s="111"/>
      <c r="AM129" s="111"/>
      <c r="AN129" s="111"/>
      <c r="AO129" s="111"/>
      <c r="AP129" s="111"/>
      <c r="AQ129" s="111"/>
      <c r="AR129" s="111"/>
      <c r="AS129" s="111"/>
      <c r="AT129" s="111"/>
      <c r="AU129" s="111"/>
      <c r="AV129" s="111"/>
      <c r="AW129" s="111"/>
      <c r="AX129" s="111"/>
      <c r="AY129" s="112"/>
      <c r="AZ129" s="24"/>
    </row>
    <row r="130" spans="2:52" ht="19.95" customHeight="1">
      <c r="B130" s="23"/>
      <c r="AI130" s="113"/>
      <c r="AJ130" s="111"/>
      <c r="AK130" s="111"/>
      <c r="AL130" s="111"/>
      <c r="AM130" s="111"/>
      <c r="AN130" s="111"/>
      <c r="AO130" s="111"/>
      <c r="AP130" s="111"/>
      <c r="AQ130" s="111"/>
      <c r="AR130" s="111"/>
      <c r="AS130" s="111"/>
      <c r="AT130" s="111"/>
      <c r="AU130" s="111"/>
      <c r="AV130" s="111"/>
      <c r="AW130" s="111"/>
      <c r="AX130" s="111"/>
      <c r="AY130" s="112"/>
      <c r="AZ130" s="24"/>
    </row>
    <row r="131" spans="2:52" ht="19.95" customHeight="1">
      <c r="B131" s="23"/>
      <c r="AI131" s="113"/>
      <c r="AJ131" s="111"/>
      <c r="AK131" s="111"/>
      <c r="AL131" s="111"/>
      <c r="AM131" s="111"/>
      <c r="AN131" s="111"/>
      <c r="AO131" s="111"/>
      <c r="AP131" s="111"/>
      <c r="AQ131" s="111"/>
      <c r="AR131" s="111"/>
      <c r="AS131" s="111"/>
      <c r="AT131" s="111"/>
      <c r="AU131" s="111"/>
      <c r="AV131" s="111"/>
      <c r="AW131" s="111"/>
      <c r="AX131" s="111"/>
      <c r="AY131" s="112"/>
      <c r="AZ131" s="24"/>
    </row>
    <row r="132" spans="2:52" ht="19.95" customHeight="1">
      <c r="B132" s="23"/>
      <c r="AI132" s="113"/>
      <c r="AJ132" s="111"/>
      <c r="AK132" s="111"/>
      <c r="AL132" s="111"/>
      <c r="AM132" s="111"/>
      <c r="AN132" s="111"/>
      <c r="AO132" s="111"/>
      <c r="AP132" s="111"/>
      <c r="AQ132" s="111"/>
      <c r="AR132" s="111"/>
      <c r="AS132" s="111"/>
      <c r="AT132" s="111"/>
      <c r="AU132" s="111"/>
      <c r="AV132" s="111"/>
      <c r="AW132" s="111"/>
      <c r="AX132" s="111"/>
      <c r="AY132" s="112"/>
      <c r="AZ132" s="24"/>
    </row>
    <row r="133" spans="2:52" ht="19.95" customHeight="1">
      <c r="B133" s="23"/>
      <c r="AI133" s="113"/>
      <c r="AJ133" s="111"/>
      <c r="AK133" s="111"/>
      <c r="AL133" s="111"/>
      <c r="AM133" s="111"/>
      <c r="AN133" s="111"/>
      <c r="AO133" s="111"/>
      <c r="AP133" s="111"/>
      <c r="AQ133" s="111"/>
      <c r="AR133" s="111"/>
      <c r="AS133" s="111"/>
      <c r="AT133" s="111"/>
      <c r="AU133" s="111"/>
      <c r="AV133" s="111"/>
      <c r="AW133" s="111"/>
      <c r="AX133" s="111"/>
      <c r="AY133" s="112"/>
      <c r="AZ133" s="24"/>
    </row>
    <row r="134" spans="2:52" ht="19.95" customHeight="1">
      <c r="B134" s="23"/>
      <c r="AI134" s="113"/>
      <c r="AJ134" s="111"/>
      <c r="AK134" s="111"/>
      <c r="AL134" s="111"/>
      <c r="AM134" s="111"/>
      <c r="AN134" s="111"/>
      <c r="AO134" s="111"/>
      <c r="AP134" s="111"/>
      <c r="AQ134" s="111"/>
      <c r="AR134" s="111"/>
      <c r="AS134" s="111"/>
      <c r="AT134" s="111"/>
      <c r="AU134" s="111"/>
      <c r="AV134" s="111"/>
      <c r="AW134" s="111"/>
      <c r="AX134" s="111"/>
      <c r="AY134" s="112"/>
      <c r="AZ134" s="24"/>
    </row>
    <row r="135" spans="2:52" ht="19.95" customHeight="1">
      <c r="B135" s="23"/>
      <c r="AI135" s="113"/>
      <c r="AJ135" s="111"/>
      <c r="AK135" s="111"/>
      <c r="AL135" s="111"/>
      <c r="AM135" s="111"/>
      <c r="AN135" s="111"/>
      <c r="AO135" s="111"/>
      <c r="AP135" s="111"/>
      <c r="AQ135" s="111"/>
      <c r="AR135" s="111"/>
      <c r="AS135" s="111"/>
      <c r="AT135" s="111"/>
      <c r="AU135" s="111"/>
      <c r="AV135" s="111"/>
      <c r="AW135" s="111"/>
      <c r="AX135" s="111"/>
      <c r="AY135" s="112"/>
      <c r="AZ135" s="24"/>
    </row>
    <row r="136" spans="2:52" ht="19.95" customHeight="1">
      <c r="B136" s="23"/>
      <c r="AI136" s="113"/>
      <c r="AJ136" s="111"/>
      <c r="AK136" s="111"/>
      <c r="AL136" s="111"/>
      <c r="AM136" s="111"/>
      <c r="AN136" s="111"/>
      <c r="AO136" s="111"/>
      <c r="AP136" s="111"/>
      <c r="AQ136" s="111"/>
      <c r="AR136" s="111"/>
      <c r="AS136" s="111"/>
      <c r="AT136" s="111"/>
      <c r="AU136" s="111"/>
      <c r="AV136" s="111"/>
      <c r="AW136" s="111"/>
      <c r="AX136" s="111"/>
      <c r="AY136" s="112"/>
      <c r="AZ136" s="24"/>
    </row>
    <row r="137" spans="2:52" ht="19.95" customHeight="1">
      <c r="B137" s="23"/>
      <c r="AI137" s="113"/>
      <c r="AJ137" s="111"/>
      <c r="AK137" s="111"/>
      <c r="AL137" s="111"/>
      <c r="AM137" s="111"/>
      <c r="AN137" s="111"/>
      <c r="AO137" s="111"/>
      <c r="AP137" s="111"/>
      <c r="AQ137" s="111"/>
      <c r="AR137" s="111"/>
      <c r="AS137" s="111"/>
      <c r="AT137" s="111"/>
      <c r="AU137" s="111"/>
      <c r="AV137" s="111"/>
      <c r="AW137" s="111"/>
      <c r="AX137" s="111"/>
      <c r="AY137" s="112"/>
      <c r="AZ137" s="24"/>
    </row>
    <row r="138" spans="2:52" ht="19.95" customHeight="1">
      <c r="B138" s="23"/>
      <c r="AI138" s="113"/>
      <c r="AJ138" s="111"/>
      <c r="AK138" s="111"/>
      <c r="AL138" s="111"/>
      <c r="AM138" s="111"/>
      <c r="AN138" s="111"/>
      <c r="AO138" s="111"/>
      <c r="AP138" s="111"/>
      <c r="AQ138" s="111"/>
      <c r="AR138" s="111"/>
      <c r="AS138" s="111"/>
      <c r="AT138" s="111"/>
      <c r="AU138" s="111"/>
      <c r="AV138" s="111"/>
      <c r="AW138" s="111"/>
      <c r="AX138" s="111"/>
      <c r="AY138" s="112"/>
      <c r="AZ138" s="24"/>
    </row>
    <row r="139" spans="2:52" ht="19.95" customHeight="1">
      <c r="B139" s="23"/>
      <c r="AI139" s="113"/>
      <c r="AJ139" s="111"/>
      <c r="AK139" s="111"/>
      <c r="AL139" s="111"/>
      <c r="AM139" s="111"/>
      <c r="AN139" s="111"/>
      <c r="AO139" s="111"/>
      <c r="AP139" s="111"/>
      <c r="AQ139" s="111"/>
      <c r="AR139" s="111"/>
      <c r="AS139" s="111"/>
      <c r="AT139" s="111"/>
      <c r="AU139" s="111"/>
      <c r="AV139" s="111"/>
      <c r="AW139" s="111"/>
      <c r="AX139" s="111"/>
      <c r="AY139" s="112"/>
      <c r="AZ139" s="24"/>
    </row>
    <row r="140" spans="2:52" ht="19.95" customHeight="1">
      <c r="B140" s="23"/>
      <c r="AI140" s="113"/>
      <c r="AJ140" s="111"/>
      <c r="AK140" s="111"/>
      <c r="AL140" s="111"/>
      <c r="AM140" s="111"/>
      <c r="AN140" s="111"/>
      <c r="AO140" s="111"/>
      <c r="AP140" s="111"/>
      <c r="AQ140" s="111"/>
      <c r="AR140" s="111"/>
      <c r="AS140" s="111"/>
      <c r="AT140" s="111"/>
      <c r="AU140" s="111"/>
      <c r="AV140" s="111"/>
      <c r="AW140" s="111"/>
      <c r="AX140" s="111"/>
      <c r="AY140" s="112"/>
      <c r="AZ140" s="24"/>
    </row>
    <row r="141" spans="2:52" ht="19.95" customHeight="1" thickBot="1">
      <c r="B141" s="23"/>
      <c r="AI141" s="114"/>
      <c r="AJ141" s="115"/>
      <c r="AK141" s="115"/>
      <c r="AL141" s="115"/>
      <c r="AM141" s="115"/>
      <c r="AN141" s="115"/>
      <c r="AO141" s="115"/>
      <c r="AP141" s="115"/>
      <c r="AQ141" s="115"/>
      <c r="AR141" s="115"/>
      <c r="AS141" s="115"/>
      <c r="AT141" s="115"/>
      <c r="AU141" s="115"/>
      <c r="AV141" s="115"/>
      <c r="AW141" s="115"/>
      <c r="AX141" s="115"/>
      <c r="AY141" s="116"/>
      <c r="AZ141" s="24"/>
    </row>
    <row r="142" spans="2:52" ht="19.95" customHeight="1">
      <c r="B142" s="23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 s="24"/>
    </row>
    <row r="143" spans="2:52" ht="19.95" customHeight="1">
      <c r="B143" s="23"/>
      <c r="AI143" s="120" t="s">
        <v>4</v>
      </c>
      <c r="AJ143" s="121"/>
      <c r="AK143" s="121"/>
      <c r="AL143" s="121"/>
      <c r="AM143" s="121"/>
      <c r="AN143" s="121"/>
      <c r="AO143" s="121"/>
      <c r="AP143" s="121"/>
      <c r="AQ143" s="121"/>
      <c r="AR143" s="121"/>
      <c r="AS143" s="121"/>
      <c r="AT143" s="121"/>
      <c r="AU143" s="121"/>
      <c r="AV143" s="121"/>
      <c r="AW143" s="121"/>
      <c r="AX143" s="121"/>
      <c r="AY143" s="121"/>
      <c r="AZ143" s="24"/>
    </row>
    <row r="144" spans="2:52" ht="19.95" customHeight="1">
      <c r="B144" s="23"/>
      <c r="AI144" s="120"/>
      <c r="AJ144" s="121"/>
      <c r="AK144" s="121"/>
      <c r="AL144" s="121"/>
      <c r="AM144" s="121"/>
      <c r="AN144" s="121"/>
      <c r="AO144" s="121"/>
      <c r="AP144" s="121"/>
      <c r="AQ144" s="121"/>
      <c r="AR144" s="121"/>
      <c r="AS144" s="121"/>
      <c r="AT144" s="121"/>
      <c r="AU144" s="121"/>
      <c r="AV144" s="121"/>
      <c r="AW144" s="121"/>
      <c r="AX144" s="121"/>
      <c r="AY144" s="121"/>
      <c r="AZ144" s="24"/>
    </row>
    <row r="145" spans="2:52" ht="19.95" customHeight="1">
      <c r="B145" s="23"/>
      <c r="AI145" s="110" t="str">
        <f>'JUSTIFICATIVA DE USINA'!BL3</f>
        <v>USINA 4</v>
      </c>
      <c r="AJ145" s="111"/>
      <c r="AK145" s="111"/>
      <c r="AL145" s="111"/>
      <c r="AM145" s="111"/>
      <c r="AN145" s="111"/>
      <c r="AO145" s="111"/>
      <c r="AP145" s="111"/>
      <c r="AQ145" s="111"/>
      <c r="AR145" s="111"/>
      <c r="AS145" s="111"/>
      <c r="AT145" s="111"/>
      <c r="AU145" s="111"/>
      <c r="AV145" s="111"/>
      <c r="AW145" s="111"/>
      <c r="AX145" s="111"/>
      <c r="AY145" s="112"/>
      <c r="AZ145" s="24"/>
    </row>
    <row r="146" spans="2:52" ht="19.95" customHeight="1">
      <c r="B146" s="23"/>
      <c r="AI146" s="113"/>
      <c r="AJ146" s="111"/>
      <c r="AK146" s="111"/>
      <c r="AL146" s="111"/>
      <c r="AM146" s="111"/>
      <c r="AN146" s="111"/>
      <c r="AO146" s="111"/>
      <c r="AP146" s="111"/>
      <c r="AQ146" s="111"/>
      <c r="AR146" s="111"/>
      <c r="AS146" s="111"/>
      <c r="AT146" s="111"/>
      <c r="AU146" s="111"/>
      <c r="AV146" s="111"/>
      <c r="AW146" s="111"/>
      <c r="AX146" s="111"/>
      <c r="AY146" s="112"/>
      <c r="AZ146" s="24"/>
    </row>
    <row r="147" spans="2:52" ht="19.95" customHeight="1">
      <c r="B147" s="23"/>
      <c r="AI147" s="113"/>
      <c r="AJ147" s="111"/>
      <c r="AK147" s="111"/>
      <c r="AL147" s="111"/>
      <c r="AM147" s="111"/>
      <c r="AN147" s="111"/>
      <c r="AO147" s="111"/>
      <c r="AP147" s="111"/>
      <c r="AQ147" s="111"/>
      <c r="AR147" s="111"/>
      <c r="AS147" s="111"/>
      <c r="AT147" s="111"/>
      <c r="AU147" s="111"/>
      <c r="AV147" s="111"/>
      <c r="AW147" s="111"/>
      <c r="AX147" s="111"/>
      <c r="AY147" s="112"/>
      <c r="AZ147" s="24"/>
    </row>
    <row r="148" spans="2:52" ht="19.95" customHeight="1">
      <c r="B148" s="23"/>
      <c r="AI148" s="113"/>
      <c r="AJ148" s="111"/>
      <c r="AK148" s="111"/>
      <c r="AL148" s="111"/>
      <c r="AM148" s="111"/>
      <c r="AN148" s="111"/>
      <c r="AO148" s="111"/>
      <c r="AP148" s="111"/>
      <c r="AQ148" s="111"/>
      <c r="AR148" s="111"/>
      <c r="AS148" s="111"/>
      <c r="AT148" s="111"/>
      <c r="AU148" s="111"/>
      <c r="AV148" s="111"/>
      <c r="AW148" s="111"/>
      <c r="AX148" s="111"/>
      <c r="AY148" s="112"/>
      <c r="AZ148" s="24"/>
    </row>
    <row r="149" spans="2:52" ht="19.95" customHeight="1">
      <c r="B149" s="23"/>
      <c r="AI149" s="113"/>
      <c r="AJ149" s="111"/>
      <c r="AK149" s="111"/>
      <c r="AL149" s="111"/>
      <c r="AM149" s="111"/>
      <c r="AN149" s="111"/>
      <c r="AO149" s="111"/>
      <c r="AP149" s="111"/>
      <c r="AQ149" s="111"/>
      <c r="AR149" s="111"/>
      <c r="AS149" s="111"/>
      <c r="AT149" s="111"/>
      <c r="AU149" s="111"/>
      <c r="AV149" s="111"/>
      <c r="AW149" s="111"/>
      <c r="AX149" s="111"/>
      <c r="AY149" s="112"/>
      <c r="AZ149" s="24"/>
    </row>
    <row r="150" spans="2:52" ht="19.95" customHeight="1">
      <c r="B150" s="23"/>
      <c r="AI150" s="113"/>
      <c r="AJ150" s="111"/>
      <c r="AK150" s="111"/>
      <c r="AL150" s="111"/>
      <c r="AM150" s="111"/>
      <c r="AN150" s="111"/>
      <c r="AO150" s="111"/>
      <c r="AP150" s="111"/>
      <c r="AQ150" s="111"/>
      <c r="AR150" s="111"/>
      <c r="AS150" s="111"/>
      <c r="AT150" s="111"/>
      <c r="AU150" s="111"/>
      <c r="AV150" s="111"/>
      <c r="AW150" s="111"/>
      <c r="AX150" s="111"/>
      <c r="AY150" s="112"/>
      <c r="AZ150" s="24"/>
    </row>
    <row r="151" spans="2:52" ht="19.95" customHeight="1">
      <c r="B151" s="23"/>
      <c r="AI151" s="113"/>
      <c r="AJ151" s="111"/>
      <c r="AK151" s="111"/>
      <c r="AL151" s="111"/>
      <c r="AM151" s="111"/>
      <c r="AN151" s="111"/>
      <c r="AO151" s="111"/>
      <c r="AP151" s="111"/>
      <c r="AQ151" s="111"/>
      <c r="AR151" s="111"/>
      <c r="AS151" s="111"/>
      <c r="AT151" s="111"/>
      <c r="AU151" s="111"/>
      <c r="AV151" s="111"/>
      <c r="AW151" s="111"/>
      <c r="AX151" s="111"/>
      <c r="AY151" s="112"/>
      <c r="AZ151" s="24"/>
    </row>
    <row r="152" spans="2:52" ht="19.95" customHeight="1">
      <c r="B152" s="23"/>
      <c r="AI152" s="113"/>
      <c r="AJ152" s="111"/>
      <c r="AK152" s="111"/>
      <c r="AL152" s="111"/>
      <c r="AM152" s="111"/>
      <c r="AN152" s="111"/>
      <c r="AO152" s="111"/>
      <c r="AP152" s="111"/>
      <c r="AQ152" s="111"/>
      <c r="AR152" s="111"/>
      <c r="AS152" s="111"/>
      <c r="AT152" s="111"/>
      <c r="AU152" s="111"/>
      <c r="AV152" s="111"/>
      <c r="AW152" s="111"/>
      <c r="AX152" s="111"/>
      <c r="AY152" s="112"/>
      <c r="AZ152" s="24"/>
    </row>
    <row r="153" spans="2:52" ht="19.95" customHeight="1">
      <c r="B153" s="23"/>
      <c r="AI153" s="113"/>
      <c r="AJ153" s="111"/>
      <c r="AK153" s="111"/>
      <c r="AL153" s="111"/>
      <c r="AM153" s="111"/>
      <c r="AN153" s="111"/>
      <c r="AO153" s="111"/>
      <c r="AP153" s="111"/>
      <c r="AQ153" s="111"/>
      <c r="AR153" s="111"/>
      <c r="AS153" s="111"/>
      <c r="AT153" s="111"/>
      <c r="AU153" s="111"/>
      <c r="AV153" s="111"/>
      <c r="AW153" s="111"/>
      <c r="AX153" s="111"/>
      <c r="AY153" s="112"/>
      <c r="AZ153" s="24"/>
    </row>
    <row r="154" spans="2:52" ht="19.95" customHeight="1">
      <c r="B154" s="23"/>
      <c r="AI154" s="113"/>
      <c r="AJ154" s="111"/>
      <c r="AK154" s="111"/>
      <c r="AL154" s="111"/>
      <c r="AM154" s="111"/>
      <c r="AN154" s="111"/>
      <c r="AO154" s="111"/>
      <c r="AP154" s="111"/>
      <c r="AQ154" s="111"/>
      <c r="AR154" s="111"/>
      <c r="AS154" s="111"/>
      <c r="AT154" s="111"/>
      <c r="AU154" s="111"/>
      <c r="AV154" s="111"/>
      <c r="AW154" s="111"/>
      <c r="AX154" s="111"/>
      <c r="AY154" s="112"/>
      <c r="AZ154" s="24"/>
    </row>
    <row r="155" spans="2:52" ht="19.95" customHeight="1">
      <c r="B155" s="23"/>
      <c r="AI155" s="113"/>
      <c r="AJ155" s="111"/>
      <c r="AK155" s="111"/>
      <c r="AL155" s="111"/>
      <c r="AM155" s="111"/>
      <c r="AN155" s="111"/>
      <c r="AO155" s="111"/>
      <c r="AP155" s="111"/>
      <c r="AQ155" s="111"/>
      <c r="AR155" s="111"/>
      <c r="AS155" s="111"/>
      <c r="AT155" s="111"/>
      <c r="AU155" s="111"/>
      <c r="AV155" s="111"/>
      <c r="AW155" s="111"/>
      <c r="AX155" s="111"/>
      <c r="AY155" s="112"/>
      <c r="AZ155" s="24"/>
    </row>
    <row r="156" spans="2:52" ht="19.95" customHeight="1">
      <c r="B156" s="23"/>
      <c r="AI156" s="113"/>
      <c r="AJ156" s="111"/>
      <c r="AK156" s="111"/>
      <c r="AL156" s="111"/>
      <c r="AM156" s="111"/>
      <c r="AN156" s="111"/>
      <c r="AO156" s="111"/>
      <c r="AP156" s="111"/>
      <c r="AQ156" s="111"/>
      <c r="AR156" s="111"/>
      <c r="AS156" s="111"/>
      <c r="AT156" s="111"/>
      <c r="AU156" s="111"/>
      <c r="AV156" s="111"/>
      <c r="AW156" s="111"/>
      <c r="AX156" s="111"/>
      <c r="AY156" s="112"/>
      <c r="AZ156" s="24"/>
    </row>
    <row r="157" spans="2:52" ht="19.95" customHeight="1">
      <c r="B157" s="23"/>
      <c r="AI157" s="113"/>
      <c r="AJ157" s="111"/>
      <c r="AK157" s="111"/>
      <c r="AL157" s="111"/>
      <c r="AM157" s="111"/>
      <c r="AN157" s="111"/>
      <c r="AO157" s="111"/>
      <c r="AP157" s="111"/>
      <c r="AQ157" s="111"/>
      <c r="AR157" s="111"/>
      <c r="AS157" s="111"/>
      <c r="AT157" s="111"/>
      <c r="AU157" s="111"/>
      <c r="AV157" s="111"/>
      <c r="AW157" s="111"/>
      <c r="AX157" s="111"/>
      <c r="AY157" s="112"/>
      <c r="AZ157" s="24"/>
    </row>
    <row r="158" spans="2:52" ht="19.95" customHeight="1" thickBot="1">
      <c r="B158" s="23"/>
      <c r="AI158" s="114"/>
      <c r="AJ158" s="115"/>
      <c r="AK158" s="115"/>
      <c r="AL158" s="115"/>
      <c r="AM158" s="115"/>
      <c r="AN158" s="115"/>
      <c r="AO158" s="115"/>
      <c r="AP158" s="115"/>
      <c r="AQ158" s="115"/>
      <c r="AR158" s="115"/>
      <c r="AS158" s="115"/>
      <c r="AT158" s="115"/>
      <c r="AU158" s="115"/>
      <c r="AV158" s="115"/>
      <c r="AW158" s="115"/>
      <c r="AX158" s="115"/>
      <c r="AY158" s="116"/>
      <c r="AZ158" s="24"/>
    </row>
    <row r="159" spans="2:52" ht="19.95" customHeight="1">
      <c r="B159" s="23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 s="24"/>
    </row>
    <row r="160" spans="2:52" ht="19.95" customHeight="1">
      <c r="B160" s="23"/>
      <c r="AI160" s="120" t="s">
        <v>60</v>
      </c>
      <c r="AJ160" s="121"/>
      <c r="AK160" s="121"/>
      <c r="AL160" s="121"/>
      <c r="AM160" s="121"/>
      <c r="AN160" s="121"/>
      <c r="AO160" s="121"/>
      <c r="AP160" s="121"/>
      <c r="AQ160" s="121"/>
      <c r="AR160" s="121"/>
      <c r="AS160" s="121"/>
      <c r="AT160" s="121"/>
      <c r="AU160" s="121"/>
      <c r="AV160" s="121"/>
      <c r="AW160" s="121"/>
      <c r="AX160" s="121"/>
      <c r="AY160" s="121"/>
      <c r="AZ160" s="24"/>
    </row>
    <row r="161" spans="2:52" ht="19.95" customHeight="1">
      <c r="B161" s="23"/>
      <c r="AI161" s="120"/>
      <c r="AJ161" s="121"/>
      <c r="AK161" s="121"/>
      <c r="AL161" s="121"/>
      <c r="AM161" s="121"/>
      <c r="AN161" s="121"/>
      <c r="AO161" s="121"/>
      <c r="AP161" s="121"/>
      <c r="AQ161" s="121"/>
      <c r="AR161" s="121"/>
      <c r="AS161" s="121"/>
      <c r="AT161" s="121"/>
      <c r="AU161" s="121"/>
      <c r="AV161" s="121"/>
      <c r="AW161" s="121"/>
      <c r="AX161" s="121"/>
      <c r="AY161" s="121"/>
      <c r="AZ161" s="24"/>
    </row>
    <row r="162" spans="2:52" ht="19.95" customHeight="1">
      <c r="B162" s="23"/>
      <c r="AI162" s="110" t="str">
        <f>'JUSTIFICATIVA DE USINA'!BV3</f>
        <v>USINA 5</v>
      </c>
      <c r="AJ162" s="111"/>
      <c r="AK162" s="111"/>
      <c r="AL162" s="111"/>
      <c r="AM162" s="111"/>
      <c r="AN162" s="111"/>
      <c r="AO162" s="111"/>
      <c r="AP162" s="111"/>
      <c r="AQ162" s="111"/>
      <c r="AR162" s="111"/>
      <c r="AS162" s="111"/>
      <c r="AT162" s="111"/>
      <c r="AU162" s="111"/>
      <c r="AV162" s="111"/>
      <c r="AW162" s="111"/>
      <c r="AX162" s="111"/>
      <c r="AY162" s="112"/>
      <c r="AZ162" s="24"/>
    </row>
    <row r="163" spans="2:52" ht="19.95" customHeight="1">
      <c r="B163" s="23"/>
      <c r="AI163" s="113"/>
      <c r="AJ163" s="111"/>
      <c r="AK163" s="111"/>
      <c r="AL163" s="111"/>
      <c r="AM163" s="111"/>
      <c r="AN163" s="111"/>
      <c r="AO163" s="111"/>
      <c r="AP163" s="111"/>
      <c r="AQ163" s="111"/>
      <c r="AR163" s="111"/>
      <c r="AS163" s="111"/>
      <c r="AT163" s="111"/>
      <c r="AU163" s="111"/>
      <c r="AV163" s="111"/>
      <c r="AW163" s="111"/>
      <c r="AX163" s="111"/>
      <c r="AY163" s="112"/>
      <c r="AZ163" s="24"/>
    </row>
    <row r="164" spans="2:52" ht="19.95" customHeight="1">
      <c r="B164" s="23"/>
      <c r="AI164" s="113"/>
      <c r="AJ164" s="111"/>
      <c r="AK164" s="111"/>
      <c r="AL164" s="111"/>
      <c r="AM164" s="111"/>
      <c r="AN164" s="111"/>
      <c r="AO164" s="111"/>
      <c r="AP164" s="111"/>
      <c r="AQ164" s="111"/>
      <c r="AR164" s="111"/>
      <c r="AS164" s="111"/>
      <c r="AT164" s="111"/>
      <c r="AU164" s="111"/>
      <c r="AV164" s="111"/>
      <c r="AW164" s="111"/>
      <c r="AX164" s="111"/>
      <c r="AY164" s="112"/>
      <c r="AZ164" s="24"/>
    </row>
    <row r="165" spans="2:52" ht="19.95" customHeight="1">
      <c r="B165" s="23"/>
      <c r="AI165" s="113"/>
      <c r="AJ165" s="111"/>
      <c r="AK165" s="111"/>
      <c r="AL165" s="111"/>
      <c r="AM165" s="111"/>
      <c r="AN165" s="111"/>
      <c r="AO165" s="111"/>
      <c r="AP165" s="111"/>
      <c r="AQ165" s="111"/>
      <c r="AR165" s="111"/>
      <c r="AS165" s="111"/>
      <c r="AT165" s="111"/>
      <c r="AU165" s="111"/>
      <c r="AV165" s="111"/>
      <c r="AW165" s="111"/>
      <c r="AX165" s="111"/>
      <c r="AY165" s="112"/>
      <c r="AZ165" s="24"/>
    </row>
    <row r="166" spans="2:52" ht="19.95" customHeight="1">
      <c r="B166" s="23"/>
      <c r="AI166" s="113"/>
      <c r="AJ166" s="111"/>
      <c r="AK166" s="111"/>
      <c r="AL166" s="111"/>
      <c r="AM166" s="111"/>
      <c r="AN166" s="111"/>
      <c r="AO166" s="111"/>
      <c r="AP166" s="111"/>
      <c r="AQ166" s="111"/>
      <c r="AR166" s="111"/>
      <c r="AS166" s="111"/>
      <c r="AT166" s="111"/>
      <c r="AU166" s="111"/>
      <c r="AV166" s="111"/>
      <c r="AW166" s="111"/>
      <c r="AX166" s="111"/>
      <c r="AY166" s="112"/>
      <c r="AZ166" s="24"/>
    </row>
    <row r="167" spans="2:52" ht="19.95" customHeight="1">
      <c r="B167" s="23"/>
      <c r="AI167" s="113"/>
      <c r="AJ167" s="111"/>
      <c r="AK167" s="111"/>
      <c r="AL167" s="111"/>
      <c r="AM167" s="111"/>
      <c r="AN167" s="111"/>
      <c r="AO167" s="111"/>
      <c r="AP167" s="111"/>
      <c r="AQ167" s="111"/>
      <c r="AR167" s="111"/>
      <c r="AS167" s="111"/>
      <c r="AT167" s="111"/>
      <c r="AU167" s="111"/>
      <c r="AV167" s="111"/>
      <c r="AW167" s="111"/>
      <c r="AX167" s="111"/>
      <c r="AY167" s="112"/>
      <c r="AZ167" s="24"/>
    </row>
    <row r="168" spans="2:52" ht="19.95" customHeight="1">
      <c r="B168" s="23"/>
      <c r="AI168" s="113"/>
      <c r="AJ168" s="111"/>
      <c r="AK168" s="111"/>
      <c r="AL168" s="111"/>
      <c r="AM168" s="111"/>
      <c r="AN168" s="111"/>
      <c r="AO168" s="111"/>
      <c r="AP168" s="111"/>
      <c r="AQ168" s="111"/>
      <c r="AR168" s="111"/>
      <c r="AS168" s="111"/>
      <c r="AT168" s="111"/>
      <c r="AU168" s="111"/>
      <c r="AV168" s="111"/>
      <c r="AW168" s="111"/>
      <c r="AX168" s="111"/>
      <c r="AY168" s="112"/>
      <c r="AZ168" s="24"/>
    </row>
    <row r="169" spans="2:52" ht="19.95" customHeight="1">
      <c r="B169" s="23"/>
      <c r="AI169" s="113"/>
      <c r="AJ169" s="111"/>
      <c r="AK169" s="111"/>
      <c r="AL169" s="111"/>
      <c r="AM169" s="111"/>
      <c r="AN169" s="111"/>
      <c r="AO169" s="111"/>
      <c r="AP169" s="111"/>
      <c r="AQ169" s="111"/>
      <c r="AR169" s="111"/>
      <c r="AS169" s="111"/>
      <c r="AT169" s="111"/>
      <c r="AU169" s="111"/>
      <c r="AV169" s="111"/>
      <c r="AW169" s="111"/>
      <c r="AX169" s="111"/>
      <c r="AY169" s="112"/>
      <c r="AZ169" s="24"/>
    </row>
    <row r="170" spans="2:52" ht="19.95" customHeight="1">
      <c r="B170" s="23"/>
      <c r="AI170" s="113"/>
      <c r="AJ170" s="111"/>
      <c r="AK170" s="111"/>
      <c r="AL170" s="111"/>
      <c r="AM170" s="111"/>
      <c r="AN170" s="111"/>
      <c r="AO170" s="111"/>
      <c r="AP170" s="111"/>
      <c r="AQ170" s="111"/>
      <c r="AR170" s="111"/>
      <c r="AS170" s="111"/>
      <c r="AT170" s="111"/>
      <c r="AU170" s="111"/>
      <c r="AV170" s="111"/>
      <c r="AW170" s="111"/>
      <c r="AX170" s="111"/>
      <c r="AY170" s="112"/>
      <c r="AZ170" s="24"/>
    </row>
    <row r="171" spans="2:52" ht="19.95" customHeight="1">
      <c r="B171" s="23"/>
      <c r="AI171" s="113"/>
      <c r="AJ171" s="111"/>
      <c r="AK171" s="111"/>
      <c r="AL171" s="111"/>
      <c r="AM171" s="111"/>
      <c r="AN171" s="111"/>
      <c r="AO171" s="111"/>
      <c r="AP171" s="111"/>
      <c r="AQ171" s="111"/>
      <c r="AR171" s="111"/>
      <c r="AS171" s="111"/>
      <c r="AT171" s="111"/>
      <c r="AU171" s="111"/>
      <c r="AV171" s="111"/>
      <c r="AW171" s="111"/>
      <c r="AX171" s="111"/>
      <c r="AY171" s="112"/>
      <c r="AZ171" s="24"/>
    </row>
    <row r="172" spans="2:52" ht="19.95" customHeight="1">
      <c r="B172" s="23"/>
      <c r="AI172" s="113"/>
      <c r="AJ172" s="111"/>
      <c r="AK172" s="111"/>
      <c r="AL172" s="111"/>
      <c r="AM172" s="111"/>
      <c r="AN172" s="111"/>
      <c r="AO172" s="111"/>
      <c r="AP172" s="111"/>
      <c r="AQ172" s="111"/>
      <c r="AR172" s="111"/>
      <c r="AS172" s="111"/>
      <c r="AT172" s="111"/>
      <c r="AU172" s="111"/>
      <c r="AV172" s="111"/>
      <c r="AW172" s="111"/>
      <c r="AX172" s="111"/>
      <c r="AY172" s="112"/>
      <c r="AZ172" s="24"/>
    </row>
    <row r="173" spans="2:52" ht="19.95" customHeight="1">
      <c r="B173" s="23"/>
      <c r="AI173" s="113"/>
      <c r="AJ173" s="111"/>
      <c r="AK173" s="111"/>
      <c r="AL173" s="111"/>
      <c r="AM173" s="111"/>
      <c r="AN173" s="111"/>
      <c r="AO173" s="111"/>
      <c r="AP173" s="111"/>
      <c r="AQ173" s="111"/>
      <c r="AR173" s="111"/>
      <c r="AS173" s="111"/>
      <c r="AT173" s="111"/>
      <c r="AU173" s="111"/>
      <c r="AV173" s="111"/>
      <c r="AW173" s="111"/>
      <c r="AX173" s="111"/>
      <c r="AY173" s="112"/>
      <c r="AZ173" s="24"/>
    </row>
    <row r="174" spans="2:52" ht="19.95" customHeight="1">
      <c r="B174" s="23"/>
      <c r="AI174" s="113"/>
      <c r="AJ174" s="111"/>
      <c r="AK174" s="111"/>
      <c r="AL174" s="111"/>
      <c r="AM174" s="111"/>
      <c r="AN174" s="111"/>
      <c r="AO174" s="111"/>
      <c r="AP174" s="111"/>
      <c r="AQ174" s="111"/>
      <c r="AR174" s="111"/>
      <c r="AS174" s="111"/>
      <c r="AT174" s="111"/>
      <c r="AU174" s="111"/>
      <c r="AV174" s="111"/>
      <c r="AW174" s="111"/>
      <c r="AX174" s="111"/>
      <c r="AY174" s="112"/>
      <c r="AZ174" s="24"/>
    </row>
    <row r="175" spans="2:52" ht="19.95" customHeight="1" thickBot="1">
      <c r="B175" s="23"/>
      <c r="AI175" s="114"/>
      <c r="AJ175" s="115"/>
      <c r="AK175" s="115"/>
      <c r="AL175" s="115"/>
      <c r="AM175" s="115"/>
      <c r="AN175" s="115"/>
      <c r="AO175" s="115"/>
      <c r="AP175" s="115"/>
      <c r="AQ175" s="115"/>
      <c r="AR175" s="115"/>
      <c r="AS175" s="115"/>
      <c r="AT175" s="115"/>
      <c r="AU175" s="115"/>
      <c r="AV175" s="115"/>
      <c r="AW175" s="115"/>
      <c r="AX175" s="115"/>
      <c r="AY175" s="116"/>
      <c r="AZ175" s="24"/>
    </row>
    <row r="176" spans="2:52" ht="19.95" customHeight="1">
      <c r="B176" s="23"/>
      <c r="AA176" s="102"/>
      <c r="AB176" s="102"/>
      <c r="AC176" s="102"/>
      <c r="AD176" s="102"/>
      <c r="AE176" s="102"/>
      <c r="AF176" s="102"/>
      <c r="AG176" s="102"/>
      <c r="AH176" s="102"/>
      <c r="AI176" s="102"/>
      <c r="AJ176" s="102"/>
      <c r="AK176" s="102"/>
      <c r="AL176" s="102"/>
      <c r="AM176" s="102"/>
      <c r="AN176" s="102"/>
      <c r="AO176" s="102"/>
      <c r="AP176" s="102"/>
      <c r="AQ176" s="102"/>
      <c r="AR176" s="102"/>
      <c r="AS176" s="102"/>
      <c r="AT176" s="102"/>
      <c r="AU176" s="102"/>
      <c r="AV176" s="102"/>
      <c r="AW176" s="102"/>
      <c r="AX176" s="102"/>
      <c r="AY176" s="102"/>
      <c r="AZ176" s="24"/>
    </row>
    <row r="177" spans="2:52" ht="19.95" customHeight="1" thickBot="1">
      <c r="B177" s="34"/>
      <c r="C177" s="35"/>
      <c r="D177" s="35"/>
      <c r="E177" s="35"/>
      <c r="F177" s="35"/>
      <c r="G177" s="35"/>
      <c r="H177" s="35"/>
      <c r="I177" s="35"/>
      <c r="J177" s="35"/>
      <c r="K177" s="35"/>
      <c r="L177" s="35"/>
      <c r="M177" s="35"/>
      <c r="N177" s="35"/>
      <c r="O177" s="35"/>
      <c r="P177" s="35"/>
      <c r="Q177" s="35"/>
      <c r="R177" s="35"/>
      <c r="S177" s="35"/>
      <c r="T177" s="35"/>
      <c r="U177" s="35"/>
      <c r="V177" s="35"/>
      <c r="W177" s="35"/>
      <c r="X177" s="35"/>
      <c r="Y177" s="35"/>
      <c r="Z177" s="35"/>
      <c r="AA177" s="35"/>
      <c r="AB177" s="35"/>
      <c r="AC177" s="35"/>
      <c r="AD177" s="35"/>
      <c r="AE177" s="35"/>
      <c r="AF177" s="35"/>
      <c r="AG177" s="35"/>
      <c r="AH177" s="35"/>
      <c r="AI177" s="35"/>
      <c r="AJ177" s="35"/>
      <c r="AK177" s="35"/>
      <c r="AL177" s="35"/>
      <c r="AM177" s="35"/>
      <c r="AN177" s="35"/>
      <c r="AO177" s="35"/>
      <c r="AP177" s="35"/>
      <c r="AQ177" s="35"/>
      <c r="AR177" s="35"/>
      <c r="AS177" s="35"/>
      <c r="AT177" s="35"/>
      <c r="AU177" s="35"/>
      <c r="AV177" s="35"/>
      <c r="AW177" s="35"/>
      <c r="AX177" s="35"/>
      <c r="AY177" s="35"/>
      <c r="AZ177" s="36"/>
    </row>
  </sheetData>
  <mergeCells count="270">
    <mergeCell ref="C3:AH3"/>
    <mergeCell ref="AI92:AY93"/>
    <mergeCell ref="AI94:AY107"/>
    <mergeCell ref="AH52:AI52"/>
    <mergeCell ref="AH53:AI53"/>
    <mergeCell ref="AH48:AI48"/>
    <mergeCell ref="AH45:AI45"/>
    <mergeCell ref="F41:K41"/>
    <mergeCell ref="F42:K42"/>
    <mergeCell ref="F43:K43"/>
    <mergeCell ref="F44:K44"/>
    <mergeCell ref="X51:Y51"/>
    <mergeCell ref="X52:Y52"/>
    <mergeCell ref="Z57:AE57"/>
    <mergeCell ref="AJ48:AO48"/>
    <mergeCell ref="AJ49:AO49"/>
    <mergeCell ref="AJ50:AO50"/>
    <mergeCell ref="AH50:AI50"/>
    <mergeCell ref="AH51:AI51"/>
    <mergeCell ref="AK3:AM3"/>
    <mergeCell ref="AN3:AZ3"/>
    <mergeCell ref="S4:T4"/>
    <mergeCell ref="P4:R4"/>
    <mergeCell ref="Z34:AE34"/>
    <mergeCell ref="BL17:BV29"/>
    <mergeCell ref="N41:O41"/>
    <mergeCell ref="N42:O42"/>
    <mergeCell ref="N43:O43"/>
    <mergeCell ref="P43:U43"/>
    <mergeCell ref="P44:U44"/>
    <mergeCell ref="P45:U45"/>
    <mergeCell ref="AH47:AI47"/>
    <mergeCell ref="AJ44:AO44"/>
    <mergeCell ref="AJ45:AO45"/>
    <mergeCell ref="AH44:AI44"/>
    <mergeCell ref="Z45:AE45"/>
    <mergeCell ref="Z46:AE46"/>
    <mergeCell ref="Z47:AE47"/>
    <mergeCell ref="Z40:AE40"/>
    <mergeCell ref="Z41:AE41"/>
    <mergeCell ref="Z42:AE42"/>
    <mergeCell ref="AJ46:AO46"/>
    <mergeCell ref="AJ47:AO47"/>
    <mergeCell ref="Z43:AE43"/>
    <mergeCell ref="AJ43:AO43"/>
    <mergeCell ref="AH43:AI43"/>
    <mergeCell ref="Z44:AE44"/>
    <mergeCell ref="AH46:AI46"/>
    <mergeCell ref="AH42:AI42"/>
    <mergeCell ref="Z36:AE36"/>
    <mergeCell ref="Z37:AE37"/>
    <mergeCell ref="Z38:AE38"/>
    <mergeCell ref="Z39:AE39"/>
    <mergeCell ref="D33:E33"/>
    <mergeCell ref="N33:O33"/>
    <mergeCell ref="F36:K36"/>
    <mergeCell ref="F37:K37"/>
    <mergeCell ref="F38:K38"/>
    <mergeCell ref="F39:K39"/>
    <mergeCell ref="F40:K40"/>
    <mergeCell ref="P37:U37"/>
    <mergeCell ref="P38:U38"/>
    <mergeCell ref="P39:U39"/>
    <mergeCell ref="P40:U40"/>
    <mergeCell ref="N36:O36"/>
    <mergeCell ref="N37:O37"/>
    <mergeCell ref="N38:O38"/>
    <mergeCell ref="N34:O34"/>
    <mergeCell ref="N35:O35"/>
    <mergeCell ref="F33:K33"/>
    <mergeCell ref="F34:K34"/>
    <mergeCell ref="F35:K35"/>
    <mergeCell ref="D34:E34"/>
    <mergeCell ref="D35:E35"/>
    <mergeCell ref="D36:E36"/>
    <mergeCell ref="D37:E37"/>
    <mergeCell ref="D38:E38"/>
    <mergeCell ref="Z48:AE48"/>
    <mergeCell ref="D39:E39"/>
    <mergeCell ref="D40:E40"/>
    <mergeCell ref="D41:E41"/>
    <mergeCell ref="D42:E42"/>
    <mergeCell ref="N39:O39"/>
    <mergeCell ref="N40:O40"/>
    <mergeCell ref="X34:Y34"/>
    <mergeCell ref="Z35:AE35"/>
    <mergeCell ref="P41:U41"/>
    <mergeCell ref="P42:U42"/>
    <mergeCell ref="Z54:AE54"/>
    <mergeCell ref="Z55:AE55"/>
    <mergeCell ref="Z56:AE56"/>
    <mergeCell ref="X46:Y46"/>
    <mergeCell ref="Z49:AE49"/>
    <mergeCell ref="Z50:AE50"/>
    <mergeCell ref="Z51:AE51"/>
    <mergeCell ref="Z52:AE52"/>
    <mergeCell ref="Z53:AE53"/>
    <mergeCell ref="F56:K56"/>
    <mergeCell ref="F57:K57"/>
    <mergeCell ref="P46:U46"/>
    <mergeCell ref="P47:U47"/>
    <mergeCell ref="F51:K51"/>
    <mergeCell ref="F52:K52"/>
    <mergeCell ref="F53:K53"/>
    <mergeCell ref="F54:K54"/>
    <mergeCell ref="F55:K55"/>
    <mergeCell ref="N55:O55"/>
    <mergeCell ref="N56:O56"/>
    <mergeCell ref="N57:O57"/>
    <mergeCell ref="N51:O51"/>
    <mergeCell ref="N52:O52"/>
    <mergeCell ref="F46:K46"/>
    <mergeCell ref="F47:K47"/>
    <mergeCell ref="F48:K48"/>
    <mergeCell ref="F49:K49"/>
    <mergeCell ref="F50:K50"/>
    <mergeCell ref="P56:U56"/>
    <mergeCell ref="AH41:AI41"/>
    <mergeCell ref="AJ41:AO41"/>
    <mergeCell ref="X41:Y41"/>
    <mergeCell ref="X35:Y35"/>
    <mergeCell ref="X36:Y36"/>
    <mergeCell ref="X37:Y37"/>
    <mergeCell ref="AJ42:AO42"/>
    <mergeCell ref="D55:E55"/>
    <mergeCell ref="D56:E56"/>
    <mergeCell ref="D43:E43"/>
    <mergeCell ref="D44:E44"/>
    <mergeCell ref="D45:E45"/>
    <mergeCell ref="D46:E46"/>
    <mergeCell ref="D47:E47"/>
    <mergeCell ref="N53:O53"/>
    <mergeCell ref="N54:O54"/>
    <mergeCell ref="N46:O46"/>
    <mergeCell ref="N47:O47"/>
    <mergeCell ref="N48:O48"/>
    <mergeCell ref="N49:O49"/>
    <mergeCell ref="N50:O50"/>
    <mergeCell ref="N44:O44"/>
    <mergeCell ref="N45:O45"/>
    <mergeCell ref="F45:K45"/>
    <mergeCell ref="D57:E57"/>
    <mergeCell ref="D48:E48"/>
    <mergeCell ref="D49:E49"/>
    <mergeCell ref="D50:E50"/>
    <mergeCell ref="D51:E51"/>
    <mergeCell ref="D52:E52"/>
    <mergeCell ref="AJ56:AO56"/>
    <mergeCell ref="AJ57:AO57"/>
    <mergeCell ref="AJ51:AO51"/>
    <mergeCell ref="AJ52:AO52"/>
    <mergeCell ref="AJ53:AO53"/>
    <mergeCell ref="AJ54:AO54"/>
    <mergeCell ref="AJ55:AO55"/>
    <mergeCell ref="P57:U57"/>
    <mergeCell ref="P48:U48"/>
    <mergeCell ref="P49:U49"/>
    <mergeCell ref="P50:U50"/>
    <mergeCell ref="P51:U51"/>
    <mergeCell ref="P52:U52"/>
    <mergeCell ref="P53:U53"/>
    <mergeCell ref="P54:U54"/>
    <mergeCell ref="P55:U55"/>
    <mergeCell ref="D53:E53"/>
    <mergeCell ref="D54:E54"/>
    <mergeCell ref="EW3:EY3"/>
    <mergeCell ref="P33:U33"/>
    <mergeCell ref="Z33:AE33"/>
    <mergeCell ref="AJ33:AO33"/>
    <mergeCell ref="AH39:AI39"/>
    <mergeCell ref="AH40:AI40"/>
    <mergeCell ref="AJ34:AO34"/>
    <mergeCell ref="AJ35:AO35"/>
    <mergeCell ref="AJ36:AO36"/>
    <mergeCell ref="AJ37:AO37"/>
    <mergeCell ref="AJ38:AO38"/>
    <mergeCell ref="AJ39:AO39"/>
    <mergeCell ref="AJ40:AO40"/>
    <mergeCell ref="X38:Y38"/>
    <mergeCell ref="X39:Y39"/>
    <mergeCell ref="X40:Y40"/>
    <mergeCell ref="P34:U34"/>
    <mergeCell ref="P35:U35"/>
    <mergeCell ref="P36:U36"/>
    <mergeCell ref="X33:Y33"/>
    <mergeCell ref="AH33:AI33"/>
    <mergeCell ref="EQ3:ES3"/>
    <mergeCell ref="ET3:EV3"/>
    <mergeCell ref="AR34:AS34"/>
    <mergeCell ref="AL2:AZ2"/>
    <mergeCell ref="AH57:AI57"/>
    <mergeCell ref="AH34:AI34"/>
    <mergeCell ref="AH35:AI35"/>
    <mergeCell ref="AH36:AI36"/>
    <mergeCell ref="AH37:AI37"/>
    <mergeCell ref="AH38:AI38"/>
    <mergeCell ref="X53:Y53"/>
    <mergeCell ref="X54:Y54"/>
    <mergeCell ref="X55:Y55"/>
    <mergeCell ref="X56:Y56"/>
    <mergeCell ref="X57:Y57"/>
    <mergeCell ref="X48:Y48"/>
    <mergeCell ref="X49:Y49"/>
    <mergeCell ref="X50:Y50"/>
    <mergeCell ref="AH54:AI54"/>
    <mergeCell ref="AH55:AI55"/>
    <mergeCell ref="AH56:AI56"/>
    <mergeCell ref="AH49:AI49"/>
    <mergeCell ref="X43:Y43"/>
    <mergeCell ref="X44:Y44"/>
    <mergeCell ref="X45:Y45"/>
    <mergeCell ref="X47:Y47"/>
    <mergeCell ref="X42:Y42"/>
    <mergeCell ref="AT34:AY34"/>
    <mergeCell ref="AR35:AS35"/>
    <mergeCell ref="AT35:AY35"/>
    <mergeCell ref="AR36:AS36"/>
    <mergeCell ref="AT36:AY36"/>
    <mergeCell ref="AR37:AS37"/>
    <mergeCell ref="AT37:AY37"/>
    <mergeCell ref="AR38:AS38"/>
    <mergeCell ref="AT38:AY38"/>
    <mergeCell ref="AR39:AS39"/>
    <mergeCell ref="AT39:AY39"/>
    <mergeCell ref="AR40:AS40"/>
    <mergeCell ref="AT40:AY40"/>
    <mergeCell ref="AR41:AS41"/>
    <mergeCell ref="AT41:AY41"/>
    <mergeCell ref="AR42:AS42"/>
    <mergeCell ref="AT42:AY42"/>
    <mergeCell ref="AR43:AS43"/>
    <mergeCell ref="AT43:AY43"/>
    <mergeCell ref="AR52:AS52"/>
    <mergeCell ref="AT52:AY52"/>
    <mergeCell ref="AR53:AS53"/>
    <mergeCell ref="AT53:AY53"/>
    <mergeCell ref="AR44:AS44"/>
    <mergeCell ref="AT44:AY44"/>
    <mergeCell ref="AR45:AS45"/>
    <mergeCell ref="AT45:AY45"/>
    <mergeCell ref="AR46:AS46"/>
    <mergeCell ref="AT46:AY46"/>
    <mergeCell ref="AR47:AS47"/>
    <mergeCell ref="AT47:AY47"/>
    <mergeCell ref="AR48:AS48"/>
    <mergeCell ref="AT48:AY48"/>
    <mergeCell ref="AI162:AY175"/>
    <mergeCell ref="AR33:AS33"/>
    <mergeCell ref="AT33:AY33"/>
    <mergeCell ref="AI109:AY110"/>
    <mergeCell ref="AI111:AY124"/>
    <mergeCell ref="AI126:AY127"/>
    <mergeCell ref="AI128:AY141"/>
    <mergeCell ref="AI143:AY144"/>
    <mergeCell ref="AI145:AY158"/>
    <mergeCell ref="AI160:AY161"/>
    <mergeCell ref="AR54:AS54"/>
    <mergeCell ref="AT54:AY54"/>
    <mergeCell ref="AR55:AS55"/>
    <mergeCell ref="AT55:AY55"/>
    <mergeCell ref="AR56:AS56"/>
    <mergeCell ref="AT56:AY56"/>
    <mergeCell ref="AR57:AS57"/>
    <mergeCell ref="AT57:AY57"/>
    <mergeCell ref="AR49:AS49"/>
    <mergeCell ref="AT49:AY49"/>
    <mergeCell ref="AR50:AS50"/>
    <mergeCell ref="AT50:AY50"/>
    <mergeCell ref="AR51:AS51"/>
    <mergeCell ref="AT51:AY51"/>
  </mergeCells>
  <conditionalFormatting sqref="D34">
    <cfRule type="cellIs" dxfId="107" priority="532" operator="lessThan">
      <formula>0</formula>
    </cfRule>
  </conditionalFormatting>
  <conditionalFormatting sqref="D35">
    <cfRule type="cellIs" dxfId="106" priority="407" operator="lessThan">
      <formula>0</formula>
    </cfRule>
  </conditionalFormatting>
  <conditionalFormatting sqref="D36">
    <cfRule type="cellIs" dxfId="105" priority="406" operator="lessThan">
      <formula>0</formula>
    </cfRule>
  </conditionalFormatting>
  <conditionalFormatting sqref="D37">
    <cfRule type="cellIs" dxfId="104" priority="405" operator="lessThan">
      <formula>0</formula>
    </cfRule>
  </conditionalFormatting>
  <conditionalFormatting sqref="D38">
    <cfRule type="cellIs" dxfId="103" priority="404" operator="lessThan">
      <formula>0</formula>
    </cfRule>
  </conditionalFormatting>
  <conditionalFormatting sqref="D39">
    <cfRule type="cellIs" dxfId="102" priority="403" operator="lessThan">
      <formula>0</formula>
    </cfRule>
  </conditionalFormatting>
  <conditionalFormatting sqref="D40">
    <cfRule type="cellIs" dxfId="101" priority="402" operator="lessThan">
      <formula>0</formula>
    </cfRule>
  </conditionalFormatting>
  <conditionalFormatting sqref="D41">
    <cfRule type="cellIs" dxfId="100" priority="401" operator="lessThan">
      <formula>0</formula>
    </cfRule>
  </conditionalFormatting>
  <conditionalFormatting sqref="D42">
    <cfRule type="cellIs" dxfId="99" priority="400" operator="lessThan">
      <formula>0</formula>
    </cfRule>
  </conditionalFormatting>
  <conditionalFormatting sqref="D43">
    <cfRule type="cellIs" dxfId="98" priority="399" operator="lessThan">
      <formula>0</formula>
    </cfRule>
  </conditionalFormatting>
  <conditionalFormatting sqref="D44">
    <cfRule type="cellIs" dxfId="97" priority="398" operator="lessThan">
      <formula>0</formula>
    </cfRule>
  </conditionalFormatting>
  <conditionalFormatting sqref="D45">
    <cfRule type="cellIs" dxfId="96" priority="397" operator="lessThan">
      <formula>0</formula>
    </cfRule>
  </conditionalFormatting>
  <conditionalFormatting sqref="D46">
    <cfRule type="cellIs" dxfId="95" priority="396" operator="lessThan">
      <formula>0</formula>
    </cfRule>
  </conditionalFormatting>
  <conditionalFormatting sqref="D47">
    <cfRule type="cellIs" dxfId="94" priority="395" operator="lessThan">
      <formula>0</formula>
    </cfRule>
  </conditionalFormatting>
  <conditionalFormatting sqref="D48">
    <cfRule type="cellIs" dxfId="93" priority="394" operator="lessThan">
      <formula>0</formula>
    </cfRule>
  </conditionalFormatting>
  <conditionalFormatting sqref="D49">
    <cfRule type="cellIs" dxfId="92" priority="393" operator="lessThan">
      <formula>0</formula>
    </cfRule>
  </conditionalFormatting>
  <conditionalFormatting sqref="D50">
    <cfRule type="cellIs" dxfId="91" priority="392" operator="lessThan">
      <formula>0</formula>
    </cfRule>
  </conditionalFormatting>
  <conditionalFormatting sqref="D51">
    <cfRule type="cellIs" dxfId="90" priority="391" operator="lessThan">
      <formula>0</formula>
    </cfRule>
  </conditionalFormatting>
  <conditionalFormatting sqref="D52">
    <cfRule type="cellIs" dxfId="89" priority="390" operator="lessThan">
      <formula>0</formula>
    </cfRule>
  </conditionalFormatting>
  <conditionalFormatting sqref="D53">
    <cfRule type="cellIs" dxfId="88" priority="389" operator="lessThan">
      <formula>0</formula>
    </cfRule>
  </conditionalFormatting>
  <conditionalFormatting sqref="D54">
    <cfRule type="cellIs" dxfId="87" priority="388" operator="lessThan">
      <formula>0</formula>
    </cfRule>
  </conditionalFormatting>
  <conditionalFormatting sqref="D55">
    <cfRule type="cellIs" dxfId="86" priority="387" operator="lessThan">
      <formula>0</formula>
    </cfRule>
  </conditionalFormatting>
  <conditionalFormatting sqref="D56">
    <cfRule type="cellIs" dxfId="85" priority="386" operator="lessThan">
      <formula>0</formula>
    </cfRule>
  </conditionalFormatting>
  <conditionalFormatting sqref="D57">
    <cfRule type="cellIs" dxfId="84" priority="385" operator="lessThan">
      <formula>0</formula>
    </cfRule>
  </conditionalFormatting>
  <conditionalFormatting sqref="N34">
    <cfRule type="cellIs" dxfId="83" priority="96" operator="lessThan">
      <formula>0</formula>
    </cfRule>
  </conditionalFormatting>
  <conditionalFormatting sqref="N35">
    <cfRule type="cellIs" dxfId="82" priority="95" operator="lessThan">
      <formula>0</formula>
    </cfRule>
  </conditionalFormatting>
  <conditionalFormatting sqref="N36">
    <cfRule type="cellIs" dxfId="81" priority="94" operator="lessThan">
      <formula>0</formula>
    </cfRule>
  </conditionalFormatting>
  <conditionalFormatting sqref="N37">
    <cfRule type="cellIs" dxfId="80" priority="93" operator="lessThan">
      <formula>0</formula>
    </cfRule>
  </conditionalFormatting>
  <conditionalFormatting sqref="N38">
    <cfRule type="cellIs" dxfId="79" priority="92" operator="lessThan">
      <formula>0</formula>
    </cfRule>
  </conditionalFormatting>
  <conditionalFormatting sqref="N39">
    <cfRule type="cellIs" dxfId="78" priority="91" operator="lessThan">
      <formula>0</formula>
    </cfRule>
  </conditionalFormatting>
  <conditionalFormatting sqref="N40">
    <cfRule type="cellIs" dxfId="77" priority="90" operator="lessThan">
      <formula>0</formula>
    </cfRule>
  </conditionalFormatting>
  <conditionalFormatting sqref="N41">
    <cfRule type="cellIs" dxfId="76" priority="89" operator="lessThan">
      <formula>0</formula>
    </cfRule>
  </conditionalFormatting>
  <conditionalFormatting sqref="N42">
    <cfRule type="cellIs" dxfId="75" priority="88" operator="lessThan">
      <formula>0</formula>
    </cfRule>
  </conditionalFormatting>
  <conditionalFormatting sqref="N43">
    <cfRule type="cellIs" dxfId="74" priority="87" operator="lessThan">
      <formula>0</formula>
    </cfRule>
  </conditionalFormatting>
  <conditionalFormatting sqref="N44">
    <cfRule type="cellIs" dxfId="73" priority="86" operator="lessThan">
      <formula>0</formula>
    </cfRule>
  </conditionalFormatting>
  <conditionalFormatting sqref="N45">
    <cfRule type="cellIs" dxfId="72" priority="85" operator="lessThan">
      <formula>0</formula>
    </cfRule>
  </conditionalFormatting>
  <conditionalFormatting sqref="N46">
    <cfRule type="cellIs" dxfId="71" priority="84" operator="lessThan">
      <formula>0</formula>
    </cfRule>
  </conditionalFormatting>
  <conditionalFormatting sqref="N47">
    <cfRule type="cellIs" dxfId="70" priority="83" operator="lessThan">
      <formula>0</formula>
    </cfRule>
  </conditionalFormatting>
  <conditionalFormatting sqref="N48">
    <cfRule type="cellIs" dxfId="69" priority="82" operator="lessThan">
      <formula>0</formula>
    </cfRule>
  </conditionalFormatting>
  <conditionalFormatting sqref="N49">
    <cfRule type="cellIs" dxfId="68" priority="81" operator="lessThan">
      <formula>0</formula>
    </cfRule>
  </conditionalFormatting>
  <conditionalFormatting sqref="N50">
    <cfRule type="cellIs" dxfId="67" priority="80" operator="lessThan">
      <formula>0</formula>
    </cfRule>
  </conditionalFormatting>
  <conditionalFormatting sqref="N51">
    <cfRule type="cellIs" dxfId="66" priority="79" operator="lessThan">
      <formula>0</formula>
    </cfRule>
  </conditionalFormatting>
  <conditionalFormatting sqref="N52">
    <cfRule type="cellIs" dxfId="65" priority="78" operator="lessThan">
      <formula>0</formula>
    </cfRule>
  </conditionalFormatting>
  <conditionalFormatting sqref="N53">
    <cfRule type="cellIs" dxfId="64" priority="77" operator="lessThan">
      <formula>0</formula>
    </cfRule>
  </conditionalFormatting>
  <conditionalFormatting sqref="N54">
    <cfRule type="cellIs" dxfId="63" priority="76" operator="lessThan">
      <formula>0</formula>
    </cfRule>
  </conditionalFormatting>
  <conditionalFormatting sqref="N55">
    <cfRule type="cellIs" dxfId="62" priority="75" operator="lessThan">
      <formula>0</formula>
    </cfRule>
  </conditionalFormatting>
  <conditionalFormatting sqref="N56">
    <cfRule type="cellIs" dxfId="61" priority="74" operator="lessThan">
      <formula>0</formula>
    </cfRule>
  </conditionalFormatting>
  <conditionalFormatting sqref="N57">
    <cfRule type="cellIs" dxfId="60" priority="73" operator="lessThan">
      <formula>0</formula>
    </cfRule>
  </conditionalFormatting>
  <conditionalFormatting sqref="X34">
    <cfRule type="cellIs" dxfId="59" priority="72" operator="lessThan">
      <formula>0</formula>
    </cfRule>
  </conditionalFormatting>
  <conditionalFormatting sqref="X35">
    <cfRule type="cellIs" dxfId="58" priority="71" operator="lessThan">
      <formula>0</formula>
    </cfRule>
  </conditionalFormatting>
  <conditionalFormatting sqref="X36">
    <cfRule type="cellIs" dxfId="57" priority="70" operator="lessThan">
      <formula>0</formula>
    </cfRule>
  </conditionalFormatting>
  <conditionalFormatting sqref="X37">
    <cfRule type="cellIs" dxfId="56" priority="69" operator="lessThan">
      <formula>0</formula>
    </cfRule>
  </conditionalFormatting>
  <conditionalFormatting sqref="X38">
    <cfRule type="cellIs" dxfId="55" priority="68" operator="lessThan">
      <formula>0</formula>
    </cfRule>
  </conditionalFormatting>
  <conditionalFormatting sqref="X39">
    <cfRule type="cellIs" dxfId="54" priority="67" operator="lessThan">
      <formula>0</formula>
    </cfRule>
  </conditionalFormatting>
  <conditionalFormatting sqref="X40">
    <cfRule type="cellIs" dxfId="53" priority="66" operator="lessThan">
      <formula>0</formula>
    </cfRule>
  </conditionalFormatting>
  <conditionalFormatting sqref="X41">
    <cfRule type="cellIs" dxfId="52" priority="65" operator="lessThan">
      <formula>0</formula>
    </cfRule>
  </conditionalFormatting>
  <conditionalFormatting sqref="X42">
    <cfRule type="cellIs" dxfId="51" priority="64" operator="lessThan">
      <formula>0</formula>
    </cfRule>
  </conditionalFormatting>
  <conditionalFormatting sqref="X43">
    <cfRule type="cellIs" dxfId="50" priority="63" operator="lessThan">
      <formula>0</formula>
    </cfRule>
  </conditionalFormatting>
  <conditionalFormatting sqref="X44">
    <cfRule type="cellIs" dxfId="49" priority="62" operator="lessThan">
      <formula>0</formula>
    </cfRule>
  </conditionalFormatting>
  <conditionalFormatting sqref="X45">
    <cfRule type="cellIs" dxfId="48" priority="61" operator="lessThan">
      <formula>0</formula>
    </cfRule>
  </conditionalFormatting>
  <conditionalFormatting sqref="X46">
    <cfRule type="cellIs" dxfId="47" priority="60" operator="lessThan">
      <formula>0</formula>
    </cfRule>
  </conditionalFormatting>
  <conditionalFormatting sqref="X47">
    <cfRule type="cellIs" dxfId="46" priority="59" operator="lessThan">
      <formula>0</formula>
    </cfRule>
  </conditionalFormatting>
  <conditionalFormatting sqref="X48">
    <cfRule type="cellIs" dxfId="45" priority="58" operator="lessThan">
      <formula>0</formula>
    </cfRule>
  </conditionalFormatting>
  <conditionalFormatting sqref="X49">
    <cfRule type="cellIs" dxfId="44" priority="57" operator="lessThan">
      <formula>0</formula>
    </cfRule>
  </conditionalFormatting>
  <conditionalFormatting sqref="X50">
    <cfRule type="cellIs" dxfId="43" priority="56" operator="lessThan">
      <formula>0</formula>
    </cfRule>
  </conditionalFormatting>
  <conditionalFormatting sqref="X51">
    <cfRule type="cellIs" dxfId="42" priority="55" operator="lessThan">
      <formula>0</formula>
    </cfRule>
  </conditionalFormatting>
  <conditionalFormatting sqref="X52">
    <cfRule type="cellIs" dxfId="41" priority="54" operator="lessThan">
      <formula>0</formula>
    </cfRule>
  </conditionalFormatting>
  <conditionalFormatting sqref="X53">
    <cfRule type="cellIs" dxfId="40" priority="53" operator="lessThan">
      <formula>0</formula>
    </cfRule>
  </conditionalFormatting>
  <conditionalFormatting sqref="X54">
    <cfRule type="cellIs" dxfId="39" priority="52" operator="lessThan">
      <formula>0</formula>
    </cfRule>
  </conditionalFormatting>
  <conditionalFormatting sqref="X55">
    <cfRule type="cellIs" dxfId="38" priority="51" operator="lessThan">
      <formula>0</formula>
    </cfRule>
  </conditionalFormatting>
  <conditionalFormatting sqref="X56">
    <cfRule type="cellIs" dxfId="37" priority="50" operator="lessThan">
      <formula>0</formula>
    </cfRule>
  </conditionalFormatting>
  <conditionalFormatting sqref="X57">
    <cfRule type="cellIs" dxfId="36" priority="49" operator="lessThan">
      <formula>0</formula>
    </cfRule>
  </conditionalFormatting>
  <conditionalFormatting sqref="AH34">
    <cfRule type="cellIs" dxfId="35" priority="48" operator="lessThan">
      <formula>0</formula>
    </cfRule>
  </conditionalFormatting>
  <conditionalFormatting sqref="AH35">
    <cfRule type="cellIs" dxfId="34" priority="47" operator="lessThan">
      <formula>0</formula>
    </cfRule>
  </conditionalFormatting>
  <conditionalFormatting sqref="AH36">
    <cfRule type="cellIs" dxfId="33" priority="46" operator="lessThan">
      <formula>0</formula>
    </cfRule>
  </conditionalFormatting>
  <conditionalFormatting sqref="AH37">
    <cfRule type="cellIs" dxfId="32" priority="45" operator="lessThan">
      <formula>0</formula>
    </cfRule>
  </conditionalFormatting>
  <conditionalFormatting sqref="AH38">
    <cfRule type="cellIs" dxfId="31" priority="44" operator="lessThan">
      <formula>0</formula>
    </cfRule>
  </conditionalFormatting>
  <conditionalFormatting sqref="AH39">
    <cfRule type="cellIs" dxfId="30" priority="43" operator="lessThan">
      <formula>0</formula>
    </cfRule>
  </conditionalFormatting>
  <conditionalFormatting sqref="AH40">
    <cfRule type="cellIs" dxfId="29" priority="42" operator="lessThan">
      <formula>0</formula>
    </cfRule>
  </conditionalFormatting>
  <conditionalFormatting sqref="AH41">
    <cfRule type="cellIs" dxfId="28" priority="41" operator="lessThan">
      <formula>0</formula>
    </cfRule>
  </conditionalFormatting>
  <conditionalFormatting sqref="AH42">
    <cfRule type="cellIs" dxfId="27" priority="40" operator="lessThan">
      <formula>0</formula>
    </cfRule>
  </conditionalFormatting>
  <conditionalFormatting sqref="AH43">
    <cfRule type="cellIs" dxfId="26" priority="39" operator="lessThan">
      <formula>0</formula>
    </cfRule>
  </conditionalFormatting>
  <conditionalFormatting sqref="AH44">
    <cfRule type="cellIs" dxfId="25" priority="38" operator="lessThan">
      <formula>0</formula>
    </cfRule>
  </conditionalFormatting>
  <conditionalFormatting sqref="AH45">
    <cfRule type="cellIs" dxfId="24" priority="37" operator="lessThan">
      <formula>0</formula>
    </cfRule>
  </conditionalFormatting>
  <conditionalFormatting sqref="AH46">
    <cfRule type="cellIs" dxfId="23" priority="36" operator="lessThan">
      <formula>0</formula>
    </cfRule>
  </conditionalFormatting>
  <conditionalFormatting sqref="AH47">
    <cfRule type="cellIs" dxfId="22" priority="35" operator="lessThan">
      <formula>0</formula>
    </cfRule>
  </conditionalFormatting>
  <conditionalFormatting sqref="AH48">
    <cfRule type="cellIs" dxfId="21" priority="34" operator="lessThan">
      <formula>0</formula>
    </cfRule>
  </conditionalFormatting>
  <conditionalFormatting sqref="AH49">
    <cfRule type="cellIs" dxfId="20" priority="33" operator="lessThan">
      <formula>0</formula>
    </cfRule>
  </conditionalFormatting>
  <conditionalFormatting sqref="AH50">
    <cfRule type="cellIs" dxfId="19" priority="32" operator="lessThan">
      <formula>0</formula>
    </cfRule>
  </conditionalFormatting>
  <conditionalFormatting sqref="AH51">
    <cfRule type="cellIs" dxfId="18" priority="31" operator="lessThan">
      <formula>0</formula>
    </cfRule>
  </conditionalFormatting>
  <conditionalFormatting sqref="AH52">
    <cfRule type="cellIs" dxfId="17" priority="30" operator="lessThan">
      <formula>0</formula>
    </cfRule>
  </conditionalFormatting>
  <conditionalFormatting sqref="AH53">
    <cfRule type="cellIs" dxfId="16" priority="29" operator="lessThan">
      <formula>0</formula>
    </cfRule>
  </conditionalFormatting>
  <conditionalFormatting sqref="AH54">
    <cfRule type="cellIs" dxfId="15" priority="28" operator="lessThan">
      <formula>0</formula>
    </cfRule>
  </conditionalFormatting>
  <conditionalFormatting sqref="AH55">
    <cfRule type="cellIs" dxfId="14" priority="27" operator="lessThan">
      <formula>0</formula>
    </cfRule>
  </conditionalFormatting>
  <conditionalFormatting sqref="AH56">
    <cfRule type="cellIs" dxfId="13" priority="26" operator="lessThan">
      <formula>0</formula>
    </cfRule>
  </conditionalFormatting>
  <conditionalFormatting sqref="AH57">
    <cfRule type="cellIs" dxfId="12" priority="25" operator="lessThan">
      <formula>0</formula>
    </cfRule>
  </conditionalFormatting>
  <conditionalFormatting sqref="AR34:AR57">
    <cfRule type="cellIs" dxfId="11" priority="24" operator="lessThan">
      <formula>0</formula>
    </cfRule>
  </conditionalFormatting>
  <pageMargins left="0.92181102399999992" right="0.33" top="0.52" bottom="0.34" header="0.31496062000000002" footer="0.18"/>
  <pageSetup scale="25" fitToHeight="2" orientation="portrait" horizontalDpi="360" verticalDpi="360" r:id="rId1"/>
  <rowBreaks count="1" manualBreakCount="1">
    <brk id="72" max="41" man="1"/>
  </rowBreaks>
  <drawing r:id="rId2"/>
  <webPublishItems count="5">
    <webPublishItem id="31095" divId="Atualizando Informações COI - USINA_31095" sourceType="range" sourceRef="A1:U89" destinationFile="C:\Users\01516483\Desktop\Informações COI - USINA.html"/>
    <webPublishItem id="4904" divId="ACOMPANHAMENTO USINA" sourceType="range" sourceRef="A1:AY180" destinationFile="\\10.46.67.9\Publicar\Usina\InformCOIDia\Dia14.html"/>
    <webPublishItem id="9731" divId="InformacoesCOI MINA" sourceType="range" sourceRef="A1:BA73" destinationFile="M:\turno\InformacoesCOI_MINAs.htm"/>
    <webPublishItem id="13468" divId="InformacoesCOI" sourceType="range" sourceRef="A1:BA177" destinationFile="M:\turno\InformacoesCOI_USINAs.html"/>
    <webPublishItem id="28299" divId="InformacoesCOIs" sourceType="range" sourceRef="A1:BA177" destinationFile="\\172.19.44.204\cco\turno\InformacoesCOI_USINAs.html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4"/>
  <dimension ref="A1:CI49"/>
  <sheetViews>
    <sheetView showGridLines="0" view="pageBreakPreview" topLeftCell="H1" zoomScale="40" zoomScaleNormal="90" zoomScaleSheetLayoutView="40" workbookViewId="0">
      <selection activeCell="U2" sqref="U2"/>
    </sheetView>
  </sheetViews>
  <sheetFormatPr defaultColWidth="9.109375" defaultRowHeight="54.9" customHeight="1"/>
  <cols>
    <col min="1" max="1" width="12.33203125" style="70" hidden="1" customWidth="1"/>
    <col min="2" max="2" width="8.6640625" style="15" customWidth="1"/>
    <col min="3" max="3" width="12" style="15" customWidth="1"/>
    <col min="4" max="4" width="82.109375" style="15" customWidth="1"/>
    <col min="5" max="5" width="2.6640625" style="15" customWidth="1"/>
    <col min="6" max="6" width="8.6640625" style="15" customWidth="1"/>
    <col min="7" max="7" width="12" style="15" customWidth="1"/>
    <col min="8" max="8" width="82.109375" style="15" customWidth="1"/>
    <col min="9" max="9" width="2.6640625" style="61" customWidth="1"/>
    <col min="10" max="10" width="8.6640625" style="15" customWidth="1"/>
    <col min="11" max="11" width="12" style="15" customWidth="1"/>
    <col min="12" max="12" width="82.109375" style="15" customWidth="1"/>
    <col min="13" max="13" width="2.6640625" style="61" customWidth="1"/>
    <col min="14" max="14" width="8.6640625" style="15" customWidth="1"/>
    <col min="15" max="15" width="12" style="15" customWidth="1"/>
    <col min="16" max="16" width="82.109375" style="15" customWidth="1"/>
    <col min="17" max="17" width="4.109375" style="61" customWidth="1"/>
    <col min="18" max="18" width="8.6640625" style="15" customWidth="1"/>
    <col min="19" max="19" width="12" style="15" customWidth="1"/>
    <col min="20" max="20" width="82.109375" style="15" customWidth="1"/>
    <col min="21" max="21" width="4.109375" style="61" customWidth="1"/>
    <col min="22" max="22" width="26.77734375" customWidth="1"/>
    <col min="23" max="23" width="29.33203125" customWidth="1"/>
    <col min="24" max="24" width="22.77734375" style="61" customWidth="1"/>
    <col min="25" max="25" width="21.77734375" style="61" bestFit="1" customWidth="1"/>
    <col min="26" max="26" width="5.6640625" style="61" customWidth="1"/>
    <col min="27" max="27" width="6.44140625" style="61" customWidth="1"/>
    <col min="28" max="28" width="0" style="61" hidden="1" customWidth="1"/>
    <col min="29" max="32" width="9.109375" style="61"/>
    <col min="33" max="33" width="9.33203125" style="61" customWidth="1"/>
    <col min="34" max="35" width="9.109375" style="61"/>
    <col min="36" max="36" width="18.33203125" style="61" customWidth="1"/>
    <col min="37" max="37" width="0.5546875" style="61" customWidth="1"/>
    <col min="38" max="38" width="2" style="61" customWidth="1"/>
    <col min="39" max="39" width="3.44140625" style="61" customWidth="1"/>
    <col min="40" max="44" width="9.109375" style="61"/>
    <col min="45" max="45" width="11.21875" style="61" bestFit="1" customWidth="1"/>
    <col min="46" max="46" width="9.109375" style="61"/>
    <col min="47" max="47" width="14.5546875" style="61" bestFit="1" customWidth="1"/>
    <col min="48" max="48" width="12.44140625" style="61" customWidth="1"/>
    <col min="49" max="49" width="2.88671875" style="61" customWidth="1"/>
    <col min="50" max="50" width="1.5546875" style="61" customWidth="1"/>
    <col min="51" max="51" width="2.109375" style="61" customWidth="1"/>
    <col min="52" max="52" width="2.5546875" style="61" customWidth="1"/>
    <col min="53" max="59" width="9.109375" style="61"/>
    <col min="60" max="60" width="9.109375" style="61" customWidth="1"/>
    <col min="61" max="61" width="0.5546875" style="61" customWidth="1"/>
    <col min="62" max="62" width="1.5546875" style="61" customWidth="1"/>
    <col min="63" max="63" width="0.6640625" style="61" customWidth="1"/>
    <col min="64" max="16384" width="9.109375" style="61"/>
  </cols>
  <sheetData>
    <row r="1" spans="1:87" s="60" customFormat="1" ht="54.9" customHeight="1">
      <c r="A1" s="57" t="s">
        <v>0</v>
      </c>
      <c r="B1" s="141" t="s">
        <v>1</v>
      </c>
      <c r="C1" s="142"/>
      <c r="D1" s="143"/>
      <c r="E1" s="58"/>
      <c r="F1" s="141" t="s">
        <v>2</v>
      </c>
      <c r="G1" s="142"/>
      <c r="H1" s="143"/>
      <c r="I1" s="59"/>
      <c r="J1" s="141" t="s">
        <v>3</v>
      </c>
      <c r="K1" s="142"/>
      <c r="L1" s="143"/>
      <c r="M1" s="59"/>
      <c r="N1" s="141" t="s">
        <v>4</v>
      </c>
      <c r="O1" s="142"/>
      <c r="P1" s="143"/>
      <c r="R1" s="141" t="s">
        <v>60</v>
      </c>
      <c r="S1" s="142"/>
      <c r="T1" s="143"/>
      <c r="V1"/>
      <c r="W1"/>
      <c r="X1" s="61"/>
      <c r="Y1" s="91" t="s">
        <v>5</v>
      </c>
      <c r="BE1" s="88"/>
      <c r="BF1" s="88"/>
      <c r="BG1" s="88"/>
      <c r="BH1" s="88"/>
      <c r="BI1" s="88"/>
      <c r="BJ1" s="88"/>
      <c r="BK1" s="88"/>
      <c r="BL1" s="88"/>
    </row>
    <row r="2" spans="1:87" s="66" customFormat="1" ht="54.9" customHeight="1">
      <c r="A2" s="62" t="s">
        <v>6</v>
      </c>
      <c r="B2" s="63" t="s">
        <v>7</v>
      </c>
      <c r="C2" s="63" t="s">
        <v>8</v>
      </c>
      <c r="D2" s="63" t="s">
        <v>9</v>
      </c>
      <c r="E2" s="64"/>
      <c r="F2" s="63" t="s">
        <v>7</v>
      </c>
      <c r="G2" s="63" t="s">
        <v>8</v>
      </c>
      <c r="H2" s="63" t="s">
        <v>9</v>
      </c>
      <c r="I2" s="65"/>
      <c r="J2" s="63" t="s">
        <v>7</v>
      </c>
      <c r="K2" s="63" t="s">
        <v>8</v>
      </c>
      <c r="L2" s="63" t="s">
        <v>9</v>
      </c>
      <c r="M2" s="65"/>
      <c r="N2" s="63" t="s">
        <v>7</v>
      </c>
      <c r="O2" s="63" t="s">
        <v>8</v>
      </c>
      <c r="P2" s="63" t="s">
        <v>9</v>
      </c>
      <c r="R2" s="63" t="s">
        <v>7</v>
      </c>
      <c r="S2" s="63" t="s">
        <v>8</v>
      </c>
      <c r="T2" s="63" t="s">
        <v>9</v>
      </c>
      <c r="V2"/>
      <c r="W2"/>
      <c r="X2" s="61"/>
      <c r="Y2" s="92">
        <f>+AI2+AU2+BG2+BS2-7000</f>
        <v>300000</v>
      </c>
      <c r="AB2" s="67" t="s">
        <v>10</v>
      </c>
      <c r="AC2" s="93" t="s">
        <v>10</v>
      </c>
      <c r="AD2" s="68"/>
      <c r="AE2" s="68"/>
      <c r="AF2" s="68"/>
      <c r="AG2" s="69" t="s">
        <v>11</v>
      </c>
      <c r="AH2" s="69"/>
      <c r="AI2" s="136">
        <v>257000</v>
      </c>
      <c r="AJ2" s="137"/>
      <c r="AK2" s="66">
        <v>2</v>
      </c>
      <c r="AN2" s="95" t="s">
        <v>12</v>
      </c>
      <c r="AO2" s="68"/>
      <c r="AP2" s="68"/>
      <c r="AQ2" s="68"/>
      <c r="AR2" s="68"/>
      <c r="AS2" s="69" t="s">
        <v>11</v>
      </c>
      <c r="AT2" s="68"/>
      <c r="AU2" s="136">
        <v>0</v>
      </c>
      <c r="AV2" s="137"/>
      <c r="AZ2" s="95" t="s">
        <v>13</v>
      </c>
      <c r="BA2" s="68"/>
      <c r="BB2" s="68"/>
      <c r="BC2" s="68"/>
      <c r="BD2" s="68"/>
      <c r="BE2" s="69" t="s">
        <v>11</v>
      </c>
      <c r="BF2" s="68"/>
      <c r="BG2" s="136">
        <v>45000</v>
      </c>
      <c r="BH2" s="137"/>
      <c r="BL2" s="67" t="s">
        <v>14</v>
      </c>
      <c r="BM2" s="68"/>
      <c r="BN2" s="68"/>
      <c r="BO2" s="68"/>
      <c r="BP2" s="68"/>
      <c r="BQ2" s="69" t="s">
        <v>11</v>
      </c>
      <c r="BR2" s="68"/>
      <c r="BS2" s="136">
        <v>5000</v>
      </c>
      <c r="BT2" s="137"/>
      <c r="BV2" s="67" t="s">
        <v>61</v>
      </c>
      <c r="BW2" s="68"/>
      <c r="BX2" s="68"/>
      <c r="BY2" s="68"/>
      <c r="BZ2" s="68"/>
      <c r="CA2" s="69" t="s">
        <v>11</v>
      </c>
      <c r="CB2" s="68"/>
      <c r="CC2" s="136">
        <v>5500</v>
      </c>
      <c r="CD2" s="137"/>
    </row>
    <row r="3" spans="1:87" ht="54.9" customHeight="1">
      <c r="A3" s="70">
        <f>'ACOMPANHAMENTO USINA'!$AL$2</f>
        <v>45518</v>
      </c>
      <c r="B3" s="71">
        <v>1</v>
      </c>
      <c r="C3" s="72">
        <f ca="1">IF('PRODUÇÃO TOTAL USINA'!L3="","",'PRODUÇÃO TOTAL USINA'!L3-'PRODUÇÃO TOTAL USINA'!K3)</f>
        <v>3016.6527109462158</v>
      </c>
      <c r="D3" s="101"/>
      <c r="E3" s="53"/>
      <c r="F3" s="71">
        <v>1</v>
      </c>
      <c r="G3" s="72">
        <f ca="1">IF('PRODUÇÃO TOTAL USINA'!T3="","",'PRODUÇÃO TOTAL USINA'!T3-'PRODUÇÃO TOTAL USINA'!S3)</f>
        <v>0</v>
      </c>
      <c r="H3" s="101"/>
      <c r="I3" s="73"/>
      <c r="J3" s="71">
        <v>1</v>
      </c>
      <c r="K3" s="72">
        <f ca="1">IF('PRODUÇÃO TOTAL USINA'!AB3="","",'PRODUÇÃO TOTAL USINA'!AB3-'PRODUÇÃO TOTAL USINA'!AA3)</f>
        <v>1190</v>
      </c>
      <c r="L3" s="101"/>
      <c r="M3" s="73"/>
      <c r="N3" s="71">
        <v>1</v>
      </c>
      <c r="O3" s="72">
        <f ca="1">IF('PRODUÇÃO TOTAL USINA'!AJ3="","",'PRODUÇÃO TOTAL USINA'!AJ3-'PRODUÇÃO TOTAL USINA'!AI3)</f>
        <v>189.04166666666669</v>
      </c>
      <c r="P3" s="101"/>
      <c r="R3" s="109">
        <v>0</v>
      </c>
      <c r="S3" s="72">
        <f ca="1">IF('PRODUÇÃO TOTAL USINA'!AR3="","",'PRODUÇÃO TOTAL USINA'!AR3-'PRODUÇÃO TOTAL USINA'!AQ3)</f>
        <v>141.83299937606051</v>
      </c>
      <c r="T3" s="81"/>
      <c r="Y3" s="54"/>
      <c r="Z3" s="15"/>
      <c r="AB3" s="138" t="s">
        <v>10</v>
      </c>
      <c r="AC3" s="138"/>
      <c r="AD3" s="138"/>
      <c r="AE3" s="138"/>
      <c r="AF3" s="138"/>
      <c r="AG3" s="138"/>
      <c r="AH3" s="138"/>
      <c r="AI3" s="138"/>
      <c r="AJ3" s="138"/>
      <c r="AK3" s="15"/>
      <c r="AL3" s="15"/>
      <c r="AM3" s="15"/>
      <c r="AN3" s="138" t="s">
        <v>12</v>
      </c>
      <c r="AO3" s="139"/>
      <c r="AP3" s="139"/>
      <c r="AQ3" s="139"/>
      <c r="AR3" s="139"/>
      <c r="AS3" s="139"/>
      <c r="AT3" s="139"/>
      <c r="AU3" s="139"/>
      <c r="AV3" s="139"/>
      <c r="AW3" s="15"/>
      <c r="AX3" s="15"/>
      <c r="AY3" s="15"/>
      <c r="AZ3" s="138" t="s">
        <v>65</v>
      </c>
      <c r="BA3" s="138"/>
      <c r="BB3" s="138"/>
      <c r="BC3" s="138"/>
      <c r="BD3" s="138"/>
      <c r="BE3" s="138"/>
      <c r="BF3" s="138"/>
      <c r="BG3" s="138"/>
      <c r="BH3" s="138"/>
      <c r="BI3" s="15"/>
      <c r="BJ3" s="15"/>
      <c r="BK3" s="15"/>
      <c r="BL3" s="140" t="s">
        <v>14</v>
      </c>
      <c r="BM3" s="140"/>
      <c r="BN3" s="140"/>
      <c r="BO3" s="140"/>
      <c r="BP3" s="140"/>
      <c r="BQ3" s="140"/>
      <c r="BR3" s="140"/>
      <c r="BS3" s="140"/>
      <c r="BT3" s="140"/>
      <c r="BU3" s="74"/>
      <c r="BV3" s="140" t="s">
        <v>61</v>
      </c>
      <c r="BW3" s="140"/>
      <c r="BX3" s="140"/>
      <c r="BY3" s="140"/>
      <c r="BZ3" s="140"/>
      <c r="CA3" s="140"/>
      <c r="CB3" s="140"/>
      <c r="CC3" s="140"/>
      <c r="CD3" s="140"/>
      <c r="CE3" s="74"/>
      <c r="CF3" s="74"/>
    </row>
    <row r="4" spans="1:87" ht="54.9" customHeight="1">
      <c r="A4" s="70">
        <f>'ACOMPANHAMENTO USINA'!$AL$2</f>
        <v>45518</v>
      </c>
      <c r="B4" s="71">
        <v>2</v>
      </c>
      <c r="C4" s="72">
        <f ca="1">IF('PRODUÇÃO TOTAL USINA'!L4="","",'PRODUÇÃO TOTAL USINA'!L4-'PRODUÇÃO TOTAL USINA'!K4)</f>
        <v>1817.9273237609577</v>
      </c>
      <c r="D4" s="101"/>
      <c r="E4" s="53"/>
      <c r="F4" s="71">
        <v>2</v>
      </c>
      <c r="G4" s="72">
        <f ca="1">IF('PRODUÇÃO TOTAL USINA'!T4="","",'PRODUÇÃO TOTAL USINA'!T4-'PRODUÇÃO TOTAL USINA'!S4)</f>
        <v>0</v>
      </c>
      <c r="H4" s="101"/>
      <c r="I4" s="73"/>
      <c r="J4" s="71">
        <v>2</v>
      </c>
      <c r="K4" s="72">
        <f ca="1">IF('PRODUÇÃO TOTAL USINA'!AB4="","",'PRODUÇÃO TOTAL USINA'!AB4-'PRODUÇÃO TOTAL USINA'!AA4)</f>
        <v>-101.83159999999998</v>
      </c>
      <c r="L4" s="101"/>
      <c r="M4" s="79"/>
      <c r="N4" s="71">
        <v>2</v>
      </c>
      <c r="O4" s="72">
        <f ca="1">IF('PRODUÇÃO TOTAL USINA'!AJ4="","",'PRODUÇÃO TOTAL USINA'!AJ4-'PRODUÇÃO TOTAL USINA'!AI4)</f>
        <v>94.041666666666686</v>
      </c>
      <c r="P4" s="101"/>
      <c r="R4" s="109">
        <v>1</v>
      </c>
      <c r="S4" s="72">
        <f ca="1">IF('PRODUÇÃO TOTAL USINA'!AR4="","",'PRODUÇÃO TOTAL USINA'!AR4-'PRODUÇÃO TOTAL USINA'!AQ4)</f>
        <v>-196.82829229157019</v>
      </c>
      <c r="T4" s="81"/>
      <c r="Y4" s="74"/>
      <c r="AB4" s="138"/>
      <c r="AC4" s="138"/>
      <c r="AD4" s="138"/>
      <c r="AE4" s="138"/>
      <c r="AF4" s="138"/>
      <c r="AG4" s="138"/>
      <c r="AH4" s="138"/>
      <c r="AI4" s="138"/>
      <c r="AJ4" s="138"/>
      <c r="AK4" s="15"/>
      <c r="AL4" s="15"/>
      <c r="AM4" s="15"/>
      <c r="AN4" s="139"/>
      <c r="AO4" s="139"/>
      <c r="AP4" s="139"/>
      <c r="AQ4" s="139"/>
      <c r="AR4" s="139"/>
      <c r="AS4" s="139"/>
      <c r="AT4" s="139"/>
      <c r="AU4" s="139"/>
      <c r="AV4" s="139"/>
      <c r="AW4" s="15"/>
      <c r="AX4" s="15"/>
      <c r="AY4" s="15"/>
      <c r="AZ4" s="138"/>
      <c r="BA4" s="138"/>
      <c r="BB4" s="138"/>
      <c r="BC4" s="138"/>
      <c r="BD4" s="138"/>
      <c r="BE4" s="138"/>
      <c r="BF4" s="138"/>
      <c r="BG4" s="138"/>
      <c r="BH4" s="138"/>
      <c r="BI4" s="15"/>
      <c r="BJ4" s="15"/>
      <c r="BK4" s="15"/>
      <c r="BL4" s="140"/>
      <c r="BM4" s="140"/>
      <c r="BN4" s="140"/>
      <c r="BO4" s="140"/>
      <c r="BP4" s="140"/>
      <c r="BQ4" s="140"/>
      <c r="BR4" s="140"/>
      <c r="BS4" s="140"/>
      <c r="BT4" s="140"/>
      <c r="BV4" s="140"/>
      <c r="BW4" s="140"/>
      <c r="BX4" s="140"/>
      <c r="BY4" s="140"/>
      <c r="BZ4" s="140"/>
      <c r="CA4" s="140"/>
      <c r="CB4" s="140"/>
      <c r="CC4" s="140"/>
      <c r="CD4" s="140"/>
    </row>
    <row r="5" spans="1:87" ht="54.9" customHeight="1">
      <c r="A5" s="70">
        <f>'ACOMPANHAMENTO USINA'!$AL$2</f>
        <v>45518</v>
      </c>
      <c r="B5" s="71">
        <v>3</v>
      </c>
      <c r="C5" s="72">
        <f ca="1">IF('PRODUÇÃO TOTAL USINA'!L5="","",'PRODUÇÃO TOTAL USINA'!L5-'PRODUÇÃO TOTAL USINA'!K5)</f>
        <v>-683.75824481893324</v>
      </c>
      <c r="D5" s="101"/>
      <c r="E5" s="53"/>
      <c r="F5" s="71" t="s">
        <v>15</v>
      </c>
      <c r="G5" s="72">
        <f ca="1">IF('PRODUÇÃO TOTAL USINA'!T5="","",'PRODUÇÃO TOTAL USINA'!T5-'PRODUÇÃO TOTAL USINA'!S5)</f>
        <v>0</v>
      </c>
      <c r="H5" s="101"/>
      <c r="I5" s="73"/>
      <c r="J5" s="71">
        <v>3</v>
      </c>
      <c r="K5" s="72">
        <f ca="1">IF('PRODUÇÃO TOTAL USINA'!AB5="","",'PRODUÇÃO TOTAL USINA'!AB5-'PRODUÇÃO TOTAL USINA'!AA5)</f>
        <v>1389.8771999999999</v>
      </c>
      <c r="L5" s="101"/>
      <c r="M5" s="73"/>
      <c r="N5" s="71">
        <v>3</v>
      </c>
      <c r="O5" s="72">
        <f ca="1">IF('PRODUÇÃO TOTAL USINA'!AJ5="","",'PRODUÇÃO TOTAL USINA'!AJ5-'PRODUÇÃO TOTAL USINA'!AI5)</f>
        <v>17.041666666666686</v>
      </c>
      <c r="P5" s="101"/>
      <c r="R5" s="109">
        <v>2</v>
      </c>
      <c r="S5" s="72">
        <f ca="1">IF('PRODUÇÃO TOTAL USINA'!AR5="","",'PRODUÇÃO TOTAL USINA'!AR5-'PRODUÇÃO TOTAL USINA'!AQ5)</f>
        <v>-349.01283352668207</v>
      </c>
      <c r="T5" s="94"/>
      <c r="AB5" s="138"/>
      <c r="AC5" s="138"/>
      <c r="AD5" s="138"/>
      <c r="AE5" s="138"/>
      <c r="AF5" s="138"/>
      <c r="AG5" s="138"/>
      <c r="AH5" s="138"/>
      <c r="AI5" s="138"/>
      <c r="AJ5" s="138"/>
      <c r="AK5" s="15"/>
      <c r="AL5" s="15"/>
      <c r="AM5" s="15"/>
      <c r="AN5" s="139"/>
      <c r="AO5" s="139"/>
      <c r="AP5" s="139"/>
      <c r="AQ5" s="139"/>
      <c r="AR5" s="139"/>
      <c r="AS5" s="139"/>
      <c r="AT5" s="139"/>
      <c r="AU5" s="139"/>
      <c r="AV5" s="139"/>
      <c r="AW5" s="15"/>
      <c r="AX5" s="15"/>
      <c r="AY5" s="15"/>
      <c r="AZ5" s="138"/>
      <c r="BA5" s="138"/>
      <c r="BB5" s="138"/>
      <c r="BC5" s="138"/>
      <c r="BD5" s="138"/>
      <c r="BE5" s="138"/>
      <c r="BF5" s="138"/>
      <c r="BG5" s="138"/>
      <c r="BH5" s="138"/>
      <c r="BI5" s="15"/>
      <c r="BJ5" s="15"/>
      <c r="BK5" s="15"/>
      <c r="BL5" s="140"/>
      <c r="BM5" s="140"/>
      <c r="BN5" s="140"/>
      <c r="BO5" s="140"/>
      <c r="BP5" s="140"/>
      <c r="BQ5" s="140"/>
      <c r="BR5" s="140"/>
      <c r="BS5" s="140"/>
      <c r="BT5" s="140"/>
      <c r="BV5" s="140"/>
      <c r="BW5" s="140"/>
      <c r="BX5" s="140"/>
      <c r="BY5" s="140"/>
      <c r="BZ5" s="140"/>
      <c r="CA5" s="140"/>
      <c r="CB5" s="140"/>
      <c r="CC5" s="140"/>
      <c r="CD5" s="140"/>
    </row>
    <row r="6" spans="1:87" ht="54.9" customHeight="1">
      <c r="A6" s="70">
        <f>'ACOMPANHAMENTO USINA'!$AL$2</f>
        <v>45518</v>
      </c>
      <c r="B6" s="71">
        <v>4</v>
      </c>
      <c r="C6" s="72">
        <f ca="1">IF('PRODUÇÃO TOTAL USINA'!L6="","",'PRODUÇÃO TOTAL USINA'!L6-'PRODUÇÃO TOTAL USINA'!K6)</f>
        <v>189.55474872377636</v>
      </c>
      <c r="D6" s="101"/>
      <c r="E6" s="53"/>
      <c r="F6" s="71">
        <v>4</v>
      </c>
      <c r="G6" s="72">
        <f ca="1">IF('PRODUÇÃO TOTAL USINA'!T6="","",'PRODUÇÃO TOTAL USINA'!T6-'PRODUÇÃO TOTAL USINA'!S6)</f>
        <v>0</v>
      </c>
      <c r="H6" s="101"/>
      <c r="I6" s="73"/>
      <c r="J6" s="71">
        <v>4</v>
      </c>
      <c r="K6" s="72">
        <f ca="1">IF('PRODUÇÃO TOTAL USINA'!AB6="","",'PRODUÇÃO TOTAL USINA'!AB6-'PRODUÇÃO TOTAL USINA'!AA6)</f>
        <v>1074.8735999999999</v>
      </c>
      <c r="L6" s="101"/>
      <c r="M6" s="73"/>
      <c r="N6" s="71">
        <v>4</v>
      </c>
      <c r="O6" s="72">
        <f ca="1">IF('PRODUÇÃO TOTAL USINA'!AJ6="","",'PRODUÇÃO TOTAL USINA'!AJ6-'PRODUÇÃO TOTAL USINA'!AI6)</f>
        <v>65.041666666666686</v>
      </c>
      <c r="P6" s="101"/>
      <c r="R6" s="109">
        <v>3</v>
      </c>
      <c r="S6" s="72">
        <f ca="1">IF('PRODUÇÃO TOTAL USINA'!AR6="","",'PRODUÇÃO TOTAL USINA'!AR6-'PRODUÇÃO TOTAL USINA'!AQ6)</f>
        <v>-349.01283352668207</v>
      </c>
      <c r="T6" s="81"/>
      <c r="AB6" s="138"/>
      <c r="AC6" s="138"/>
      <c r="AD6" s="138"/>
      <c r="AE6" s="138"/>
      <c r="AF6" s="138"/>
      <c r="AG6" s="138"/>
      <c r="AH6" s="138"/>
      <c r="AI6" s="138"/>
      <c r="AJ6" s="138"/>
      <c r="AK6" s="15"/>
      <c r="AL6" s="15"/>
      <c r="AM6" s="15"/>
      <c r="AN6" s="139"/>
      <c r="AO6" s="139"/>
      <c r="AP6" s="139"/>
      <c r="AQ6" s="139"/>
      <c r="AR6" s="139"/>
      <c r="AS6" s="139"/>
      <c r="AT6" s="139"/>
      <c r="AU6" s="139"/>
      <c r="AV6" s="139"/>
      <c r="AW6" s="15"/>
      <c r="AX6" s="15"/>
      <c r="AY6" s="15"/>
      <c r="AZ6" s="138"/>
      <c r="BA6" s="138"/>
      <c r="BB6" s="138"/>
      <c r="BC6" s="138"/>
      <c r="BD6" s="138"/>
      <c r="BE6" s="138"/>
      <c r="BF6" s="138"/>
      <c r="BG6" s="138"/>
      <c r="BH6" s="138"/>
      <c r="BI6" s="15"/>
      <c r="BJ6" s="15"/>
      <c r="BK6" s="15"/>
      <c r="BL6" s="140"/>
      <c r="BM6" s="140"/>
      <c r="BN6" s="140"/>
      <c r="BO6" s="140"/>
      <c r="BP6" s="140"/>
      <c r="BQ6" s="140"/>
      <c r="BR6" s="140"/>
      <c r="BS6" s="140"/>
      <c r="BT6" s="140"/>
      <c r="BV6" s="140"/>
      <c r="BW6" s="140"/>
      <c r="BX6" s="140"/>
      <c r="BY6" s="140"/>
      <c r="BZ6" s="140"/>
      <c r="CA6" s="140"/>
      <c r="CB6" s="140"/>
      <c r="CC6" s="140"/>
      <c r="CD6" s="140"/>
    </row>
    <row r="7" spans="1:87" ht="54.9" customHeight="1">
      <c r="A7" s="70">
        <f>'ACOMPANHAMENTO USINA'!$AL$2</f>
        <v>45518</v>
      </c>
      <c r="B7" s="71">
        <v>5</v>
      </c>
      <c r="C7" s="72">
        <f ca="1">IF('PRODUÇÃO TOTAL USINA'!L7="","",'PRODUÇÃO TOTAL USINA'!L7-'PRODUÇÃO TOTAL USINA'!K7)</f>
        <v>-1210.9021388560068</v>
      </c>
      <c r="D7" s="101"/>
      <c r="E7" s="53"/>
      <c r="F7" s="71">
        <v>5</v>
      </c>
      <c r="G7" s="72">
        <f ca="1">IF('PRODUÇÃO TOTAL USINA'!T7="","",'PRODUÇÃO TOTAL USINA'!T7-'PRODUÇÃO TOTAL USINA'!S7)</f>
        <v>0</v>
      </c>
      <c r="H7" s="101"/>
      <c r="I7" s="73"/>
      <c r="J7" s="71">
        <v>5</v>
      </c>
      <c r="K7" s="72">
        <f ca="1">IF('PRODUÇÃO TOTAL USINA'!AB7="","",'PRODUÇÃO TOTAL USINA'!AB7-'PRODUÇÃO TOTAL USINA'!AA7)</f>
        <v>-175.37199999999984</v>
      </c>
      <c r="L7" s="101"/>
      <c r="M7" s="73"/>
      <c r="N7" s="71">
        <v>5</v>
      </c>
      <c r="O7" s="72">
        <f ca="1">IF('PRODUÇÃO TOTAL USINA'!AJ7="","",'PRODUÇÃO TOTAL USINA'!AJ7-'PRODUÇÃO TOTAL USINA'!AI7)</f>
        <v>64.041666666666686</v>
      </c>
      <c r="P7" s="101"/>
      <c r="R7" s="109">
        <v>4</v>
      </c>
      <c r="S7" s="72">
        <f ca="1">IF('PRODUÇÃO TOTAL USINA'!AR7="","",'PRODUÇÃO TOTAL USINA'!AR7-'PRODUÇÃO TOTAL USINA'!AQ7)</f>
        <v>-349.01283352668207</v>
      </c>
      <c r="T7" s="81"/>
      <c r="Y7" s="76"/>
      <c r="AB7" s="138"/>
      <c r="AC7" s="138"/>
      <c r="AD7" s="138"/>
      <c r="AE7" s="138"/>
      <c r="AF7" s="138"/>
      <c r="AG7" s="138"/>
      <c r="AH7" s="138"/>
      <c r="AI7" s="138"/>
      <c r="AJ7" s="138"/>
      <c r="AN7" s="139"/>
      <c r="AO7" s="139"/>
      <c r="AP7" s="139"/>
      <c r="AQ7" s="139"/>
      <c r="AR7" s="139"/>
      <c r="AS7" s="139"/>
      <c r="AT7" s="139"/>
      <c r="AU7" s="139"/>
      <c r="AV7" s="139"/>
      <c r="AZ7" s="138"/>
      <c r="BA7" s="138"/>
      <c r="BB7" s="138"/>
      <c r="BC7" s="138"/>
      <c r="BD7" s="138"/>
      <c r="BE7" s="138"/>
      <c r="BF7" s="138"/>
      <c r="BG7" s="138"/>
      <c r="BH7" s="138"/>
      <c r="BL7" s="140"/>
      <c r="BM7" s="140"/>
      <c r="BN7" s="140"/>
      <c r="BO7" s="140"/>
      <c r="BP7" s="140"/>
      <c r="BQ7" s="140"/>
      <c r="BR7" s="140"/>
      <c r="BS7" s="140"/>
      <c r="BT7" s="140"/>
      <c r="BV7" s="140"/>
      <c r="BW7" s="140"/>
      <c r="BX7" s="140"/>
      <c r="BY7" s="140"/>
      <c r="BZ7" s="140"/>
      <c r="CA7" s="140"/>
      <c r="CB7" s="140"/>
      <c r="CC7" s="140"/>
      <c r="CD7" s="140"/>
      <c r="CI7" s="78"/>
    </row>
    <row r="8" spans="1:87" ht="69.75" customHeight="1">
      <c r="A8" s="70">
        <f>'ACOMPANHAMENTO USINA'!$AL$2</f>
        <v>45518</v>
      </c>
      <c r="B8" s="71" t="s">
        <v>16</v>
      </c>
      <c r="C8" s="72">
        <f ca="1">IF('PRODUÇÃO TOTAL USINA'!L8="","",'PRODUÇÃO TOTAL USINA'!L8-'PRODUÇÃO TOTAL USINA'!K8)</f>
        <v>1447.0859612454424</v>
      </c>
      <c r="D8" s="101"/>
      <c r="E8" s="53"/>
      <c r="F8" s="71" t="s">
        <v>16</v>
      </c>
      <c r="G8" s="72">
        <f ca="1">IF('PRODUÇÃO TOTAL USINA'!T8="","",'PRODUÇÃO TOTAL USINA'!T8-'PRODUÇÃO TOTAL USINA'!S8)</f>
        <v>0</v>
      </c>
      <c r="H8" s="101"/>
      <c r="I8" s="73"/>
      <c r="J8" s="71">
        <v>6</v>
      </c>
      <c r="K8" s="72">
        <f ca="1">IF('PRODUÇÃO TOTAL USINA'!AB8="","",'PRODUÇÃO TOTAL USINA'!AB8-'PRODUÇÃO TOTAL USINA'!AA8)</f>
        <v>843.04199999999992</v>
      </c>
      <c r="L8" s="101"/>
      <c r="M8" s="73"/>
      <c r="N8" s="71">
        <v>6</v>
      </c>
      <c r="O8" s="72">
        <f ca="1">IF('PRODUÇÃO TOTAL USINA'!AJ8="","",'PRODUÇÃO TOTAL USINA'!AJ8-'PRODUÇÃO TOTAL USINA'!AI8)</f>
        <v>25.041666666666686</v>
      </c>
      <c r="P8" s="101"/>
      <c r="R8" s="109">
        <v>5</v>
      </c>
      <c r="S8" s="72">
        <f ca="1">IF('PRODUÇÃO TOTAL USINA'!AR8="","",'PRODUÇÃO TOTAL USINA'!AR8-'PRODUÇÃO TOTAL USINA'!AQ8)</f>
        <v>-70.677309284116689</v>
      </c>
      <c r="T8" s="81"/>
      <c r="AB8" s="138"/>
      <c r="AC8" s="138"/>
      <c r="AD8" s="138"/>
      <c r="AE8" s="138"/>
      <c r="AF8" s="138"/>
      <c r="AG8" s="138"/>
      <c r="AH8" s="138"/>
      <c r="AI8" s="138"/>
      <c r="AJ8" s="138"/>
      <c r="AN8" s="139"/>
      <c r="AO8" s="139"/>
      <c r="AP8" s="139"/>
      <c r="AQ8" s="139"/>
      <c r="AR8" s="139"/>
      <c r="AS8" s="139"/>
      <c r="AT8" s="139"/>
      <c r="AU8" s="139"/>
      <c r="AV8" s="139"/>
      <c r="AZ8" s="138"/>
      <c r="BA8" s="138"/>
      <c r="BB8" s="138"/>
      <c r="BC8" s="138"/>
      <c r="BD8" s="138"/>
      <c r="BE8" s="138"/>
      <c r="BF8" s="138"/>
      <c r="BG8" s="138"/>
      <c r="BH8" s="138"/>
      <c r="BL8" s="140"/>
      <c r="BM8" s="140"/>
      <c r="BN8" s="140"/>
      <c r="BO8" s="140"/>
      <c r="BP8" s="140"/>
      <c r="BQ8" s="140"/>
      <c r="BR8" s="140"/>
      <c r="BS8" s="140"/>
      <c r="BT8" s="140"/>
      <c r="BV8" s="140"/>
      <c r="BW8" s="140"/>
      <c r="BX8" s="140"/>
      <c r="BY8" s="140"/>
      <c r="BZ8" s="140"/>
      <c r="CA8" s="140"/>
      <c r="CB8" s="140"/>
      <c r="CC8" s="140"/>
      <c r="CD8" s="140"/>
    </row>
    <row r="9" spans="1:87" ht="72.75" customHeight="1">
      <c r="A9" s="70">
        <f>'ACOMPANHAMENTO USINA'!$AL$2</f>
        <v>45518</v>
      </c>
      <c r="B9" s="71" t="s">
        <v>17</v>
      </c>
      <c r="C9" s="72">
        <f ca="1">IF('PRODUÇÃO TOTAL USINA'!L9="","",'PRODUÇÃO TOTAL USINA'!L9-'PRODUÇÃO TOTAL USINA'!K9)</f>
        <v>-2101.9153382698605</v>
      </c>
      <c r="D9" s="101"/>
      <c r="E9" s="53"/>
      <c r="F9" s="71" t="s">
        <v>17</v>
      </c>
      <c r="G9" s="72">
        <f ca="1">IF('PRODUÇÃO TOTAL USINA'!T9="","",'PRODUÇÃO TOTAL USINA'!T9-'PRODUÇÃO TOTAL USINA'!S9)</f>
        <v>0</v>
      </c>
      <c r="H9" s="101"/>
      <c r="I9" s="73"/>
      <c r="J9" s="71">
        <v>7</v>
      </c>
      <c r="K9" s="72">
        <f ca="1">IF('PRODUÇÃO TOTAL USINA'!AB9="","",'PRODUÇÃO TOTAL USINA'!AB9-'PRODUÇÃO TOTAL USINA'!AA9)</f>
        <v>-885.37199999999984</v>
      </c>
      <c r="L9" s="101"/>
      <c r="M9" s="73"/>
      <c r="N9" s="71">
        <v>7</v>
      </c>
      <c r="O9" s="72">
        <f ca="1">IF('PRODUÇÃO TOTAL USINA'!AJ9="","",'PRODUÇÃO TOTAL USINA'!AJ9-'PRODUÇÃO TOTAL USINA'!AI9)</f>
        <v>-142.95833333333331</v>
      </c>
      <c r="P9" s="101"/>
      <c r="R9" s="109">
        <v>6</v>
      </c>
      <c r="S9" s="72">
        <f ca="1">IF('PRODUÇÃO TOTAL USINA'!AR9="","",'PRODUÇÃO TOTAL USINA'!AR9-'PRODUÇÃO TOTAL USINA'!AQ9)</f>
        <v>20.833490178415445</v>
      </c>
      <c r="T9" s="81"/>
      <c r="AB9" s="138"/>
      <c r="AC9" s="138"/>
      <c r="AD9" s="138"/>
      <c r="AE9" s="138"/>
      <c r="AF9" s="138"/>
      <c r="AG9" s="138"/>
      <c r="AH9" s="138"/>
      <c r="AI9" s="138"/>
      <c r="AJ9" s="138"/>
      <c r="AN9" s="139"/>
      <c r="AO9" s="139"/>
      <c r="AP9" s="139"/>
      <c r="AQ9" s="139"/>
      <c r="AR9" s="139"/>
      <c r="AS9" s="139"/>
      <c r="AT9" s="139"/>
      <c r="AU9" s="139"/>
      <c r="AV9" s="139"/>
      <c r="AZ9" s="138"/>
      <c r="BA9" s="138"/>
      <c r="BB9" s="138"/>
      <c r="BC9" s="138"/>
      <c r="BD9" s="138"/>
      <c r="BE9" s="138"/>
      <c r="BF9" s="138"/>
      <c r="BG9" s="138"/>
      <c r="BH9" s="138"/>
      <c r="BL9" s="140"/>
      <c r="BM9" s="140"/>
      <c r="BN9" s="140"/>
      <c r="BO9" s="140"/>
      <c r="BP9" s="140"/>
      <c r="BQ9" s="140"/>
      <c r="BR9" s="140"/>
      <c r="BS9" s="140"/>
      <c r="BT9" s="140"/>
      <c r="BV9" s="140"/>
      <c r="BW9" s="140"/>
      <c r="BX9" s="140"/>
      <c r="BY9" s="140"/>
      <c r="BZ9" s="140"/>
      <c r="CA9" s="140"/>
      <c r="CB9" s="140"/>
      <c r="CC9" s="140"/>
      <c r="CD9" s="140"/>
    </row>
    <row r="10" spans="1:87" ht="54.9" customHeight="1">
      <c r="A10" s="70">
        <f>'ACOMPANHAMENTO USINA'!$AL$2</f>
        <v>45518</v>
      </c>
      <c r="B10" s="71" t="s">
        <v>59</v>
      </c>
      <c r="C10" s="72">
        <f ca="1">IF('PRODUÇÃO TOTAL USINA'!L10="","",'PRODUÇÃO TOTAL USINA'!L10-'PRODUÇÃO TOTAL USINA'!K10)</f>
        <v>-4345.9861393713009</v>
      </c>
      <c r="D10" s="101"/>
      <c r="E10" s="53"/>
      <c r="F10" s="71">
        <v>8</v>
      </c>
      <c r="G10" s="72">
        <f ca="1">IF('PRODUÇÃO TOTAL USINA'!T10="","",'PRODUÇÃO TOTAL USINA'!T10-'PRODUÇÃO TOTAL USINA'!S10)</f>
        <v>0</v>
      </c>
      <c r="H10" s="101"/>
      <c r="I10" s="73"/>
      <c r="J10" s="71">
        <v>8</v>
      </c>
      <c r="K10" s="72">
        <f ca="1">IF('PRODUÇÃO TOTAL USINA'!AB10="","",'PRODUÇÃO TOTAL USINA'!AB10-'PRODUÇÃO TOTAL USINA'!AA10)</f>
        <v>-1175.3719999999998</v>
      </c>
      <c r="L10" s="101"/>
      <c r="M10" s="73"/>
      <c r="N10" s="71">
        <v>8</v>
      </c>
      <c r="O10" s="72">
        <f ca="1">IF('PRODUÇÃO TOTAL USINA'!AJ10="","",'PRODUÇÃO TOTAL USINA'!AJ10-'PRODUÇÃO TOTAL USINA'!AI10)</f>
        <v>-142.95833333333331</v>
      </c>
      <c r="P10" s="101"/>
      <c r="R10" s="109">
        <v>7</v>
      </c>
      <c r="S10" s="72">
        <f ca="1">IF('PRODUÇÃO TOTAL USINA'!AR10="","",'PRODUÇÃO TOTAL USINA'!AR10-'PRODUÇÃO TOTAL USINA'!AQ10)</f>
        <v>-30.251474229344524</v>
      </c>
      <c r="T10" s="81"/>
      <c r="AB10" s="138"/>
      <c r="AC10" s="138"/>
      <c r="AD10" s="138"/>
      <c r="AE10" s="138"/>
      <c r="AF10" s="138"/>
      <c r="AG10" s="138"/>
      <c r="AH10" s="138"/>
      <c r="AI10" s="138"/>
      <c r="AJ10" s="138"/>
      <c r="AN10" s="139"/>
      <c r="AO10" s="139"/>
      <c r="AP10" s="139"/>
      <c r="AQ10" s="139"/>
      <c r="AR10" s="139"/>
      <c r="AS10" s="139"/>
      <c r="AT10" s="139"/>
      <c r="AU10" s="139"/>
      <c r="AV10" s="139"/>
      <c r="AZ10" s="138"/>
      <c r="BA10" s="138"/>
      <c r="BB10" s="138"/>
      <c r="BC10" s="138"/>
      <c r="BD10" s="138"/>
      <c r="BE10" s="138"/>
      <c r="BF10" s="138"/>
      <c r="BG10" s="138"/>
      <c r="BH10" s="138"/>
      <c r="BL10" s="140"/>
      <c r="BM10" s="140"/>
      <c r="BN10" s="140"/>
      <c r="BO10" s="140"/>
      <c r="BP10" s="140"/>
      <c r="BQ10" s="140"/>
      <c r="BR10" s="140"/>
      <c r="BS10" s="140"/>
      <c r="BT10" s="140"/>
      <c r="BV10" s="140"/>
      <c r="BW10" s="140"/>
      <c r="BX10" s="140"/>
      <c r="BY10" s="140"/>
      <c r="BZ10" s="140"/>
      <c r="CA10" s="140"/>
      <c r="CB10" s="140"/>
      <c r="CC10" s="140"/>
      <c r="CD10" s="140"/>
    </row>
    <row r="11" spans="1:87" ht="73.5" customHeight="1">
      <c r="A11" s="70">
        <f>'ACOMPANHAMENTO USINA'!$AL$2</f>
        <v>45518</v>
      </c>
      <c r="B11" s="71">
        <v>9</v>
      </c>
      <c r="C11" s="72">
        <f ca="1">IF('PRODUÇÃO TOTAL USINA'!L11="","",'PRODUÇÃO TOTAL USINA'!L11-'PRODUÇÃO TOTAL USINA'!K11)</f>
        <v>-2981.4635377642262</v>
      </c>
      <c r="D11" s="101"/>
      <c r="E11" s="75"/>
      <c r="F11" s="71">
        <v>9</v>
      </c>
      <c r="G11" s="72">
        <f ca="1">IF('PRODUÇÃO TOTAL USINA'!T11="","",'PRODUÇÃO TOTAL USINA'!T11-'PRODUÇÃO TOTAL USINA'!S11)</f>
        <v>0</v>
      </c>
      <c r="H11" s="101"/>
      <c r="I11" s="73"/>
      <c r="J11" s="71">
        <v>9</v>
      </c>
      <c r="K11" s="72">
        <f ca="1">IF('PRODUÇÃO TOTAL USINA'!AB11="","",'PRODUÇÃO TOTAL USINA'!AB11-'PRODUÇÃO TOTAL USINA'!AA11)</f>
        <v>944.50520000000006</v>
      </c>
      <c r="L11" s="101"/>
      <c r="M11" s="73"/>
      <c r="N11" s="71">
        <v>9</v>
      </c>
      <c r="O11" s="72">
        <f ca="1">IF('PRODUÇÃO TOTAL USINA'!AJ11="","",'PRODUÇÃO TOTAL USINA'!AJ11-'PRODUÇÃO TOTAL USINA'!AI11)</f>
        <v>-142.95833333333331</v>
      </c>
      <c r="P11" s="101"/>
      <c r="R11" s="109">
        <v>8</v>
      </c>
      <c r="S11" s="72">
        <f ca="1">IF('PRODUÇÃO TOTAL USINA'!AR11="","",'PRODUÇÃO TOTAL USINA'!AR11-'PRODUÇÃO TOTAL USINA'!AQ11)</f>
        <v>4.0345075819110434</v>
      </c>
      <c r="T11" s="81"/>
      <c r="X11" s="55"/>
      <c r="AB11" s="138"/>
      <c r="AC11" s="138"/>
      <c r="AD11" s="138"/>
      <c r="AE11" s="138"/>
      <c r="AF11" s="138"/>
      <c r="AG11" s="138"/>
      <c r="AH11" s="138"/>
      <c r="AI11" s="138"/>
      <c r="AJ11" s="138"/>
      <c r="AN11" s="139"/>
      <c r="AO11" s="139"/>
      <c r="AP11" s="139"/>
      <c r="AQ11" s="139"/>
      <c r="AR11" s="139"/>
      <c r="AS11" s="139"/>
      <c r="AT11" s="139"/>
      <c r="AU11" s="139"/>
      <c r="AV11" s="139"/>
      <c r="AZ11" s="138"/>
      <c r="BA11" s="138"/>
      <c r="BB11" s="138"/>
      <c r="BC11" s="138"/>
      <c r="BD11" s="138"/>
      <c r="BE11" s="138"/>
      <c r="BF11" s="138"/>
      <c r="BG11" s="138"/>
      <c r="BH11" s="138"/>
      <c r="BL11" s="140"/>
      <c r="BM11" s="140"/>
      <c r="BN11" s="140"/>
      <c r="BO11" s="140"/>
      <c r="BP11" s="140"/>
      <c r="BQ11" s="140"/>
      <c r="BR11" s="140"/>
      <c r="BS11" s="140"/>
      <c r="BT11" s="140"/>
      <c r="BV11" s="140"/>
      <c r="BW11" s="140"/>
      <c r="BX11" s="140"/>
      <c r="BY11" s="140"/>
      <c r="BZ11" s="140"/>
      <c r="CA11" s="140"/>
      <c r="CB11" s="140"/>
      <c r="CC11" s="140"/>
      <c r="CD11" s="140"/>
    </row>
    <row r="12" spans="1:87" ht="70.5" customHeight="1">
      <c r="A12" s="70">
        <f>'ACOMPANHAMENTO USINA'!$AL$2</f>
        <v>45518</v>
      </c>
      <c r="B12" s="71">
        <v>10</v>
      </c>
      <c r="C12" s="72">
        <f ca="1">IF('PRODUÇÃO TOTAL USINA'!L12="","",'PRODUÇÃO TOTAL USINA'!L12-'PRODUÇÃO TOTAL USINA'!K12)</f>
        <v>-2458.4609387336241</v>
      </c>
      <c r="D12" s="101"/>
      <c r="E12" s="53"/>
      <c r="F12" s="71">
        <v>10</v>
      </c>
      <c r="G12" s="72">
        <f ca="1">IF('PRODUÇÃO TOTAL USINA'!T12="","",'PRODUÇÃO TOTAL USINA'!T12-'PRODUÇÃO TOTAL USINA'!S12)</f>
        <v>0</v>
      </c>
      <c r="H12" s="101"/>
      <c r="I12" s="73"/>
      <c r="J12" s="71">
        <v>10</v>
      </c>
      <c r="K12" s="72">
        <f ca="1">IF('PRODUÇÃO TOTAL USINA'!AB12="","",'PRODUÇÃO TOTAL USINA'!AB12-'PRODUÇÃO TOTAL USINA'!AA12)</f>
        <v>896.58240000000001</v>
      </c>
      <c r="L12" s="101"/>
      <c r="M12" s="73"/>
      <c r="N12" s="71">
        <v>10</v>
      </c>
      <c r="O12" s="72">
        <f ca="1">IF('PRODUÇÃO TOTAL USINA'!AJ12="","",'PRODUÇÃO TOTAL USINA'!AJ12-'PRODUÇÃO TOTAL USINA'!AI12)</f>
        <v>-142.95833333333331</v>
      </c>
      <c r="P12" s="101"/>
      <c r="R12" s="109">
        <v>9</v>
      </c>
      <c r="S12" s="72">
        <f ca="1">IF('PRODUÇÃO TOTAL USINA'!AR12="","",'PRODUÇÃO TOTAL USINA'!AR12-'PRODUÇÃO TOTAL USINA'!AQ12)</f>
        <v>46.035956498461076</v>
      </c>
      <c r="T12" s="81"/>
      <c r="AB12" s="138"/>
      <c r="AC12" s="138"/>
      <c r="AD12" s="138"/>
      <c r="AE12" s="138"/>
      <c r="AF12" s="138"/>
      <c r="AG12" s="138"/>
      <c r="AH12" s="138"/>
      <c r="AI12" s="138"/>
      <c r="AJ12" s="138"/>
      <c r="AN12" s="139"/>
      <c r="AO12" s="139"/>
      <c r="AP12" s="139"/>
      <c r="AQ12" s="139"/>
      <c r="AR12" s="139"/>
      <c r="AS12" s="139"/>
      <c r="AT12" s="139"/>
      <c r="AU12" s="139"/>
      <c r="AV12" s="139"/>
      <c r="AZ12" s="138"/>
      <c r="BA12" s="138"/>
      <c r="BB12" s="138"/>
      <c r="BC12" s="138"/>
      <c r="BD12" s="138"/>
      <c r="BE12" s="138"/>
      <c r="BF12" s="138"/>
      <c r="BG12" s="138"/>
      <c r="BH12" s="138"/>
      <c r="BL12" s="140"/>
      <c r="BM12" s="140"/>
      <c r="BN12" s="140"/>
      <c r="BO12" s="140"/>
      <c r="BP12" s="140"/>
      <c r="BQ12" s="140"/>
      <c r="BR12" s="140"/>
      <c r="BS12" s="140"/>
      <c r="BT12" s="140"/>
      <c r="BV12" s="140"/>
      <c r="BW12" s="140"/>
      <c r="BX12" s="140"/>
      <c r="BY12" s="140"/>
      <c r="BZ12" s="140"/>
      <c r="CA12" s="140"/>
      <c r="CB12" s="140"/>
      <c r="CC12" s="140"/>
      <c r="CD12" s="140"/>
    </row>
    <row r="13" spans="1:87" ht="54.9" customHeight="1">
      <c r="A13" s="70">
        <f>'ACOMPANHAMENTO USINA'!$AL$2</f>
        <v>45518</v>
      </c>
      <c r="B13" s="71">
        <v>11</v>
      </c>
      <c r="C13" s="72">
        <f ca="1">IF('PRODUÇÃO TOTAL USINA'!L13="","",'PRODUÇÃO TOTAL USINA'!L13-'PRODUÇÃO TOTAL USINA'!K13)</f>
        <v>-1990.7688452021848</v>
      </c>
      <c r="D13" s="101"/>
      <c r="E13" s="53"/>
      <c r="F13" s="71">
        <v>11</v>
      </c>
      <c r="G13" s="72">
        <f ca="1">IF('PRODUÇÃO TOTAL USINA'!T13="","",'PRODUÇÃO TOTAL USINA'!T13-'PRODUÇÃO TOTAL USINA'!S13)</f>
        <v>0</v>
      </c>
      <c r="H13" s="101"/>
      <c r="I13" s="73"/>
      <c r="J13" s="71">
        <v>11</v>
      </c>
      <c r="K13" s="72">
        <f ca="1">IF('PRODUÇÃO TOTAL USINA'!AB13="","",'PRODUÇÃO TOTAL USINA'!AB13-'PRODUÇÃO TOTAL USINA'!AA13)</f>
        <v>574.75080000000003</v>
      </c>
      <c r="L13" s="101"/>
      <c r="M13" s="73"/>
      <c r="N13" s="71">
        <v>11</v>
      </c>
      <c r="O13" s="72">
        <f ca="1">IF('PRODUÇÃO TOTAL USINA'!AJ13="","",'PRODUÇÃO TOTAL USINA'!AJ13-'PRODUÇÃO TOTAL USINA'!AI13)</f>
        <v>-137.95833333333331</v>
      </c>
      <c r="P13" s="101"/>
      <c r="R13" s="109">
        <v>10</v>
      </c>
      <c r="S13" s="72">
        <f ca="1">IF('PRODUÇÃO TOTAL USINA'!AR13="","",'PRODUÇÃO TOTAL USINA'!AR13-'PRODUÇÃO TOTAL USINA'!AQ13)</f>
        <v>-46.84192346471076</v>
      </c>
      <c r="T13" s="81"/>
      <c r="AB13" s="77"/>
      <c r="AC13" s="83"/>
      <c r="AD13" s="78"/>
      <c r="BN13" s="82"/>
    </row>
    <row r="14" spans="1:87" ht="58.5" customHeight="1">
      <c r="A14" s="70">
        <f>'ACOMPANHAMENTO USINA'!$AL$2</f>
        <v>45518</v>
      </c>
      <c r="B14" s="71">
        <v>12</v>
      </c>
      <c r="C14" s="72">
        <f ca="1">IF('PRODUÇÃO TOTAL USINA'!L14="","",'PRODUÇÃO TOTAL USINA'!L14-'PRODUÇÃO TOTAL USINA'!K14)</f>
        <v>-2845.1960401394135</v>
      </c>
      <c r="D14" s="101"/>
      <c r="E14" s="53"/>
      <c r="F14" s="71">
        <v>12</v>
      </c>
      <c r="G14" s="72">
        <f ca="1">IF('PRODUÇÃO TOTAL USINA'!T14="","",'PRODUÇÃO TOTAL USINA'!T14-'PRODUÇÃO TOTAL USINA'!S14)</f>
        <v>0</v>
      </c>
      <c r="H14" s="101"/>
      <c r="I14" s="73"/>
      <c r="J14" s="71">
        <v>12</v>
      </c>
      <c r="K14" s="72">
        <f ca="1">IF('PRODUÇÃO TOTAL USINA'!AB14="","",'PRODUÇÃO TOTAL USINA'!AB14-'PRODUÇÃO TOTAL USINA'!AA14)</f>
        <v>1440</v>
      </c>
      <c r="L14" s="101"/>
      <c r="M14" s="73"/>
      <c r="N14" s="71">
        <v>12</v>
      </c>
      <c r="O14" s="72">
        <f ca="1">IF('PRODUÇÃO TOTAL USINA'!AJ14="","",'PRODUÇÃO TOTAL USINA'!AJ14-'PRODUÇÃO TOTAL USINA'!AI14)</f>
        <v>52.041666666666686</v>
      </c>
      <c r="P14" s="101"/>
      <c r="R14" s="109">
        <v>11</v>
      </c>
      <c r="S14" s="72">
        <f ca="1">IF('PRODUÇÃO TOTAL USINA'!AR14="","",'PRODUÇÃO TOTAL USINA'!AR14-'PRODUÇÃO TOTAL USINA'!AQ14)</f>
        <v>-349.01283352668207</v>
      </c>
      <c r="T14" s="81"/>
      <c r="AC14" s="108"/>
      <c r="AD14" s="107"/>
    </row>
    <row r="15" spans="1:87" ht="57.75" customHeight="1">
      <c r="A15" s="70">
        <f>'ACOMPANHAMENTO USINA'!$AL$2</f>
        <v>45518</v>
      </c>
      <c r="B15" s="71">
        <v>13</v>
      </c>
      <c r="C15" s="72">
        <f ca="1">IF('PRODUÇÃO TOTAL USINA'!L15="","",'PRODUÇÃO TOTAL USINA'!L15-'PRODUÇÃO TOTAL USINA'!K15)</f>
        <v>553.07783441307038</v>
      </c>
      <c r="D15" s="101"/>
      <c r="E15" s="53"/>
      <c r="F15" s="71">
        <v>13</v>
      </c>
      <c r="G15" s="72">
        <f ca="1">IF('PRODUÇÃO TOTAL USINA'!T15="","",'PRODUÇÃO TOTAL USINA'!T15-'PRODUÇÃO TOTAL USINA'!S15)</f>
        <v>0</v>
      </c>
      <c r="H15" s="101"/>
      <c r="I15" s="73"/>
      <c r="J15" s="71">
        <v>13</v>
      </c>
      <c r="K15" s="72">
        <f ca="1">IF('PRODUÇÃO TOTAL USINA'!AB15="","",'PRODUÇÃO TOTAL USINA'!AB15-'PRODUÇÃO TOTAL USINA'!AA15)</f>
        <v>2150</v>
      </c>
      <c r="L15" s="101"/>
      <c r="M15" s="73"/>
      <c r="N15" s="71">
        <v>13</v>
      </c>
      <c r="O15" s="72">
        <f ca="1">IF('PRODUÇÃO TOTAL USINA'!AJ15="","",'PRODUÇÃO TOTAL USINA'!AJ15-'PRODUÇÃO TOTAL USINA'!AI15)</f>
        <v>81.041666666666686</v>
      </c>
      <c r="P15" s="101"/>
      <c r="R15" s="109">
        <v>12</v>
      </c>
      <c r="S15" s="72">
        <f ca="1">IF('PRODUÇÃO TOTAL USINA'!AR15="","",'PRODUÇÃO TOTAL USINA'!AR15-'PRODUÇÃO TOTAL USINA'!AQ15)</f>
        <v>-349.01283352668207</v>
      </c>
      <c r="T15" s="81"/>
      <c r="AB15" s="80"/>
      <c r="AV15" s="89"/>
    </row>
    <row r="16" spans="1:87" ht="57" customHeight="1">
      <c r="A16" s="70">
        <f>'ACOMPANHAMENTO USINA'!$AL$2</f>
        <v>45518</v>
      </c>
      <c r="B16" s="71">
        <v>14</v>
      </c>
      <c r="C16" s="72">
        <f ca="1">IF('PRODUÇÃO TOTAL USINA'!L16="","",'PRODUÇÃO TOTAL USINA'!L16-'PRODUÇÃO TOTAL USINA'!K16)</f>
        <v>-274.98534809266857</v>
      </c>
      <c r="D16" s="101"/>
      <c r="E16" s="53"/>
      <c r="F16" s="71">
        <v>14</v>
      </c>
      <c r="G16" s="72">
        <f ca="1">IF('PRODUÇÃO TOTAL USINA'!T16="","",'PRODUÇÃO TOTAL USINA'!T16-'PRODUÇÃO TOTAL USINA'!S16)</f>
        <v>0</v>
      </c>
      <c r="H16" s="101"/>
      <c r="I16" s="73"/>
      <c r="J16" s="71">
        <v>14</v>
      </c>
      <c r="K16" s="72">
        <f ca="1">IF('PRODUÇÃO TOTAL USINA'!AB16="","",'PRODUÇÃO TOTAL USINA'!AB16-'PRODUÇÃO TOTAL USINA'!AA16)</f>
        <v>614.62800000000016</v>
      </c>
      <c r="L16" s="101"/>
      <c r="M16" s="73"/>
      <c r="N16" s="71">
        <v>14</v>
      </c>
      <c r="O16" s="72">
        <f ca="1">IF('PRODUÇÃO TOTAL USINA'!AJ16="","",'PRODUÇÃO TOTAL USINA'!AJ16-'PRODUÇÃO TOTAL USINA'!AI16)</f>
        <v>106.04166666666669</v>
      </c>
      <c r="P16" s="101"/>
      <c r="R16" s="109">
        <v>13</v>
      </c>
      <c r="S16" s="72">
        <f ca="1">IF('PRODUÇÃO TOTAL USINA'!AR16="","",'PRODUÇÃO TOTAL USINA'!AR16-'PRODUÇÃO TOTAL USINA'!AQ16)</f>
        <v>-349.01283352668207</v>
      </c>
      <c r="T16" s="81"/>
      <c r="AP16" s="90"/>
    </row>
    <row r="17" spans="1:36" ht="54.9" customHeight="1">
      <c r="A17" s="70">
        <f>'ACOMPANHAMENTO USINA'!$AL$2</f>
        <v>45518</v>
      </c>
      <c r="B17" s="71">
        <v>15</v>
      </c>
      <c r="C17" s="72">
        <f ca="1">IF('PRODUÇÃO TOTAL USINA'!L17="","",'PRODUÇÃO TOTAL USINA'!L17-'PRODUÇÃO TOTAL USINA'!K17)</f>
        <v>73.353746743108786</v>
      </c>
      <c r="D17" s="101"/>
      <c r="E17" s="53"/>
      <c r="F17" s="71">
        <v>15</v>
      </c>
      <c r="G17" s="72">
        <f ca="1">IF('PRODUÇÃO TOTAL USINA'!T17="","",'PRODUÇÃO TOTAL USINA'!T17-'PRODUÇÃO TOTAL USINA'!S17)</f>
        <v>0</v>
      </c>
      <c r="H17" s="101"/>
      <c r="I17" s="73"/>
      <c r="J17" s="71">
        <v>15</v>
      </c>
      <c r="K17" s="72">
        <f ca="1">IF('PRODUÇÃO TOTAL USINA'!AB17="","",'PRODUÇÃO TOTAL USINA'!AB17-'PRODUÇÃO TOTAL USINA'!AA17)</f>
        <v>-344.03160000000003</v>
      </c>
      <c r="L17" s="101"/>
      <c r="M17" s="73"/>
      <c r="N17" s="71">
        <v>15</v>
      </c>
      <c r="O17" s="72">
        <f ca="1">IF('PRODUÇÃO TOTAL USINA'!AJ17="","",'PRODUÇÃO TOTAL USINA'!AJ17-'PRODUÇÃO TOTAL USINA'!AI17)</f>
        <v>135.04166666666669</v>
      </c>
      <c r="P17" s="101"/>
      <c r="R17" s="109">
        <v>14</v>
      </c>
      <c r="S17" s="72">
        <f ca="1">IF('PRODUÇÃO TOTAL USINA'!AR17="","",'PRODUÇÃO TOTAL USINA'!AR17-'PRODUÇÃO TOTAL USINA'!AQ17)</f>
        <v>-349.01283352668207</v>
      </c>
      <c r="T17" s="81"/>
    </row>
    <row r="18" spans="1:36" ht="54.9" customHeight="1">
      <c r="A18" s="70">
        <f>'ACOMPANHAMENTO USINA'!$AL$2</f>
        <v>45518</v>
      </c>
      <c r="B18" s="71">
        <v>16</v>
      </c>
      <c r="C18" s="72">
        <f ca="1">IF('PRODUÇÃO TOTAL USINA'!L18="","",'PRODUÇÃO TOTAL USINA'!L18-'PRODUÇÃO TOTAL USINA'!K18)</f>
        <v>-1073.13814091719</v>
      </c>
      <c r="D18" s="101"/>
      <c r="E18" s="53"/>
      <c r="F18" s="71">
        <v>16</v>
      </c>
      <c r="G18" s="72">
        <f ca="1">IF('PRODUÇÃO TOTAL USINA'!T18="","",'PRODUÇÃO TOTAL USINA'!T18-'PRODUÇÃO TOTAL USINA'!S18)</f>
        <v>0</v>
      </c>
      <c r="H18" s="101"/>
      <c r="I18" s="73"/>
      <c r="J18" s="71">
        <v>16</v>
      </c>
      <c r="K18" s="72">
        <f ca="1">IF('PRODUÇÃO TOTAL USINA'!AB18="","",'PRODUÇÃO TOTAL USINA'!AB18-'PRODUÇÃO TOTAL USINA'!AA18)</f>
        <v>-1188.7895999999998</v>
      </c>
      <c r="L18" s="101"/>
      <c r="M18" s="73"/>
      <c r="N18" s="71">
        <v>16</v>
      </c>
      <c r="O18" s="72">
        <f ca="1">IF('PRODUÇÃO TOTAL USINA'!AJ18="","",'PRODUÇÃO TOTAL USINA'!AJ18-'PRODUÇÃO TOTAL USINA'!AI18)</f>
        <v>-89.958333333333314</v>
      </c>
      <c r="P18" s="101"/>
      <c r="R18" s="109">
        <v>15</v>
      </c>
      <c r="S18" s="72">
        <f ca="1">IF('PRODUÇÃO TOTAL USINA'!AR18="","",'PRODUÇÃO TOTAL USINA'!AR18-'PRODUÇÃO TOTAL USINA'!AQ18)</f>
        <v>-349.01283352668207</v>
      </c>
      <c r="T18" s="81"/>
    </row>
    <row r="19" spans="1:36" ht="54.9" customHeight="1">
      <c r="A19" s="70">
        <f>'ACOMPANHAMENTO USINA'!$AL$2</f>
        <v>45518</v>
      </c>
      <c r="B19" s="71">
        <v>17</v>
      </c>
      <c r="C19" s="72">
        <f ca="1">IF('PRODUÇÃO TOTAL USINA'!L19="","",'PRODUÇÃO TOTAL USINA'!L19-'PRODUÇÃO TOTAL USINA'!K19)</f>
        <v>-3926.8371485983016</v>
      </c>
      <c r="D19" s="101"/>
      <c r="E19" s="53"/>
      <c r="F19" s="71">
        <v>17</v>
      </c>
      <c r="G19" s="72">
        <f ca="1">IF('PRODUÇÃO TOTAL USINA'!T19="","",'PRODUÇÃO TOTAL USINA'!T19-'PRODUÇÃO TOTAL USINA'!S19)</f>
        <v>0</v>
      </c>
      <c r="H19" s="101"/>
      <c r="I19" s="73"/>
      <c r="J19" s="71">
        <v>17</v>
      </c>
      <c r="K19" s="72">
        <f ca="1">IF('PRODUÇÃO TOTAL USINA'!AB19="","",'PRODUÇÃO TOTAL USINA'!AB19-'PRODUÇÃO TOTAL USINA'!AA19)</f>
        <v>-1285.3719999999998</v>
      </c>
      <c r="L19" s="101"/>
      <c r="M19" s="73"/>
      <c r="N19" s="71">
        <v>17</v>
      </c>
      <c r="O19" s="72">
        <f ca="1">IF('PRODUÇÃO TOTAL USINA'!AJ19="","",'PRODUÇÃO TOTAL USINA'!AJ19-'PRODUÇÃO TOTAL USINA'!AI19)</f>
        <v>140.04166666666669</v>
      </c>
      <c r="P19" s="101"/>
      <c r="R19" s="109">
        <v>16</v>
      </c>
      <c r="S19" s="72">
        <f ca="1">IF('PRODUÇÃO TOTAL USINA'!AR19="","",'PRODUÇÃO TOTAL USINA'!AR19-'PRODUÇÃO TOTAL USINA'!AQ19)</f>
        <v>-349.01283352668207</v>
      </c>
      <c r="T19" s="81"/>
    </row>
    <row r="20" spans="1:36" ht="54.9" customHeight="1">
      <c r="A20" s="70">
        <f>'ACOMPANHAMENTO USINA'!$AL$2</f>
        <v>45518</v>
      </c>
      <c r="B20" s="71">
        <v>18</v>
      </c>
      <c r="C20" s="72">
        <f ca="1">IF('PRODUÇÃO TOTAL USINA'!L20="","",'PRODUÇÃO TOTAL USINA'!L20-'PRODUÇÃO TOTAL USINA'!K20)</f>
        <v>-2435.8021388560064</v>
      </c>
      <c r="D20" s="101"/>
      <c r="E20" s="53"/>
      <c r="F20" s="71">
        <v>18</v>
      </c>
      <c r="G20" s="72">
        <f ca="1">IF('PRODUÇÃO TOTAL USINA'!T20="","",'PRODUÇÃO TOTAL USINA'!T20-'PRODUÇÃO TOTAL USINA'!S20)</f>
        <v>0</v>
      </c>
      <c r="H20" s="101"/>
      <c r="I20" s="73"/>
      <c r="J20" s="71">
        <v>18</v>
      </c>
      <c r="K20" s="72">
        <f ca="1">IF('PRODUÇÃO TOTAL USINA'!AB20="","",'PRODUÇÃO TOTAL USINA'!AB20-'PRODUÇÃO TOTAL USINA'!AA20)</f>
        <v>-1647.0807999999997</v>
      </c>
      <c r="L20" s="101"/>
      <c r="M20" s="73"/>
      <c r="N20" s="71" t="s">
        <v>18</v>
      </c>
      <c r="O20" s="72">
        <f ca="1">IF('PRODUÇÃO TOTAL USINA'!AJ20="","",'PRODUÇÃO TOTAL USINA'!AJ20-'PRODUÇÃO TOTAL USINA'!AI20)</f>
        <v>41.041666666666686</v>
      </c>
      <c r="P20" s="101"/>
      <c r="R20" s="109">
        <v>17</v>
      </c>
      <c r="S20" s="72">
        <f ca="1">IF('PRODUÇÃO TOTAL USINA'!AR20="","",'PRODUÇÃO TOTAL USINA'!AR20-'PRODUÇÃO TOTAL USINA'!AQ20)</f>
        <v>-349.01283352668207</v>
      </c>
      <c r="T20" s="81"/>
    </row>
    <row r="21" spans="1:36" ht="54.9" customHeight="1">
      <c r="A21" s="70">
        <f>'ACOMPANHAMENTO USINA'!$AL$2</f>
        <v>45518</v>
      </c>
      <c r="B21" s="71">
        <v>19</v>
      </c>
      <c r="C21" s="72">
        <f ca="1">IF('PRODUÇÃO TOTAL USINA'!L21="","",'PRODUÇÃO TOTAL USINA'!L21-'PRODUÇÃO TOTAL USINA'!K21)</f>
        <v>-3263.7066405226633</v>
      </c>
      <c r="D21" s="101"/>
      <c r="E21" s="53"/>
      <c r="F21" s="71">
        <v>19</v>
      </c>
      <c r="G21" s="72">
        <f ca="1">IF('PRODUÇÃO TOTAL USINA'!T21="","",'PRODUÇÃO TOTAL USINA'!T21-'PRODUÇÃO TOTAL USINA'!S21)</f>
        <v>0</v>
      </c>
      <c r="H21" s="101"/>
      <c r="I21" s="73"/>
      <c r="J21" s="71">
        <v>19</v>
      </c>
      <c r="K21" s="72">
        <f ca="1">IF('PRODUÇÃO TOTAL USINA'!AB21="","",'PRODUÇÃO TOTAL USINA'!AB21-'PRODUÇÃO TOTAL USINA'!AA21)</f>
        <v>-1825.6175999999998</v>
      </c>
      <c r="L21" s="101"/>
      <c r="M21" s="73"/>
      <c r="N21" s="71">
        <v>19</v>
      </c>
      <c r="O21" s="72">
        <f ca="1">IF('PRODUÇÃO TOTAL USINA'!AJ21="","",'PRODUÇÃO TOTAL USINA'!AJ21-'PRODUÇÃO TOTAL USINA'!AI21)</f>
        <v>-142.95833333333331</v>
      </c>
      <c r="P21" s="101"/>
      <c r="R21" s="109">
        <v>18</v>
      </c>
      <c r="S21" s="72">
        <f ca="1">IF('PRODUÇÃO TOTAL USINA'!AR21="","",'PRODUÇÃO TOTAL USINA'!AR21-'PRODUÇÃO TOTAL USINA'!AQ21)</f>
        <v>-349.01283352668207</v>
      </c>
      <c r="T21" s="81"/>
    </row>
    <row r="22" spans="1:36" ht="69.75" customHeight="1">
      <c r="A22" s="70">
        <f>'ACOMPANHAMENTO USINA'!$AL$2</f>
        <v>45518</v>
      </c>
      <c r="B22" s="71">
        <v>20</v>
      </c>
      <c r="C22" s="72">
        <f ca="1">IF('PRODUÇÃO TOTAL USINA'!L22="","",'PRODUÇÃO TOTAL USINA'!L22-'PRODUÇÃO TOTAL USINA'!K22)</f>
        <v>-3430.1960401394153</v>
      </c>
      <c r="D22" s="101"/>
      <c r="E22" s="53"/>
      <c r="F22" s="71">
        <v>20</v>
      </c>
      <c r="G22" s="72">
        <f ca="1">IF('PRODUÇÃO TOTAL USINA'!T22="","",'PRODUÇÃO TOTAL USINA'!T22-'PRODUÇÃO TOTAL USINA'!S22)</f>
        <v>0</v>
      </c>
      <c r="H22" s="101"/>
      <c r="I22" s="73"/>
      <c r="J22" s="71">
        <v>20</v>
      </c>
      <c r="K22" s="72">
        <f ca="1">IF('PRODUÇÃO TOTAL USINA'!AB22="","",'PRODUÇÃO TOTAL USINA'!AB22-'PRODUÇÃO TOTAL USINA'!AA22)</f>
        <v>-1968.7895999999998</v>
      </c>
      <c r="L22" s="101"/>
      <c r="M22" s="73"/>
      <c r="N22" s="71">
        <v>20</v>
      </c>
      <c r="O22" s="72">
        <f ca="1">IF('PRODUÇÃO TOTAL USINA'!AJ22="","",'PRODUÇÃO TOTAL USINA'!AJ22-'PRODUÇÃO TOTAL USINA'!AI22)</f>
        <v>-104.95833333333331</v>
      </c>
      <c r="P22" s="101"/>
      <c r="R22" s="109">
        <v>19</v>
      </c>
      <c r="S22" s="72">
        <f ca="1">IF('PRODUÇÃO TOTAL USINA'!AR22="","",'PRODUÇÃO TOTAL USINA'!AR22-'PRODUÇÃO TOTAL USINA'!AQ22)</f>
        <v>-349.01283352668207</v>
      </c>
      <c r="T22" s="81"/>
    </row>
    <row r="23" spans="1:36" ht="70.5" customHeight="1">
      <c r="A23" s="70">
        <f>'ACOMPANHAMENTO USINA'!$AL$2</f>
        <v>45518</v>
      </c>
      <c r="B23" s="71">
        <v>21</v>
      </c>
      <c r="C23" s="72">
        <f ca="1">IF('PRODUÇÃO TOTAL USINA'!L23="","",'PRODUÇÃO TOTAL USINA'!L23-'PRODUÇÃO TOTAL USINA'!K23)</f>
        <v>-5271.4407399477877</v>
      </c>
      <c r="D23" s="101"/>
      <c r="E23" s="53"/>
      <c r="F23" s="71">
        <v>21</v>
      </c>
      <c r="G23" s="72">
        <f ca="1">IF('PRODUÇÃO TOTAL USINA'!T23="","",'PRODUÇÃO TOTAL USINA'!T23-'PRODUÇÃO TOTAL USINA'!S23)</f>
        <v>16</v>
      </c>
      <c r="H23" s="101"/>
      <c r="I23" s="73"/>
      <c r="J23" s="71">
        <v>21</v>
      </c>
      <c r="K23" s="72">
        <f ca="1">IF('PRODUÇÃO TOTAL USINA'!AB23="","",'PRODUÇÃO TOTAL USINA'!AB23-'PRODUÇÃO TOTAL USINA'!AA23)</f>
        <v>-127.08079999999973</v>
      </c>
      <c r="L23" s="101"/>
      <c r="M23" s="73"/>
      <c r="N23" s="71">
        <v>21</v>
      </c>
      <c r="O23" s="72">
        <f ca="1">IF('PRODUÇÃO TOTAL USINA'!AJ23="","",'PRODUÇÃO TOTAL USINA'!AJ23-'PRODUÇÃO TOTAL USINA'!AI23)</f>
        <v>55.041666666666686</v>
      </c>
      <c r="P23" s="101"/>
      <c r="R23" s="109">
        <v>20</v>
      </c>
      <c r="S23" s="72">
        <f ca="1">IF('PRODUÇÃO TOTAL USINA'!AR23="","",'PRODUÇÃO TOTAL USINA'!AR23-'PRODUÇÃO TOTAL USINA'!AQ23)</f>
        <v>-349.01283352668207</v>
      </c>
      <c r="T23" s="81"/>
    </row>
    <row r="24" spans="1:36" ht="57.75" customHeight="1">
      <c r="A24" s="70">
        <f>'ACOMPANHAMENTO USINA'!$AL$2</f>
        <v>45518</v>
      </c>
      <c r="B24" s="71">
        <v>22</v>
      </c>
      <c r="C24" s="72">
        <f ca="1">IF('PRODUÇÃO TOTAL USINA'!L24="","",'PRODUÇÃO TOTAL USINA'!L24-'PRODUÇÃO TOTAL USINA'!K24)</f>
        <v>-4536.6455391490817</v>
      </c>
      <c r="D24" s="101"/>
      <c r="E24" s="53"/>
      <c r="F24" s="71">
        <v>22</v>
      </c>
      <c r="G24" s="72">
        <f ca="1">IF('PRODUÇÃO TOTAL USINA'!T24="","",'PRODUÇÃO TOTAL USINA'!T24-'PRODUÇÃO TOTAL USINA'!S24)</f>
        <v>7</v>
      </c>
      <c r="H24" s="101"/>
      <c r="I24" s="73"/>
      <c r="J24" s="71">
        <v>22</v>
      </c>
      <c r="K24" s="72">
        <f ca="1">IF('PRODUÇÃO TOTAL USINA'!AB24="","",'PRODUÇÃO TOTAL USINA'!AB24-'PRODUÇÃO TOTAL USINA'!AA24)</f>
        <v>-738.78959999999984</v>
      </c>
      <c r="L24" s="101"/>
      <c r="M24" s="73"/>
      <c r="N24" s="71">
        <v>22</v>
      </c>
      <c r="O24" s="72">
        <f ca="1">IF('PRODUÇÃO TOTAL USINA'!AJ24="","",'PRODUÇÃO TOTAL USINA'!AJ24-'PRODUÇÃO TOTAL USINA'!AI24)</f>
        <v>153.04166666666669</v>
      </c>
      <c r="P24" s="101"/>
      <c r="R24" s="109">
        <v>21</v>
      </c>
      <c r="S24" s="72">
        <f ca="1">IF('PRODUÇÃO TOTAL USINA'!AR24="","",'PRODUÇÃO TOTAL USINA'!AR24-'PRODUÇÃO TOTAL USINA'!AQ24)</f>
        <v>-349.01283352668207</v>
      </c>
      <c r="T24" s="81"/>
    </row>
    <row r="25" spans="1:36" ht="54.9" customHeight="1">
      <c r="A25" s="70">
        <f>'ACOMPANHAMENTO USINA'!$AL$2</f>
        <v>45518</v>
      </c>
      <c r="B25" s="71">
        <v>23</v>
      </c>
      <c r="C25" s="72">
        <f ca="1">IF('PRODUÇÃO TOTAL USINA'!L25="","",'PRODUÇÃO TOTAL USINA'!L25-'PRODUÇÃO TOTAL USINA'!K25)</f>
        <v>-2630.1587385629336</v>
      </c>
      <c r="D25" s="101"/>
      <c r="E25" s="53"/>
      <c r="F25" s="98">
        <v>23</v>
      </c>
      <c r="G25" s="97">
        <f ca="1">IF('PRODUÇÃO TOTAL USINA'!T25="","",'PRODUÇÃO TOTAL USINA'!T25-'PRODUÇÃO TOTAL USINA'!S25)</f>
        <v>0</v>
      </c>
      <c r="H25" s="101"/>
      <c r="I25" s="73"/>
      <c r="J25" s="71">
        <v>23</v>
      </c>
      <c r="K25" s="72">
        <f ca="1">IF('PRODUÇÃO TOTAL USINA'!AB25="","",'PRODUÇÃO TOTAL USINA'!AB25-'PRODUÇÃO TOTAL USINA'!AA25)</f>
        <v>-1759.0351999999998</v>
      </c>
      <c r="L25" s="101"/>
      <c r="M25" s="73"/>
      <c r="N25" s="71">
        <v>23</v>
      </c>
      <c r="O25" s="72">
        <f ca="1">IF('PRODUÇÃO TOTAL USINA'!AJ25="","",'PRODUÇÃO TOTAL USINA'!AJ25-'PRODUÇÃO TOTAL USINA'!AI25)</f>
        <v>-40.958333333333314</v>
      </c>
      <c r="P25" s="101"/>
      <c r="R25" s="109">
        <v>22</v>
      </c>
      <c r="S25" s="72">
        <f ca="1">IF('PRODUÇÃO TOTAL USINA'!AR25="","",'PRODUÇÃO TOTAL USINA'!AR25-'PRODUÇÃO TOTAL USINA'!AQ25)</f>
        <v>-349.01283352668207</v>
      </c>
      <c r="T25" s="81"/>
    </row>
    <row r="26" spans="1:36" ht="54.9" customHeight="1">
      <c r="A26" s="70">
        <f>'ACOMPANHAMENTO USINA'!$AL$2</f>
        <v>45518</v>
      </c>
      <c r="B26" s="71">
        <v>24</v>
      </c>
      <c r="C26" s="72">
        <f ca="1">IF('PRODUÇÃO TOTAL USINA'!L26="","",'PRODUÇÃO TOTAL USINA'!L26-'PRODUÇÃO TOTAL USINA'!K26)</f>
        <v>-1131.3726424228134</v>
      </c>
      <c r="D26" s="101"/>
      <c r="E26" s="53"/>
      <c r="F26" s="100">
        <v>24</v>
      </c>
      <c r="G26" s="99">
        <f ca="1">IF('PRODUÇÃO TOTAL USINA'!T26="","",'PRODUÇÃO TOTAL USINA'!T26-'PRODUÇÃO TOTAL USINA'!S26)</f>
        <v>139</v>
      </c>
      <c r="H26" s="101"/>
      <c r="I26" s="73"/>
      <c r="J26" s="71">
        <v>24</v>
      </c>
      <c r="K26" s="72">
        <f ca="1">IF('PRODUÇÃO TOTAL USINA'!AB26="","",'PRODUÇÃO TOTAL USINA'!AB26-'PRODUÇÃO TOTAL USINA'!AA26)</f>
        <v>-158.78960000000006</v>
      </c>
      <c r="L26" s="101"/>
      <c r="M26" s="73"/>
      <c r="N26" s="71">
        <v>24</v>
      </c>
      <c r="O26" s="72">
        <f ca="1">IF('PRODUÇÃO TOTAL USINA'!AJ26="","",'PRODUÇÃO TOTAL USINA'!AJ26-'PRODUÇÃO TOTAL USINA'!AI26)</f>
        <v>8.0416666666666856</v>
      </c>
      <c r="P26" s="101"/>
      <c r="R26" s="109">
        <v>23</v>
      </c>
      <c r="S26" s="72">
        <f ca="1">IF('PRODUÇÃO TOTAL USINA'!AR26="","",'PRODUÇÃO TOTAL USINA'!AR26-'PRODUÇÃO TOTAL USINA'!AQ26)</f>
        <v>-349.01283352668207</v>
      </c>
      <c r="T26" s="81"/>
    </row>
    <row r="27" spans="1:36" ht="54.9" customHeight="1">
      <c r="I27" s="15"/>
      <c r="P27" s="106"/>
      <c r="Q27" s="52"/>
      <c r="R27" s="106"/>
      <c r="S27" s="106"/>
      <c r="T27" s="106"/>
      <c r="U27" s="52"/>
    </row>
    <row r="28" spans="1:36" ht="54.9" customHeight="1">
      <c r="I28" s="15"/>
      <c r="P28" s="106"/>
      <c r="Q28" s="52"/>
      <c r="R28" s="106"/>
      <c r="S28" s="106"/>
      <c r="T28" s="106"/>
      <c r="U28" s="52"/>
    </row>
    <row r="29" spans="1:36" ht="54.9" customHeight="1">
      <c r="F29" s="106"/>
      <c r="G29" s="106"/>
      <c r="H29" s="106"/>
      <c r="I29" s="52"/>
      <c r="J29" s="106"/>
      <c r="K29" s="106"/>
      <c r="L29" s="106"/>
      <c r="P29" s="106"/>
      <c r="Q29" s="52"/>
      <c r="R29" s="106"/>
      <c r="S29" s="106"/>
      <c r="T29" s="106"/>
      <c r="U29" s="52"/>
    </row>
    <row r="30" spans="1:36" ht="54.9" customHeight="1">
      <c r="F30" s="106"/>
      <c r="G30" s="106"/>
      <c r="H30" s="106"/>
      <c r="I30" s="52"/>
      <c r="J30" s="106"/>
      <c r="K30" s="106"/>
      <c r="L30" s="106"/>
      <c r="N30" s="106"/>
      <c r="O30" s="106"/>
      <c r="P30" s="106"/>
      <c r="Q30" s="52"/>
      <c r="R30" s="106"/>
      <c r="S30" s="106"/>
      <c r="T30" s="106"/>
      <c r="U30" s="52"/>
    </row>
    <row r="31" spans="1:36" s="6" customFormat="1" ht="54.9" customHeight="1">
      <c r="A31" s="56"/>
      <c r="B31" s="13" cm="1">
        <f t="array" aca="1" ref="B31:C35" ca="1">_xlfn.CHOOSEROWS(_xlfn._xlws.SORT(_xlfn._xlws.FILTER('JUSTIFICATIVA DE USINA'!$B$3:$C$26,('JUSTIFICATIVA DE USINA'!$C$3:$C$26&lt;0)),2,1),1,2,3,4,5)</f>
        <v>21</v>
      </c>
      <c r="C31" s="14">
        <f ca="1"/>
        <v>-5271.4407399477877</v>
      </c>
      <c r="D31" s="13">
        <f ca="1">ABS(C31)</f>
        <v>5271.4407399477877</v>
      </c>
      <c r="E31" s="13"/>
      <c r="F31" s="13" t="e" cm="1" vm="1">
        <f t="array" aca="1" ref="F31" ca="1">_xlfn.CHOOSEROWS(_xlfn._xlws.SORT(_xlfn._xlws.FILTER('JUSTIFICATIVA DE USINA'!$F$3:$G$26,('JUSTIFICATIVA DE USINA'!$G$3:$G$26&lt;0)),2,1),1,2,3,4,5)</f>
        <v>#VALUE!</v>
      </c>
      <c r="G31" s="14"/>
      <c r="H31" s="13">
        <f>ABS(G31)</f>
        <v>0</v>
      </c>
      <c r="J31" s="13" cm="1">
        <f t="array" aca="1" ref="J31:K35" ca="1">_xlfn.CHOOSEROWS(_xlfn._xlws.SORT(_xlfn._xlws.FILTER('JUSTIFICATIVA DE USINA'!$J$3:$K$26,('JUSTIFICATIVA DE USINA'!$K$3:$K$26&lt;0)),2,1),1,2,3,4,5)</f>
        <v>20</v>
      </c>
      <c r="K31" s="14">
        <f ca="1"/>
        <v>-1968.7895999999998</v>
      </c>
      <c r="L31" s="13">
        <f ca="1">ABS(K31)</f>
        <v>1968.7895999999998</v>
      </c>
      <c r="N31" s="13" cm="1">
        <f t="array" aca="1" ref="N31:O35" ca="1">_xlfn.CHOOSEROWS(_xlfn._xlws.SORT(_xlfn._xlws.FILTER('JUSTIFICATIVA DE USINA'!$N$3:$O$26,('JUSTIFICATIVA DE USINA'!$O$3:$O$26&lt;0)),2,1),1,2,3,4,5)</f>
        <v>7</v>
      </c>
      <c r="O31" s="14">
        <f ca="1"/>
        <v>-142.95833333333331</v>
      </c>
      <c r="P31" s="13">
        <f ca="1">ABS(O31)</f>
        <v>142.95833333333331</v>
      </c>
      <c r="R31" s="13" cm="1">
        <f t="array" aca="1" ref="R31:S35" ca="1">_xlfn.CHOOSEROWS(_xlfn._xlws.SORT(_xlfn._xlws.FILTER('JUSTIFICATIVA DE USINA'!$R$3:$S$26,('JUSTIFICATIVA DE USINA'!$S$3:$S$26&lt;0)),2,1),1,2,3,4,5)</f>
        <v>2</v>
      </c>
      <c r="S31" s="14">
        <f ca="1"/>
        <v>-349.01283352668207</v>
      </c>
      <c r="T31" s="13">
        <f ca="1">ABS(S31)</f>
        <v>349.01283352668207</v>
      </c>
      <c r="U31" s="52"/>
      <c r="V31"/>
      <c r="W31"/>
      <c r="AB31" s="61"/>
      <c r="AC31" s="61"/>
      <c r="AD31" s="61"/>
      <c r="AE31" s="61"/>
      <c r="AF31" s="61"/>
      <c r="AG31" s="61"/>
      <c r="AH31" s="61"/>
      <c r="AI31" s="61"/>
      <c r="AJ31" s="61"/>
    </row>
    <row r="32" spans="1:36" s="6" customFormat="1" ht="54.9" customHeight="1">
      <c r="A32" s="56"/>
      <c r="B32" s="13">
        <f ca="1"/>
        <v>22</v>
      </c>
      <c r="C32" s="14">
        <f ca="1"/>
        <v>-4536.6455391490817</v>
      </c>
      <c r="D32" s="13">
        <f t="shared" ref="D32:D35" ca="1" si="0">ABS(C32)</f>
        <v>4536.6455391490817</v>
      </c>
      <c r="E32" s="13"/>
      <c r="F32" s="13"/>
      <c r="G32" s="14"/>
      <c r="H32" s="13">
        <f t="shared" ref="H32:H35" si="1">ABS(G32)</f>
        <v>0</v>
      </c>
      <c r="J32" s="13">
        <f ca="1"/>
        <v>19</v>
      </c>
      <c r="K32" s="14">
        <f ca="1"/>
        <v>-1825.6175999999998</v>
      </c>
      <c r="L32" s="13">
        <f t="shared" ref="L32:L35" ca="1" si="2">ABS(K32)</f>
        <v>1825.6175999999998</v>
      </c>
      <c r="N32" s="13">
        <f ca="1"/>
        <v>8</v>
      </c>
      <c r="O32" s="14">
        <f ca="1"/>
        <v>-142.95833333333331</v>
      </c>
      <c r="P32" s="13">
        <f t="shared" ref="P32:P35" ca="1" si="3">ABS(O32)</f>
        <v>142.95833333333331</v>
      </c>
      <c r="R32" s="13">
        <f ca="1"/>
        <v>3</v>
      </c>
      <c r="S32" s="14">
        <f ca="1"/>
        <v>-349.01283352668207</v>
      </c>
      <c r="T32" s="13">
        <f t="shared" ref="T32:T35" ca="1" si="4">ABS(S32)</f>
        <v>349.01283352668207</v>
      </c>
      <c r="U32" s="52"/>
      <c r="V32"/>
      <c r="W32"/>
      <c r="AB32" s="61"/>
      <c r="AC32" s="61"/>
      <c r="AD32" s="61"/>
      <c r="AE32" s="61"/>
      <c r="AF32" s="61"/>
      <c r="AG32" s="61"/>
      <c r="AH32" s="61"/>
      <c r="AI32" s="61"/>
      <c r="AJ32" s="61"/>
    </row>
    <row r="33" spans="1:38" s="6" customFormat="1" ht="54.9" customHeight="1">
      <c r="A33" s="56"/>
      <c r="B33" s="13" t="str">
        <f ca="1"/>
        <v>8h</v>
      </c>
      <c r="C33" s="14">
        <f ca="1"/>
        <v>-4345.9861393713009</v>
      </c>
      <c r="D33" s="13">
        <f t="shared" ca="1" si="0"/>
        <v>4345.9861393713009</v>
      </c>
      <c r="E33" s="13"/>
      <c r="F33" s="13"/>
      <c r="G33" s="14"/>
      <c r="H33" s="13">
        <f t="shared" si="1"/>
        <v>0</v>
      </c>
      <c r="J33" s="13">
        <f ca="1"/>
        <v>23</v>
      </c>
      <c r="K33" s="14">
        <f ca="1"/>
        <v>-1759.0351999999998</v>
      </c>
      <c r="L33" s="13">
        <f t="shared" ca="1" si="2"/>
        <v>1759.0351999999998</v>
      </c>
      <c r="N33" s="13">
        <f ca="1"/>
        <v>9</v>
      </c>
      <c r="O33" s="14">
        <f ca="1"/>
        <v>-142.95833333333331</v>
      </c>
      <c r="P33" s="13">
        <f t="shared" ca="1" si="3"/>
        <v>142.95833333333331</v>
      </c>
      <c r="R33" s="13">
        <f ca="1"/>
        <v>4</v>
      </c>
      <c r="S33" s="14">
        <f ca="1"/>
        <v>-349.01283352668207</v>
      </c>
      <c r="T33" s="13">
        <f t="shared" ca="1" si="4"/>
        <v>349.01283352668207</v>
      </c>
      <c r="U33" s="52"/>
      <c r="V33"/>
      <c r="W33"/>
      <c r="AB33" s="61"/>
      <c r="AC33" s="61"/>
      <c r="AD33" s="61"/>
      <c r="AE33" s="61"/>
      <c r="AF33" s="61"/>
      <c r="AG33" s="61"/>
      <c r="AH33" s="61"/>
      <c r="AI33" s="61"/>
      <c r="AJ33" s="61"/>
    </row>
    <row r="34" spans="1:38" s="6" customFormat="1" ht="54.9" customHeight="1">
      <c r="A34" s="56"/>
      <c r="B34" s="13">
        <f ca="1"/>
        <v>17</v>
      </c>
      <c r="C34" s="14">
        <f ca="1"/>
        <v>-3926.8371485983016</v>
      </c>
      <c r="D34" s="13">
        <f t="shared" ca="1" si="0"/>
        <v>3926.8371485983016</v>
      </c>
      <c r="E34" s="13"/>
      <c r="F34" s="13"/>
      <c r="G34" s="14"/>
      <c r="H34" s="13">
        <f t="shared" si="1"/>
        <v>0</v>
      </c>
      <c r="J34" s="13">
        <f ca="1"/>
        <v>18</v>
      </c>
      <c r="K34" s="14">
        <f ca="1"/>
        <v>-1647.0807999999997</v>
      </c>
      <c r="L34" s="13">
        <f t="shared" ca="1" si="2"/>
        <v>1647.0807999999997</v>
      </c>
      <c r="N34" s="13">
        <f ca="1"/>
        <v>10</v>
      </c>
      <c r="O34" s="14">
        <f ca="1"/>
        <v>-142.95833333333331</v>
      </c>
      <c r="P34" s="13">
        <f t="shared" ca="1" si="3"/>
        <v>142.95833333333331</v>
      </c>
      <c r="R34" s="13">
        <f ca="1"/>
        <v>11</v>
      </c>
      <c r="S34" s="14">
        <f ca="1"/>
        <v>-349.01283352668207</v>
      </c>
      <c r="T34" s="13">
        <f t="shared" ca="1" si="4"/>
        <v>349.01283352668207</v>
      </c>
      <c r="U34" s="52"/>
      <c r="V34"/>
      <c r="W34"/>
      <c r="AB34" s="61"/>
      <c r="AC34" s="61"/>
      <c r="AD34" s="61"/>
      <c r="AE34" s="61"/>
      <c r="AF34" s="61"/>
      <c r="AG34" s="61"/>
      <c r="AH34" s="61"/>
      <c r="AI34" s="61"/>
      <c r="AJ34" s="61"/>
    </row>
    <row r="35" spans="1:38" s="6" customFormat="1" ht="54.9" customHeight="1">
      <c r="A35" s="56"/>
      <c r="B35" s="13">
        <f ca="1"/>
        <v>20</v>
      </c>
      <c r="C35" s="14">
        <f ca="1"/>
        <v>-3430.1960401394153</v>
      </c>
      <c r="D35" s="13">
        <f t="shared" ca="1" si="0"/>
        <v>3430.1960401394153</v>
      </c>
      <c r="E35" s="13"/>
      <c r="F35" s="13"/>
      <c r="G35" s="14"/>
      <c r="H35" s="13">
        <f t="shared" si="1"/>
        <v>0</v>
      </c>
      <c r="J35" s="13">
        <f ca="1"/>
        <v>17</v>
      </c>
      <c r="K35" s="14">
        <f ca="1"/>
        <v>-1285.3719999999998</v>
      </c>
      <c r="L35" s="13">
        <f t="shared" ca="1" si="2"/>
        <v>1285.3719999999998</v>
      </c>
      <c r="N35" s="13">
        <f ca="1"/>
        <v>19</v>
      </c>
      <c r="O35" s="14">
        <f ca="1"/>
        <v>-142.95833333333331</v>
      </c>
      <c r="P35" s="13">
        <f t="shared" ca="1" si="3"/>
        <v>142.95833333333331</v>
      </c>
      <c r="R35" s="13">
        <f ca="1"/>
        <v>12</v>
      </c>
      <c r="S35" s="14">
        <f ca="1"/>
        <v>-349.01283352668207</v>
      </c>
      <c r="T35" s="13">
        <f t="shared" ca="1" si="4"/>
        <v>349.01283352668207</v>
      </c>
      <c r="U35" s="52"/>
      <c r="V35"/>
      <c r="W35"/>
      <c r="AB35" s="33"/>
      <c r="AC35" s="33"/>
      <c r="AD35" s="33"/>
      <c r="AE35" s="33"/>
      <c r="AF35" s="33"/>
      <c r="AG35" s="33"/>
      <c r="AH35" s="33"/>
      <c r="AI35" s="33"/>
      <c r="AJ35" s="33"/>
    </row>
    <row r="36" spans="1:38" s="6" customFormat="1" ht="54.9" customHeight="1">
      <c r="A36" s="56"/>
      <c r="B36" s="13"/>
      <c r="C36" s="13"/>
      <c r="D36" s="13"/>
      <c r="E36" s="13"/>
      <c r="F36" s="13"/>
      <c r="G36" s="13"/>
      <c r="H36" s="13"/>
      <c r="J36" s="13"/>
      <c r="K36" s="13"/>
      <c r="L36" s="13"/>
      <c r="N36" s="13"/>
      <c r="O36" s="13"/>
      <c r="P36" s="13"/>
      <c r="R36" s="13"/>
      <c r="S36" s="13"/>
      <c r="T36" s="13"/>
      <c r="U36" s="52"/>
      <c r="V36"/>
      <c r="W36"/>
      <c r="AA36" s="61"/>
      <c r="AB36" s="61"/>
      <c r="AC36" s="61"/>
      <c r="AD36" s="61"/>
      <c r="AE36" s="61"/>
      <c r="AF36" s="61"/>
      <c r="AG36" s="61"/>
      <c r="AH36" s="61"/>
      <c r="AI36" s="61"/>
      <c r="AJ36" s="61"/>
      <c r="AK36" s="61"/>
      <c r="AL36" s="61"/>
    </row>
    <row r="37" spans="1:38" s="6" customFormat="1" ht="54.9" customHeight="1">
      <c r="A37" s="56"/>
      <c r="B37" s="106"/>
      <c r="C37" s="106"/>
      <c r="D37" s="106"/>
      <c r="E37" s="13"/>
      <c r="F37" s="106"/>
      <c r="G37" s="106"/>
      <c r="H37" s="106"/>
      <c r="I37" s="52"/>
      <c r="J37" s="13"/>
      <c r="K37" s="13"/>
      <c r="L37" s="13"/>
      <c r="N37" s="13"/>
      <c r="O37" s="13"/>
      <c r="P37" s="106"/>
      <c r="Q37" s="52"/>
      <c r="R37" s="106"/>
      <c r="S37" s="106"/>
      <c r="T37" s="106"/>
      <c r="U37" s="52"/>
      <c r="V37"/>
      <c r="W37"/>
      <c r="AA37" s="61"/>
      <c r="AB37" s="61"/>
      <c r="AC37" s="61"/>
      <c r="AD37" s="61"/>
      <c r="AE37" s="61"/>
      <c r="AF37" s="61"/>
      <c r="AG37" s="61"/>
      <c r="AH37" s="61"/>
      <c r="AI37" s="61"/>
      <c r="AJ37" s="61"/>
      <c r="AK37" s="61"/>
      <c r="AL37" s="61"/>
    </row>
    <row r="38" spans="1:38" s="6" customFormat="1" ht="54.9" customHeight="1">
      <c r="A38" s="56"/>
      <c r="B38" s="13"/>
      <c r="C38" s="13"/>
      <c r="D38" s="13"/>
      <c r="E38" s="13"/>
      <c r="F38" s="13"/>
      <c r="G38" s="13"/>
      <c r="H38" s="13"/>
      <c r="I38" s="52"/>
      <c r="J38" s="13"/>
      <c r="K38" s="13"/>
      <c r="L38" s="13"/>
      <c r="N38" s="13"/>
      <c r="O38" s="13"/>
      <c r="P38" s="106"/>
      <c r="Q38" s="52"/>
      <c r="R38" s="106"/>
      <c r="S38" s="106"/>
      <c r="T38" s="106"/>
      <c r="U38" s="52"/>
      <c r="V38"/>
      <c r="W38"/>
      <c r="AA38" s="61"/>
      <c r="AB38" s="61"/>
      <c r="AC38" s="61"/>
      <c r="AD38" s="61"/>
      <c r="AE38" s="61"/>
      <c r="AF38" s="61"/>
      <c r="AG38" s="61"/>
      <c r="AH38" s="61"/>
      <c r="AI38" s="61"/>
      <c r="AJ38" s="61"/>
      <c r="AK38" s="61"/>
      <c r="AL38" s="61"/>
    </row>
    <row r="39" spans="1:38" s="6" customFormat="1" ht="54.9" customHeight="1">
      <c r="A39" s="56"/>
      <c r="B39" s="13"/>
      <c r="C39" s="13"/>
      <c r="D39" s="13"/>
      <c r="E39" s="13"/>
      <c r="F39" s="13"/>
      <c r="G39" s="13"/>
      <c r="H39" s="13"/>
      <c r="J39" s="13"/>
      <c r="K39" s="13"/>
      <c r="L39" s="13"/>
      <c r="N39" s="13"/>
      <c r="O39" s="13"/>
      <c r="P39" s="106"/>
      <c r="Q39" s="52"/>
      <c r="R39" s="106"/>
      <c r="S39" s="106"/>
      <c r="T39" s="106"/>
      <c r="U39" s="52"/>
      <c r="V39"/>
      <c r="W39"/>
      <c r="AA39" s="61"/>
      <c r="AB39" s="61"/>
      <c r="AC39" s="61"/>
      <c r="AD39" s="61"/>
      <c r="AE39" s="61"/>
      <c r="AF39" s="61"/>
      <c r="AG39" s="61"/>
      <c r="AH39" s="61"/>
      <c r="AI39" s="61"/>
      <c r="AJ39" s="61"/>
      <c r="AK39" s="61"/>
      <c r="AL39" s="61"/>
    </row>
    <row r="40" spans="1:38" s="6" customFormat="1" ht="54.9" customHeight="1">
      <c r="A40" s="56"/>
      <c r="B40" s="13"/>
      <c r="C40" s="13"/>
      <c r="D40" s="13"/>
      <c r="E40" s="13"/>
      <c r="F40" s="13"/>
      <c r="G40" s="13"/>
      <c r="H40" s="13"/>
      <c r="J40" s="13"/>
      <c r="K40" s="13"/>
      <c r="L40" s="13"/>
      <c r="N40" s="13"/>
      <c r="O40" s="13"/>
      <c r="P40" s="106"/>
      <c r="Q40" s="52"/>
      <c r="R40" s="106"/>
      <c r="S40" s="106"/>
      <c r="T40" s="106"/>
      <c r="U40" s="52"/>
      <c r="V40"/>
      <c r="W40"/>
      <c r="AA40" s="61"/>
      <c r="AB40" s="61"/>
      <c r="AC40" s="61"/>
      <c r="AD40" s="61"/>
      <c r="AE40" s="61"/>
      <c r="AF40" s="61"/>
      <c r="AG40" s="61"/>
      <c r="AH40" s="61"/>
      <c r="AI40" s="61"/>
      <c r="AJ40" s="61"/>
      <c r="AK40" s="61"/>
      <c r="AL40" s="61"/>
    </row>
    <row r="41" spans="1:38" s="6" customFormat="1" ht="54.9" customHeight="1">
      <c r="A41" s="56"/>
      <c r="B41" s="13"/>
      <c r="C41" s="13"/>
      <c r="D41" s="13"/>
      <c r="E41" s="13"/>
      <c r="F41" s="13"/>
      <c r="G41" s="13"/>
      <c r="H41" s="13"/>
      <c r="J41" s="13"/>
      <c r="K41" s="13"/>
      <c r="L41" s="13"/>
      <c r="N41" s="13"/>
      <c r="O41" s="13"/>
      <c r="P41" s="13"/>
      <c r="R41" s="13"/>
      <c r="S41" s="13"/>
      <c r="T41" s="13"/>
      <c r="V41"/>
      <c r="W41"/>
      <c r="AA41" s="61"/>
      <c r="AB41" s="61"/>
      <c r="AC41" s="61"/>
      <c r="AD41" s="61"/>
      <c r="AE41" s="61"/>
      <c r="AF41" s="61"/>
      <c r="AG41" s="61"/>
      <c r="AH41" s="61"/>
      <c r="AI41" s="61"/>
      <c r="AJ41" s="61"/>
      <c r="AK41" s="61"/>
      <c r="AL41" s="61"/>
    </row>
    <row r="42" spans="1:38" s="6" customFormat="1" ht="54.9" customHeight="1">
      <c r="A42" s="56"/>
      <c r="B42" s="13"/>
      <c r="C42" s="13"/>
      <c r="D42" s="13"/>
      <c r="E42" s="13"/>
      <c r="F42" s="13"/>
      <c r="G42" s="13"/>
      <c r="H42" s="13"/>
      <c r="J42" s="13"/>
      <c r="K42" s="13"/>
      <c r="L42" s="13"/>
      <c r="N42" s="13"/>
      <c r="O42" s="13"/>
      <c r="P42" s="13"/>
      <c r="R42" s="13"/>
      <c r="S42" s="13"/>
      <c r="T42" s="13"/>
      <c r="V42"/>
      <c r="W42"/>
      <c r="AA42" s="61"/>
      <c r="AB42" s="61"/>
      <c r="AC42" s="61"/>
      <c r="AD42" s="61"/>
      <c r="AE42" s="61"/>
      <c r="AF42" s="61"/>
      <c r="AG42" s="61"/>
      <c r="AH42" s="61"/>
      <c r="AI42" s="61"/>
      <c r="AJ42" s="61"/>
      <c r="AK42" s="61"/>
      <c r="AL42" s="61"/>
    </row>
    <row r="49" spans="8:8" ht="54.9" customHeight="1">
      <c r="H49" s="15" t="s">
        <v>19</v>
      </c>
    </row>
  </sheetData>
  <autoFilter ref="F2:H26" xr:uid="{00000000-0009-0000-0000-000000000000}"/>
  <mergeCells count="15">
    <mergeCell ref="CC2:CD2"/>
    <mergeCell ref="BL3:BT12"/>
    <mergeCell ref="BV3:CD12"/>
    <mergeCell ref="B1:D1"/>
    <mergeCell ref="F1:H1"/>
    <mergeCell ref="J1:L1"/>
    <mergeCell ref="N1:P1"/>
    <mergeCell ref="BS2:BT2"/>
    <mergeCell ref="R1:T1"/>
    <mergeCell ref="AU2:AV2"/>
    <mergeCell ref="AI2:AJ2"/>
    <mergeCell ref="BG2:BH2"/>
    <mergeCell ref="AB3:AJ12"/>
    <mergeCell ref="AN3:AV12"/>
    <mergeCell ref="AZ3:BH12"/>
  </mergeCells>
  <phoneticPr fontId="65" type="noConversion"/>
  <conditionalFormatting sqref="C3:C26 K3:K26 G3:G26">
    <cfRule type="cellIs" dxfId="10" priority="7" operator="lessThan">
      <formula>0</formula>
    </cfRule>
  </conditionalFormatting>
  <conditionalFormatting sqref="O3:O26">
    <cfRule type="cellIs" dxfId="9" priority="3" operator="lessThan">
      <formula>0</formula>
    </cfRule>
  </conditionalFormatting>
  <conditionalFormatting sqref="S3:S26">
    <cfRule type="cellIs" dxfId="8" priority="2" operator="lessThan">
      <formula>0</formula>
    </cfRule>
  </conditionalFormatting>
  <pageMargins left="0.511811024" right="0.511811024" top="0.78740157499999996" bottom="0.78740157499999996" header="0.31496062000000002" footer="0.31496062000000002"/>
  <pageSetup paperSize="9" scale="10" orientation="portrait" r:id="rId1"/>
  <colBreaks count="1" manualBreakCount="1">
    <brk id="86" max="48" man="1"/>
  </colBreaks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6"/>
  <dimension ref="A1:CK57"/>
  <sheetViews>
    <sheetView showGridLines="0" zoomScale="80" zoomScaleNormal="80" workbookViewId="0">
      <selection activeCell="L3" sqref="L3"/>
    </sheetView>
  </sheetViews>
  <sheetFormatPr defaultRowHeight="14.4"/>
  <cols>
    <col min="1" max="1" width="22.6640625" bestFit="1" customWidth="1"/>
    <col min="4" max="4" width="15.6640625" customWidth="1"/>
    <col min="5" max="5" width="10.33203125" bestFit="1" customWidth="1"/>
    <col min="6" max="6" width="10.33203125" customWidth="1"/>
    <col min="7" max="7" width="10.6640625" bestFit="1" customWidth="1"/>
    <col min="8" max="8" width="10.6640625" customWidth="1"/>
    <col min="10" max="10" width="11.33203125" bestFit="1" customWidth="1"/>
    <col min="11" max="11" width="11.44140625" customWidth="1"/>
    <col min="12" max="12" width="9" bestFit="1" customWidth="1"/>
    <col min="13" max="13" width="15.6640625" customWidth="1"/>
    <col min="14" max="14" width="8" customWidth="1"/>
    <col min="15" max="15" width="11.6640625" bestFit="1" customWidth="1"/>
    <col min="18" max="18" width="11.33203125" bestFit="1" customWidth="1"/>
    <col min="19" max="19" width="10.6640625" customWidth="1"/>
    <col min="20" max="20" width="9.5546875" customWidth="1"/>
    <col min="21" max="21" width="15.6640625" customWidth="1"/>
    <col min="22" max="22" width="9.6640625" bestFit="1" customWidth="1"/>
    <col min="23" max="23" width="12.109375" customWidth="1"/>
    <col min="26" max="26" width="11.33203125" bestFit="1" customWidth="1"/>
    <col min="27" max="27" width="8.109375" customWidth="1"/>
    <col min="28" max="28" width="8" customWidth="1"/>
    <col min="29" max="29" width="15.6640625" customWidth="1"/>
    <col min="30" max="30" width="8" customWidth="1"/>
    <col min="31" max="31" width="9.5546875" bestFit="1" customWidth="1"/>
    <col min="34" max="34" width="11.33203125" bestFit="1" customWidth="1"/>
    <col min="35" max="35" width="8.109375" customWidth="1"/>
    <col min="36" max="36" width="8" customWidth="1"/>
    <col min="37" max="37" width="15.6640625" customWidth="1"/>
    <col min="38" max="38" width="8" customWidth="1"/>
    <col min="39" max="39" width="9.5546875" bestFit="1" customWidth="1"/>
    <col min="42" max="42" width="11.33203125" bestFit="1" customWidth="1"/>
    <col min="43" max="43" width="8.109375" customWidth="1"/>
    <col min="44" max="44" width="8" customWidth="1"/>
    <col min="45" max="45" width="15.6640625" customWidth="1"/>
    <col min="46" max="46" width="8" customWidth="1"/>
    <col min="47" max="47" width="9.5546875" bestFit="1" customWidth="1"/>
    <col min="51" max="51" width="5.44140625" bestFit="1" customWidth="1"/>
    <col min="52" max="52" width="12.6640625" style="12" bestFit="1" customWidth="1"/>
    <col min="53" max="53" width="10" style="12" bestFit="1" customWidth="1"/>
    <col min="54" max="54" width="9.109375" style="12" bestFit="1" customWidth="1"/>
    <col min="55" max="55" width="10" style="12" bestFit="1" customWidth="1"/>
    <col min="56" max="56" width="10.5546875" style="12" bestFit="1" customWidth="1"/>
    <col min="57" max="57" width="10" style="12" bestFit="1" customWidth="1"/>
    <col min="58" max="58" width="12.6640625" style="12" bestFit="1" customWidth="1"/>
    <col min="59" max="59" width="10" style="12" bestFit="1" customWidth="1"/>
    <col min="60" max="61" width="12.6640625" style="12" bestFit="1" customWidth="1"/>
    <col min="62" max="62" width="11.21875" style="12" bestFit="1" customWidth="1"/>
    <col min="63" max="63" width="14.33203125" bestFit="1" customWidth="1"/>
    <col min="64" max="64" width="15.109375" bestFit="1" customWidth="1"/>
    <col min="65" max="71" width="15.44140625" customWidth="1"/>
    <col min="72" max="72" width="11.5546875" customWidth="1"/>
    <col min="73" max="77" width="15.5546875" customWidth="1"/>
    <col min="78" max="78" width="19.109375" customWidth="1"/>
    <col min="90" max="90" width="19.5546875" bestFit="1" customWidth="1"/>
    <col min="91" max="92" width="9.88671875" bestFit="1" customWidth="1"/>
    <col min="93" max="93" width="9.44140625" bestFit="1" customWidth="1"/>
    <col min="96" max="96" width="8.88671875" customWidth="1"/>
  </cols>
  <sheetData>
    <row r="1" spans="1:89" ht="18">
      <c r="A1" s="7">
        <f ca="1">HOUR('ACOMPANHAMENTO USINA'!AN3)</f>
        <v>23</v>
      </c>
      <c r="B1" s="16" t="s">
        <v>31</v>
      </c>
      <c r="C1" s="16"/>
      <c r="D1" s="16"/>
      <c r="E1" s="16"/>
      <c r="F1" s="16"/>
      <c r="G1" s="16"/>
      <c r="H1" s="16"/>
      <c r="I1" s="16"/>
      <c r="J1" s="16"/>
      <c r="K1" s="16"/>
      <c r="L1" s="16"/>
      <c r="M1" s="16"/>
      <c r="N1" s="16"/>
      <c r="O1" s="16"/>
      <c r="P1" s="16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/>
      <c r="AC1" s="16"/>
      <c r="AD1" s="16"/>
      <c r="AE1" s="16"/>
      <c r="AF1" s="16"/>
      <c r="AG1" s="16"/>
      <c r="AH1" s="16"/>
      <c r="AI1" s="16"/>
      <c r="AJ1" s="16"/>
      <c r="AK1" s="16"/>
      <c r="AL1" s="16"/>
      <c r="AM1" s="16"/>
      <c r="AP1" s="16"/>
      <c r="AQ1" s="16"/>
      <c r="AR1" s="16"/>
      <c r="AS1" s="16"/>
      <c r="AT1" s="16"/>
      <c r="AU1" s="16"/>
      <c r="AY1" t="s">
        <v>32</v>
      </c>
      <c r="AZ1" t="s">
        <v>33</v>
      </c>
      <c r="BA1" t="s">
        <v>34</v>
      </c>
      <c r="BB1" t="s">
        <v>35</v>
      </c>
      <c r="BC1" t="s">
        <v>36</v>
      </c>
      <c r="BD1" t="s">
        <v>37</v>
      </c>
      <c r="BE1" t="s">
        <v>38</v>
      </c>
      <c r="BF1" t="s">
        <v>39</v>
      </c>
      <c r="BG1" t="s">
        <v>40</v>
      </c>
      <c r="BH1" t="s">
        <v>62</v>
      </c>
      <c r="BI1" t="s">
        <v>63</v>
      </c>
      <c r="BJ1" t="s">
        <v>64</v>
      </c>
      <c r="BS1" s="84" t="s">
        <v>6</v>
      </c>
      <c r="BT1" s="84" t="s">
        <v>41</v>
      </c>
      <c r="BU1" s="84" t="s">
        <v>42</v>
      </c>
      <c r="BV1" s="84" t="s">
        <v>43</v>
      </c>
      <c r="BW1" s="84" t="s">
        <v>44</v>
      </c>
      <c r="BX1" s="84" t="s">
        <v>45</v>
      </c>
    </row>
    <row r="2" spans="1:89">
      <c r="A2" s="3" t="s">
        <v>47</v>
      </c>
      <c r="B2" s="4" t="s">
        <v>28</v>
      </c>
      <c r="C2" s="4" t="s">
        <v>29</v>
      </c>
      <c r="D2" s="8" t="s">
        <v>48</v>
      </c>
      <c r="E2" s="8" t="s">
        <v>49</v>
      </c>
      <c r="F2" s="8" t="s">
        <v>30</v>
      </c>
      <c r="G2" s="8" t="s">
        <v>50</v>
      </c>
      <c r="H2" s="8" t="s">
        <v>51</v>
      </c>
      <c r="J2" s="3" t="s">
        <v>10</v>
      </c>
      <c r="K2" s="4" t="s">
        <v>28</v>
      </c>
      <c r="L2" s="4" t="s">
        <v>29</v>
      </c>
      <c r="M2" s="8" t="s">
        <v>48</v>
      </c>
      <c r="N2" s="8" t="s">
        <v>49</v>
      </c>
      <c r="O2" s="8" t="s">
        <v>50</v>
      </c>
      <c r="P2" s="8" t="s">
        <v>51</v>
      </c>
      <c r="R2" s="3" t="s">
        <v>12</v>
      </c>
      <c r="S2" s="4" t="s">
        <v>28</v>
      </c>
      <c r="T2" s="4" t="s">
        <v>29</v>
      </c>
      <c r="U2" s="8" t="s">
        <v>48</v>
      </c>
      <c r="V2" s="8" t="s">
        <v>49</v>
      </c>
      <c r="W2" s="8" t="s">
        <v>50</v>
      </c>
      <c r="X2" s="8" t="s">
        <v>51</v>
      </c>
      <c r="Z2" s="3" t="s">
        <v>13</v>
      </c>
      <c r="AA2" s="4" t="s">
        <v>28</v>
      </c>
      <c r="AB2" s="4" t="s">
        <v>29</v>
      </c>
      <c r="AC2" s="8" t="s">
        <v>48</v>
      </c>
      <c r="AD2" s="8" t="s">
        <v>49</v>
      </c>
      <c r="AE2" s="8" t="s">
        <v>50</v>
      </c>
      <c r="AF2" s="8" t="s">
        <v>51</v>
      </c>
      <c r="AH2" s="3" t="s">
        <v>14</v>
      </c>
      <c r="AI2" s="4" t="s">
        <v>28</v>
      </c>
      <c r="AJ2" s="4" t="s">
        <v>29</v>
      </c>
      <c r="AK2" s="8" t="s">
        <v>48</v>
      </c>
      <c r="AL2" s="8" t="s">
        <v>49</v>
      </c>
      <c r="AM2" s="8" t="s">
        <v>50</v>
      </c>
      <c r="AN2" s="8" t="s">
        <v>51</v>
      </c>
      <c r="AP2" s="3" t="s">
        <v>61</v>
      </c>
      <c r="AQ2" s="4" t="s">
        <v>28</v>
      </c>
      <c r="AR2" s="4" t="s">
        <v>29</v>
      </c>
      <c r="AS2" s="8" t="s">
        <v>48</v>
      </c>
      <c r="AT2" s="8" t="s">
        <v>49</v>
      </c>
      <c r="AU2" s="8" t="s">
        <v>50</v>
      </c>
      <c r="AV2" s="8" t="s">
        <v>51</v>
      </c>
      <c r="AY2">
        <v>1</v>
      </c>
      <c r="AZ2">
        <v>7668.3472890537842</v>
      </c>
      <c r="BA2">
        <v>10685</v>
      </c>
      <c r="BB2">
        <v>0</v>
      </c>
      <c r="BC2">
        <v>0</v>
      </c>
      <c r="BD2">
        <v>0</v>
      </c>
      <c r="BE2">
        <v>1190</v>
      </c>
      <c r="BF2">
        <v>142.95833333333331</v>
      </c>
      <c r="BG2">
        <v>332</v>
      </c>
      <c r="BH2">
        <v>349.01283352668207</v>
      </c>
      <c r="BI2">
        <v>490.84583290274259</v>
      </c>
      <c r="BJ2" s="105">
        <v>45518</v>
      </c>
      <c r="BS2" s="85" t="str">
        <f ca="1">'ACOMPANHAMENTO USINA'!$AN$3</f>
        <v>23:59:59</v>
      </c>
      <c r="BT2" s="86">
        <f>'JUSTIFICATIVA DE USINA'!$AI$2</f>
        <v>257000</v>
      </c>
      <c r="BU2" s="86">
        <f>'JUSTIFICATIVA DE USINA'!$AU$2</f>
        <v>0</v>
      </c>
      <c r="BV2" s="86">
        <f>'JUSTIFICATIVA DE USINA'!$BG$2</f>
        <v>45000</v>
      </c>
      <c r="BW2" s="86">
        <f>'JUSTIFICATIVA DE USINA'!$BS$2</f>
        <v>5000</v>
      </c>
      <c r="BX2" t="e">
        <f>'JUSTIFICATIVA DE USINA'!#REF!</f>
        <v>#REF!</v>
      </c>
    </row>
    <row r="3" spans="1:89">
      <c r="A3" s="2">
        <v>1</v>
      </c>
      <c r="B3" s="1">
        <f>SUM(K3,S3,AA3,AI3,AQ3)</f>
        <v>8160.318455913799</v>
      </c>
      <c r="C3" s="1">
        <f t="shared" ref="C3:C26" ca="1" si="0">IF(L3="","",SUM(L3,T3,AB3,AJ3))</f>
        <v>12207</v>
      </c>
      <c r="D3" s="1">
        <f t="shared" ref="D3:D26" ca="1" si="1">IF(C3="","",B3)</f>
        <v>8160.318455913799</v>
      </c>
      <c r="E3" s="1" t="str">
        <f ca="1">IF(C3="",B3,"")</f>
        <v/>
      </c>
      <c r="F3" s="1"/>
      <c r="G3" s="1"/>
      <c r="H3" s="1"/>
      <c r="I3" s="12">
        <f ca="1">IF(C3="","",C3-B3)</f>
        <v>4046.681544086201</v>
      </c>
      <c r="J3" s="2">
        <v>1</v>
      </c>
      <c r="K3" s="1">
        <f>AZ2</f>
        <v>7668.3472890537842</v>
      </c>
      <c r="L3" s="1">
        <f t="shared" ref="L3:L26" ca="1" si="2">IF(J3-1&lt;=$A$1,IF($BA2="","",$BA2),"")</f>
        <v>10685</v>
      </c>
      <c r="M3" s="1">
        <f t="shared" ref="M3:M26" ca="1" si="3">IF(L3="","",K3)</f>
        <v>7668.3472890537842</v>
      </c>
      <c r="N3" s="1" t="str">
        <f ca="1">IF(L3="",K3,"")</f>
        <v/>
      </c>
      <c r="O3" s="1"/>
      <c r="P3" s="1"/>
      <c r="Q3" s="12">
        <f ca="1">IF(L3="","",L3-K3)</f>
        <v>3016.6527109462158</v>
      </c>
      <c r="R3" s="2">
        <v>1</v>
      </c>
      <c r="S3" s="1">
        <f>$BB2</f>
        <v>0</v>
      </c>
      <c r="T3" s="1">
        <f t="shared" ref="T3:T26" ca="1" si="4">IF(R3-1&lt;=$A$1,IF($BC2="","",$BC2),"")</f>
        <v>0</v>
      </c>
      <c r="U3" s="1">
        <f t="shared" ref="U3:U26" ca="1" si="5">IF(T3="","",S3)</f>
        <v>0</v>
      </c>
      <c r="V3" s="1" t="str">
        <f ca="1">IF(T3="",S3,"")</f>
        <v/>
      </c>
      <c r="W3" s="1"/>
      <c r="X3" s="1"/>
      <c r="Y3" s="12">
        <f ca="1">IF(T3="","",T3-S3)</f>
        <v>0</v>
      </c>
      <c r="Z3" s="2">
        <v>1</v>
      </c>
      <c r="AA3" s="1">
        <f>BD2</f>
        <v>0</v>
      </c>
      <c r="AB3" s="1">
        <f t="shared" ref="AB3:AB26" ca="1" si="6">IF(Z3-1&lt;=$A$1,IF($BE2="","",$BE2),"")</f>
        <v>1190</v>
      </c>
      <c r="AC3" s="1">
        <f t="shared" ref="AC3:AC26" ca="1" si="7">IF(AB3="","",AA3)</f>
        <v>0</v>
      </c>
      <c r="AD3" s="1" t="str">
        <f ca="1">IF(AB3="",AA3,"")</f>
        <v/>
      </c>
      <c r="AE3" s="1"/>
      <c r="AF3" s="1"/>
      <c r="AG3" s="12">
        <f ca="1">IF(AB3="","",AB3-AA3)</f>
        <v>1190</v>
      </c>
      <c r="AH3" s="2">
        <v>1</v>
      </c>
      <c r="AI3" s="1">
        <f>BF2</f>
        <v>142.95833333333331</v>
      </c>
      <c r="AJ3" s="1">
        <f t="shared" ref="AJ3:AJ26" ca="1" si="8">IF(AH3-1&lt;=$A$1,IF($BG2="","",$BG2),"")</f>
        <v>332</v>
      </c>
      <c r="AK3" s="1">
        <f t="shared" ref="AK3:AK26" ca="1" si="9">IF(AJ3="","",AI3)</f>
        <v>142.95833333333331</v>
      </c>
      <c r="AL3" s="1" t="str">
        <f ca="1">IF(AJ3="",AI3,"")</f>
        <v/>
      </c>
      <c r="AM3" s="1"/>
      <c r="AN3" s="1"/>
      <c r="AO3" s="12">
        <f ca="1">IF(AJ3="","",AJ3-AI3)</f>
        <v>189.04166666666669</v>
      </c>
      <c r="AP3" s="2">
        <v>1</v>
      </c>
      <c r="AQ3" s="1">
        <f>$BH2</f>
        <v>349.01283352668207</v>
      </c>
      <c r="AR3" s="1">
        <f t="shared" ref="AR3:AR26" ca="1" si="10">IF(AP3-1&lt;=$A$1,IF($BI2="","",$BI2),"")</f>
        <v>490.84583290274259</v>
      </c>
      <c r="AS3" s="1">
        <f ca="1">IF(AR3="","",AQ3)</f>
        <v>349.01283352668207</v>
      </c>
      <c r="AT3" s="1" t="str">
        <f ca="1">IF(AR3="",AQ3,"")</f>
        <v/>
      </c>
      <c r="AU3" s="1"/>
      <c r="AV3" s="1"/>
      <c r="AW3" s="12">
        <f ca="1">IF(AR3="","",AR3-AQ3)</f>
        <v>141.83299937606051</v>
      </c>
      <c r="AY3">
        <v>2</v>
      </c>
      <c r="AZ3">
        <v>8554.0726762390423</v>
      </c>
      <c r="BA3">
        <v>10372</v>
      </c>
      <c r="BB3">
        <v>0</v>
      </c>
      <c r="BC3">
        <v>0</v>
      </c>
      <c r="BD3">
        <v>531.83159999999998</v>
      </c>
      <c r="BE3">
        <v>430</v>
      </c>
      <c r="BF3">
        <v>142.95833333333331</v>
      </c>
      <c r="BG3">
        <v>237</v>
      </c>
      <c r="BH3">
        <v>349.01283352668207</v>
      </c>
      <c r="BI3">
        <v>152.18454123511188</v>
      </c>
      <c r="BJ3" s="105">
        <v>45518</v>
      </c>
      <c r="BS3" t="s">
        <v>52</v>
      </c>
      <c r="BT3" s="87" t="str">
        <f>'JUSTIFICATIVA DE USINA'!$AB$3</f>
        <v>USINA 1</v>
      </c>
      <c r="BU3" s="87" t="str">
        <f>'JUSTIFICATIVA DE USINA'!$AN$3</f>
        <v>USINA 2</v>
      </c>
      <c r="BV3" s="87" t="str">
        <f>'JUSTIFICATIVA DE USINA'!$AZ$3</f>
        <v xml:space="preserve">USINA 3
</v>
      </c>
      <c r="BW3" s="87" t="str">
        <f>'JUSTIFICATIVA DE USINA'!$BL$3</f>
        <v>USINA 4</v>
      </c>
      <c r="BX3" s="87" t="e">
        <f>'JUSTIFICATIVA DE USINA'!#REF!</f>
        <v>#REF!</v>
      </c>
    </row>
    <row r="4" spans="1:89">
      <c r="A4" s="2">
        <v>2</v>
      </c>
      <c r="B4" s="1">
        <f t="shared" ref="B4:B26" si="11">SUM(K4,S4,AA4,AI4,AQ4)</f>
        <v>9577.8754430990575</v>
      </c>
      <c r="C4" s="1">
        <f t="shared" ca="1" si="0"/>
        <v>11039</v>
      </c>
      <c r="D4" s="1">
        <f t="shared" ca="1" si="1"/>
        <v>9577.8754430990575</v>
      </c>
      <c r="E4" s="1" t="str">
        <f t="shared" ref="E4:E26" ca="1" si="12">IF(C4="",B4,"")</f>
        <v/>
      </c>
      <c r="F4" s="1"/>
      <c r="G4" s="1"/>
      <c r="H4" s="1"/>
      <c r="I4" s="12">
        <f t="shared" ref="I4:I26" ca="1" si="13">IF(C4="","",C4-B4)</f>
        <v>1461.1245569009425</v>
      </c>
      <c r="J4" s="2">
        <v>2</v>
      </c>
      <c r="K4" s="1">
        <f t="shared" ref="K4:K26" si="14">AZ3</f>
        <v>8554.0726762390423</v>
      </c>
      <c r="L4" s="1">
        <f t="shared" ca="1" si="2"/>
        <v>10372</v>
      </c>
      <c r="M4" s="1">
        <f t="shared" ca="1" si="3"/>
        <v>8554.0726762390423</v>
      </c>
      <c r="N4" s="1" t="str">
        <f t="shared" ref="N4:N26" ca="1" si="15">IF(L4="",K4,"")</f>
        <v/>
      </c>
      <c r="O4" s="1"/>
      <c r="P4" s="1"/>
      <c r="Q4" s="12">
        <f t="shared" ref="Q4:Q26" ca="1" si="16">IF(L4="","",L4-K4)</f>
        <v>1817.9273237609577</v>
      </c>
      <c r="R4" s="2">
        <v>2</v>
      </c>
      <c r="S4" s="1">
        <f t="shared" ref="S4:S26" si="17">$BB3</f>
        <v>0</v>
      </c>
      <c r="T4" s="1">
        <f t="shared" ca="1" si="4"/>
        <v>0</v>
      </c>
      <c r="U4" s="1">
        <f t="shared" ca="1" si="5"/>
        <v>0</v>
      </c>
      <c r="V4" s="1" t="str">
        <f t="shared" ref="V4:V26" ca="1" si="18">IF(T4="",S4,"")</f>
        <v/>
      </c>
      <c r="W4" s="1"/>
      <c r="X4" s="1"/>
      <c r="Y4" s="12">
        <f t="shared" ref="Y4:Y26" ca="1" si="19">IF(T4="","",T4-S4)</f>
        <v>0</v>
      </c>
      <c r="Z4" s="2">
        <v>2</v>
      </c>
      <c r="AA4" s="1">
        <f t="shared" ref="AA4:AA26" si="20">BD3</f>
        <v>531.83159999999998</v>
      </c>
      <c r="AB4" s="1">
        <f t="shared" ca="1" si="6"/>
        <v>430</v>
      </c>
      <c r="AC4" s="1">
        <f t="shared" ca="1" si="7"/>
        <v>531.83159999999998</v>
      </c>
      <c r="AD4" s="1" t="str">
        <f t="shared" ref="AD4:AD26" ca="1" si="21">IF(AB4="",AA4,"")</f>
        <v/>
      </c>
      <c r="AE4" s="1"/>
      <c r="AF4" s="1"/>
      <c r="AG4" s="12">
        <f t="shared" ref="AG4:AG26" ca="1" si="22">IF(AB4="","",AB4-AA4)</f>
        <v>-101.83159999999998</v>
      </c>
      <c r="AH4" s="2">
        <v>2</v>
      </c>
      <c r="AI4" s="1">
        <f t="shared" ref="AI4:AI26" si="23">BF3</f>
        <v>142.95833333333331</v>
      </c>
      <c r="AJ4" s="1">
        <f t="shared" ca="1" si="8"/>
        <v>237</v>
      </c>
      <c r="AK4" s="1">
        <f t="shared" ca="1" si="9"/>
        <v>142.95833333333331</v>
      </c>
      <c r="AL4" s="1" t="str">
        <f t="shared" ref="AL4:AL26" ca="1" si="24">IF(AJ4="",AI4,"")</f>
        <v/>
      </c>
      <c r="AM4" s="1"/>
      <c r="AN4" s="1"/>
      <c r="AO4" s="12">
        <f t="shared" ref="AO4:AO26" ca="1" si="25">IF(AJ4="","",AJ4-AI4)</f>
        <v>94.041666666666686</v>
      </c>
      <c r="AP4" s="2">
        <v>2</v>
      </c>
      <c r="AQ4" s="1">
        <f t="shared" ref="AQ4:AQ26" si="26">$BH3</f>
        <v>349.01283352668207</v>
      </c>
      <c r="AR4" s="1">
        <f t="shared" ca="1" si="10"/>
        <v>152.18454123511188</v>
      </c>
      <c r="AS4" s="1">
        <f t="shared" ref="AS4:AS26" ca="1" si="27">IF(AR4="","",AQ4)</f>
        <v>349.01283352668207</v>
      </c>
      <c r="AT4" s="1" t="str">
        <f t="shared" ref="AT4:AT26" ca="1" si="28">IF(AR4="",AQ4,"")</f>
        <v/>
      </c>
      <c r="AU4" s="1"/>
      <c r="AV4" s="1"/>
      <c r="AW4" s="12">
        <f t="shared" ref="AW4:AW26" ca="1" si="29">IF(AR4="","",AR4-AQ4)</f>
        <v>-196.82829229157019</v>
      </c>
      <c r="AY4">
        <v>3</v>
      </c>
      <c r="AZ4">
        <v>10725.758244818933</v>
      </c>
      <c r="BA4">
        <v>10042</v>
      </c>
      <c r="BB4">
        <v>0</v>
      </c>
      <c r="BC4">
        <v>0</v>
      </c>
      <c r="BD4">
        <v>230.12280000000001</v>
      </c>
      <c r="BE4">
        <v>1620</v>
      </c>
      <c r="BF4">
        <v>142.95833333333331</v>
      </c>
      <c r="BG4">
        <v>160</v>
      </c>
      <c r="BH4">
        <v>349.01283352668207</v>
      </c>
      <c r="BI4">
        <v>0</v>
      </c>
      <c r="BJ4" s="105">
        <v>45518</v>
      </c>
    </row>
    <row r="5" spans="1:89">
      <c r="A5" s="2">
        <v>3</v>
      </c>
      <c r="B5" s="1">
        <f t="shared" si="11"/>
        <v>11447.852211678948</v>
      </c>
      <c r="C5" s="1">
        <f t="shared" ca="1" si="0"/>
        <v>11822</v>
      </c>
      <c r="D5" s="1">
        <f t="shared" ca="1" si="1"/>
        <v>11447.852211678948</v>
      </c>
      <c r="E5" s="1" t="str">
        <f t="shared" ca="1" si="12"/>
        <v/>
      </c>
      <c r="F5" s="1"/>
      <c r="G5" s="1"/>
      <c r="H5" s="1"/>
      <c r="I5" s="12">
        <f t="shared" ca="1" si="13"/>
        <v>374.14778832105185</v>
      </c>
      <c r="J5" s="2">
        <v>3</v>
      </c>
      <c r="K5" s="1">
        <f t="shared" si="14"/>
        <v>10725.758244818933</v>
      </c>
      <c r="L5" s="1">
        <f t="shared" ca="1" si="2"/>
        <v>10042</v>
      </c>
      <c r="M5" s="1">
        <f t="shared" ca="1" si="3"/>
        <v>10725.758244818933</v>
      </c>
      <c r="N5" s="1" t="str">
        <f t="shared" ca="1" si="15"/>
        <v/>
      </c>
      <c r="O5" s="1"/>
      <c r="P5" s="1"/>
      <c r="Q5" s="12">
        <f t="shared" ca="1" si="16"/>
        <v>-683.75824481893324</v>
      </c>
      <c r="R5" s="2">
        <v>3</v>
      </c>
      <c r="S5" s="1">
        <f t="shared" si="17"/>
        <v>0</v>
      </c>
      <c r="T5" s="1">
        <f t="shared" ca="1" si="4"/>
        <v>0</v>
      </c>
      <c r="U5" s="1">
        <f t="shared" ca="1" si="5"/>
        <v>0</v>
      </c>
      <c r="V5" s="1" t="str">
        <f t="shared" ca="1" si="18"/>
        <v/>
      </c>
      <c r="W5" s="1"/>
      <c r="X5" s="1"/>
      <c r="Y5" s="12">
        <f t="shared" ca="1" si="19"/>
        <v>0</v>
      </c>
      <c r="Z5" s="2">
        <v>3</v>
      </c>
      <c r="AA5" s="1">
        <f t="shared" si="20"/>
        <v>230.12280000000001</v>
      </c>
      <c r="AB5" s="1">
        <f t="shared" ca="1" si="6"/>
        <v>1620</v>
      </c>
      <c r="AC5" s="1">
        <f t="shared" ca="1" si="7"/>
        <v>230.12280000000001</v>
      </c>
      <c r="AD5" s="1" t="str">
        <f t="shared" ca="1" si="21"/>
        <v/>
      </c>
      <c r="AE5" s="1"/>
      <c r="AF5" s="1"/>
      <c r="AG5" s="12">
        <f t="shared" ca="1" si="22"/>
        <v>1389.8771999999999</v>
      </c>
      <c r="AH5" s="2">
        <v>3</v>
      </c>
      <c r="AI5" s="1">
        <f t="shared" si="23"/>
        <v>142.95833333333331</v>
      </c>
      <c r="AJ5" s="1">
        <f t="shared" ca="1" si="8"/>
        <v>160</v>
      </c>
      <c r="AK5" s="1">
        <f t="shared" ca="1" si="9"/>
        <v>142.95833333333331</v>
      </c>
      <c r="AL5" s="1" t="str">
        <f t="shared" ca="1" si="24"/>
        <v/>
      </c>
      <c r="AM5" s="1"/>
      <c r="AN5" s="1"/>
      <c r="AO5" s="12">
        <f t="shared" ca="1" si="25"/>
        <v>17.041666666666686</v>
      </c>
      <c r="AP5" s="2">
        <v>3</v>
      </c>
      <c r="AQ5" s="1">
        <f t="shared" si="26"/>
        <v>349.01283352668207</v>
      </c>
      <c r="AR5" s="1">
        <f t="shared" ca="1" si="10"/>
        <v>0</v>
      </c>
      <c r="AS5" s="1">
        <f t="shared" ca="1" si="27"/>
        <v>349.01283352668207</v>
      </c>
      <c r="AT5" s="1" t="str">
        <f t="shared" ca="1" si="28"/>
        <v/>
      </c>
      <c r="AU5" s="1"/>
      <c r="AV5" s="1"/>
      <c r="AW5" s="12">
        <f t="shared" ca="1" si="29"/>
        <v>-349.01283352668207</v>
      </c>
      <c r="AY5">
        <v>4</v>
      </c>
      <c r="AZ5">
        <v>10279.445251276224</v>
      </c>
      <c r="BA5">
        <v>10469</v>
      </c>
      <c r="BB5">
        <v>0</v>
      </c>
      <c r="BC5">
        <v>0</v>
      </c>
      <c r="BD5">
        <v>905.1264000000001</v>
      </c>
      <c r="BE5">
        <v>1980</v>
      </c>
      <c r="BF5">
        <v>142.95833333333331</v>
      </c>
      <c r="BG5">
        <v>208</v>
      </c>
      <c r="BH5">
        <v>349.01283352668207</v>
      </c>
      <c r="BI5">
        <v>0</v>
      </c>
      <c r="BJ5" s="105">
        <v>45518</v>
      </c>
    </row>
    <row r="6" spans="1:89">
      <c r="A6" s="2">
        <v>4</v>
      </c>
      <c r="B6" s="1">
        <f t="shared" si="11"/>
        <v>11676.542818136239</v>
      </c>
      <c r="C6" s="1">
        <f t="shared" ca="1" si="0"/>
        <v>12657</v>
      </c>
      <c r="D6" s="1">
        <f t="shared" ca="1" si="1"/>
        <v>11676.542818136239</v>
      </c>
      <c r="E6" s="1" t="str">
        <f t="shared" ca="1" si="12"/>
        <v/>
      </c>
      <c r="F6" s="1"/>
      <c r="G6" s="1"/>
      <c r="H6" s="1"/>
      <c r="I6" s="12">
        <f t="shared" ca="1" si="13"/>
        <v>980.45718186376143</v>
      </c>
      <c r="J6" s="2">
        <v>4</v>
      </c>
      <c r="K6" s="1">
        <f t="shared" si="14"/>
        <v>10279.445251276224</v>
      </c>
      <c r="L6" s="1">
        <f t="shared" ca="1" si="2"/>
        <v>10469</v>
      </c>
      <c r="M6" s="1">
        <f t="shared" ca="1" si="3"/>
        <v>10279.445251276224</v>
      </c>
      <c r="N6" s="1" t="str">
        <f t="shared" ca="1" si="15"/>
        <v/>
      </c>
      <c r="O6" s="1"/>
      <c r="P6" s="1"/>
      <c r="Q6" s="12">
        <f t="shared" ca="1" si="16"/>
        <v>189.55474872377636</v>
      </c>
      <c r="R6" s="2">
        <v>4</v>
      </c>
      <c r="S6" s="1">
        <f t="shared" si="17"/>
        <v>0</v>
      </c>
      <c r="T6" s="1">
        <f t="shared" ca="1" si="4"/>
        <v>0</v>
      </c>
      <c r="U6" s="1">
        <f t="shared" ca="1" si="5"/>
        <v>0</v>
      </c>
      <c r="V6" s="1" t="str">
        <f t="shared" ca="1" si="18"/>
        <v/>
      </c>
      <c r="W6" s="1"/>
      <c r="X6" s="1"/>
      <c r="Y6" s="12">
        <f t="shared" ca="1" si="19"/>
        <v>0</v>
      </c>
      <c r="Z6" s="2">
        <v>4</v>
      </c>
      <c r="AA6" s="1">
        <f t="shared" si="20"/>
        <v>905.1264000000001</v>
      </c>
      <c r="AB6" s="1">
        <f t="shared" ca="1" si="6"/>
        <v>1980</v>
      </c>
      <c r="AC6" s="1">
        <f t="shared" ca="1" si="7"/>
        <v>905.1264000000001</v>
      </c>
      <c r="AD6" s="1" t="str">
        <f t="shared" ca="1" si="21"/>
        <v/>
      </c>
      <c r="AE6" s="1"/>
      <c r="AF6" s="1"/>
      <c r="AG6" s="12">
        <f t="shared" ca="1" si="22"/>
        <v>1074.8735999999999</v>
      </c>
      <c r="AH6" s="2">
        <v>4</v>
      </c>
      <c r="AI6" s="1">
        <f t="shared" si="23"/>
        <v>142.95833333333331</v>
      </c>
      <c r="AJ6" s="1">
        <f t="shared" ca="1" si="8"/>
        <v>208</v>
      </c>
      <c r="AK6" s="1">
        <f t="shared" ca="1" si="9"/>
        <v>142.95833333333331</v>
      </c>
      <c r="AL6" s="1" t="str">
        <f t="shared" ca="1" si="24"/>
        <v/>
      </c>
      <c r="AM6" s="1"/>
      <c r="AN6" s="1"/>
      <c r="AO6" s="12">
        <f t="shared" ca="1" si="25"/>
        <v>65.041666666666686</v>
      </c>
      <c r="AP6" s="2">
        <v>4</v>
      </c>
      <c r="AQ6" s="1">
        <f t="shared" si="26"/>
        <v>349.01283352668207</v>
      </c>
      <c r="AR6" s="1">
        <f t="shared" ca="1" si="10"/>
        <v>0</v>
      </c>
      <c r="AS6" s="1">
        <f t="shared" ca="1" si="27"/>
        <v>349.01283352668207</v>
      </c>
      <c r="AT6" s="1" t="str">
        <f t="shared" ca="1" si="28"/>
        <v/>
      </c>
      <c r="AU6" s="1"/>
      <c r="AV6" s="1"/>
      <c r="AW6" s="12">
        <f t="shared" ca="1" si="29"/>
        <v>-349.01283352668207</v>
      </c>
      <c r="AY6">
        <v>5</v>
      </c>
      <c r="AZ6">
        <v>11137.902138856007</v>
      </c>
      <c r="BA6">
        <v>9927</v>
      </c>
      <c r="BB6">
        <v>0</v>
      </c>
      <c r="BC6">
        <v>0</v>
      </c>
      <c r="BD6">
        <v>1365.3719999999998</v>
      </c>
      <c r="BE6">
        <v>1190</v>
      </c>
      <c r="BF6">
        <v>142.95833333333331</v>
      </c>
      <c r="BG6">
        <v>207</v>
      </c>
      <c r="BH6">
        <v>349.01283352668207</v>
      </c>
      <c r="BI6">
        <v>0</v>
      </c>
      <c r="BJ6" s="105">
        <v>45518</v>
      </c>
    </row>
    <row r="7" spans="1:89">
      <c r="A7" s="2">
        <v>5</v>
      </c>
      <c r="B7" s="1">
        <f t="shared" si="11"/>
        <v>12995.245305716022</v>
      </c>
      <c r="C7" s="1">
        <f t="shared" ca="1" si="0"/>
        <v>11324</v>
      </c>
      <c r="D7" s="1">
        <f t="shared" ca="1" si="1"/>
        <v>12995.245305716022</v>
      </c>
      <c r="E7" s="1" t="str">
        <f t="shared" ca="1" si="12"/>
        <v/>
      </c>
      <c r="F7" s="1"/>
      <c r="G7" s="1"/>
      <c r="H7" s="1"/>
      <c r="I7" s="12">
        <f t="shared" ca="1" si="13"/>
        <v>-1671.2453057160219</v>
      </c>
      <c r="J7" s="2">
        <v>5</v>
      </c>
      <c r="K7" s="1">
        <f t="shared" si="14"/>
        <v>11137.902138856007</v>
      </c>
      <c r="L7" s="1">
        <f t="shared" ca="1" si="2"/>
        <v>9927</v>
      </c>
      <c r="M7" s="1">
        <f t="shared" ca="1" si="3"/>
        <v>11137.902138856007</v>
      </c>
      <c r="N7" s="1" t="str">
        <f t="shared" ca="1" si="15"/>
        <v/>
      </c>
      <c r="O7" s="1"/>
      <c r="P7" s="1"/>
      <c r="Q7" s="12">
        <f t="shared" ca="1" si="16"/>
        <v>-1210.9021388560068</v>
      </c>
      <c r="R7" s="2">
        <v>5</v>
      </c>
      <c r="S7" s="1">
        <f t="shared" si="17"/>
        <v>0</v>
      </c>
      <c r="T7" s="1">
        <f t="shared" ca="1" si="4"/>
        <v>0</v>
      </c>
      <c r="U7" s="1">
        <f t="shared" ca="1" si="5"/>
        <v>0</v>
      </c>
      <c r="V7" s="1" t="str">
        <f t="shared" ca="1" si="18"/>
        <v/>
      </c>
      <c r="W7" s="1"/>
      <c r="X7" s="1"/>
      <c r="Y7" s="12">
        <f t="shared" ca="1" si="19"/>
        <v>0</v>
      </c>
      <c r="Z7" s="2">
        <v>5</v>
      </c>
      <c r="AA7" s="1">
        <f t="shared" si="20"/>
        <v>1365.3719999999998</v>
      </c>
      <c r="AB7" s="1">
        <f t="shared" ca="1" si="6"/>
        <v>1190</v>
      </c>
      <c r="AC7" s="1">
        <f t="shared" ca="1" si="7"/>
        <v>1365.3719999999998</v>
      </c>
      <c r="AD7" s="1" t="str">
        <f t="shared" ca="1" si="21"/>
        <v/>
      </c>
      <c r="AE7" s="1"/>
      <c r="AF7" s="1"/>
      <c r="AG7" s="12">
        <f t="shared" ca="1" si="22"/>
        <v>-175.37199999999984</v>
      </c>
      <c r="AH7" s="2">
        <v>5</v>
      </c>
      <c r="AI7" s="1">
        <f t="shared" si="23"/>
        <v>142.95833333333331</v>
      </c>
      <c r="AJ7" s="1">
        <f t="shared" ca="1" si="8"/>
        <v>207</v>
      </c>
      <c r="AK7" s="1">
        <f t="shared" ca="1" si="9"/>
        <v>142.95833333333331</v>
      </c>
      <c r="AL7" s="1" t="str">
        <f t="shared" ca="1" si="24"/>
        <v/>
      </c>
      <c r="AM7" s="1"/>
      <c r="AN7" s="1"/>
      <c r="AO7" s="12">
        <f t="shared" ca="1" si="25"/>
        <v>64.041666666666686</v>
      </c>
      <c r="AP7" s="2">
        <v>5</v>
      </c>
      <c r="AQ7" s="1">
        <f t="shared" si="26"/>
        <v>349.01283352668207</v>
      </c>
      <c r="AR7" s="1">
        <f t="shared" ca="1" si="10"/>
        <v>0</v>
      </c>
      <c r="AS7" s="1">
        <f t="shared" ca="1" si="27"/>
        <v>349.01283352668207</v>
      </c>
      <c r="AT7" s="1" t="str">
        <f t="shared" ca="1" si="28"/>
        <v/>
      </c>
      <c r="AU7" s="1"/>
      <c r="AV7" s="1"/>
      <c r="AW7" s="12">
        <f t="shared" ca="1" si="29"/>
        <v>-349.01283352668207</v>
      </c>
      <c r="AY7">
        <v>6</v>
      </c>
      <c r="AZ7">
        <v>11144.914038754558</v>
      </c>
      <c r="BA7">
        <v>12592</v>
      </c>
      <c r="BB7">
        <v>0</v>
      </c>
      <c r="BC7">
        <v>0</v>
      </c>
      <c r="BD7">
        <v>1436.9580000000001</v>
      </c>
      <c r="BE7">
        <v>2280</v>
      </c>
      <c r="BF7">
        <v>142.95833333333331</v>
      </c>
      <c r="BG7">
        <v>168</v>
      </c>
      <c r="BH7">
        <v>349.01283352668207</v>
      </c>
      <c r="BI7">
        <v>278.33552424256538</v>
      </c>
      <c r="BJ7" s="105">
        <v>45518</v>
      </c>
    </row>
    <row r="8" spans="1:89">
      <c r="A8" s="2">
        <v>6</v>
      </c>
      <c r="B8" s="1">
        <f t="shared" si="11"/>
        <v>13073.843205614574</v>
      </c>
      <c r="C8" s="1">
        <f t="shared" ca="1" si="0"/>
        <v>15040</v>
      </c>
      <c r="D8" s="1">
        <f t="shared" ca="1" si="1"/>
        <v>13073.843205614574</v>
      </c>
      <c r="E8" s="1" t="str">
        <f t="shared" ca="1" si="12"/>
        <v/>
      </c>
      <c r="F8" s="1"/>
      <c r="G8" s="1"/>
      <c r="H8" s="1"/>
      <c r="I8" s="12">
        <f t="shared" ca="1" si="13"/>
        <v>1966.1567943854261</v>
      </c>
      <c r="J8" s="2">
        <v>6</v>
      </c>
      <c r="K8" s="1">
        <f t="shared" si="14"/>
        <v>11144.914038754558</v>
      </c>
      <c r="L8" s="1">
        <f t="shared" ca="1" si="2"/>
        <v>12592</v>
      </c>
      <c r="M8" s="1">
        <f t="shared" ca="1" si="3"/>
        <v>11144.914038754558</v>
      </c>
      <c r="N8" s="1" t="str">
        <f t="shared" ca="1" si="15"/>
        <v/>
      </c>
      <c r="O8" s="1"/>
      <c r="P8" s="1"/>
      <c r="Q8" s="12">
        <f t="shared" ca="1" si="16"/>
        <v>1447.0859612454424</v>
      </c>
      <c r="R8" s="2">
        <v>6</v>
      </c>
      <c r="S8" s="1">
        <f t="shared" si="17"/>
        <v>0</v>
      </c>
      <c r="T8" s="1">
        <f t="shared" ca="1" si="4"/>
        <v>0</v>
      </c>
      <c r="U8" s="1">
        <f t="shared" ca="1" si="5"/>
        <v>0</v>
      </c>
      <c r="V8" s="1" t="str">
        <f t="shared" ca="1" si="18"/>
        <v/>
      </c>
      <c r="W8" s="1"/>
      <c r="X8" s="1"/>
      <c r="Y8" s="12">
        <f t="shared" ca="1" si="19"/>
        <v>0</v>
      </c>
      <c r="Z8" s="2">
        <v>6</v>
      </c>
      <c r="AA8" s="1">
        <f t="shared" si="20"/>
        <v>1436.9580000000001</v>
      </c>
      <c r="AB8" s="1">
        <f t="shared" ca="1" si="6"/>
        <v>2280</v>
      </c>
      <c r="AC8" s="1">
        <f t="shared" ca="1" si="7"/>
        <v>1436.9580000000001</v>
      </c>
      <c r="AD8" s="1" t="str">
        <f t="shared" ca="1" si="21"/>
        <v/>
      </c>
      <c r="AE8" s="1"/>
      <c r="AF8" s="1"/>
      <c r="AG8" s="12">
        <f t="shared" ca="1" si="22"/>
        <v>843.04199999999992</v>
      </c>
      <c r="AH8" s="2">
        <v>6</v>
      </c>
      <c r="AI8" s="1">
        <f t="shared" si="23"/>
        <v>142.95833333333331</v>
      </c>
      <c r="AJ8" s="1">
        <f t="shared" ca="1" si="8"/>
        <v>168</v>
      </c>
      <c r="AK8" s="1">
        <f t="shared" ca="1" si="9"/>
        <v>142.95833333333331</v>
      </c>
      <c r="AL8" s="1" t="str">
        <f t="shared" ca="1" si="24"/>
        <v/>
      </c>
      <c r="AM8" s="1"/>
      <c r="AN8" s="1"/>
      <c r="AO8" s="12">
        <f t="shared" ca="1" si="25"/>
        <v>25.041666666666686</v>
      </c>
      <c r="AP8" s="2">
        <v>6</v>
      </c>
      <c r="AQ8" s="1">
        <f t="shared" si="26"/>
        <v>349.01283352668207</v>
      </c>
      <c r="AR8" s="1">
        <f t="shared" ca="1" si="10"/>
        <v>278.33552424256538</v>
      </c>
      <c r="AS8" s="1">
        <f t="shared" ca="1" si="27"/>
        <v>349.01283352668207</v>
      </c>
      <c r="AT8" s="1" t="str">
        <f t="shared" ca="1" si="28"/>
        <v/>
      </c>
      <c r="AU8" s="1"/>
      <c r="AV8" s="1"/>
      <c r="AW8" s="12">
        <f t="shared" ca="1" si="29"/>
        <v>-70.677309284116689</v>
      </c>
      <c r="AY8">
        <v>7</v>
      </c>
      <c r="AZ8">
        <v>11178.415338269861</v>
      </c>
      <c r="BA8">
        <v>9076.5</v>
      </c>
      <c r="BB8">
        <v>0</v>
      </c>
      <c r="BC8">
        <v>0</v>
      </c>
      <c r="BD8">
        <v>1365.3719999999998</v>
      </c>
      <c r="BE8">
        <v>480</v>
      </c>
      <c r="BF8">
        <v>142.95833333333331</v>
      </c>
      <c r="BG8">
        <v>0</v>
      </c>
      <c r="BH8">
        <v>349.01283352668207</v>
      </c>
      <c r="BI8">
        <v>369.84632370509752</v>
      </c>
      <c r="BJ8" s="105">
        <v>45518</v>
      </c>
    </row>
    <row r="9" spans="1:89">
      <c r="A9" s="2">
        <v>7</v>
      </c>
      <c r="B9" s="1">
        <f t="shared" si="11"/>
        <v>13035.758505129876</v>
      </c>
      <c r="C9" s="1">
        <f t="shared" ca="1" si="0"/>
        <v>9556.5</v>
      </c>
      <c r="D9" s="1">
        <f t="shared" ca="1" si="1"/>
        <v>13035.758505129876</v>
      </c>
      <c r="E9" s="1" t="str">
        <f t="shared" ca="1" si="12"/>
        <v/>
      </c>
      <c r="F9" s="1"/>
      <c r="G9" s="1"/>
      <c r="H9" s="1"/>
      <c r="I9" s="12">
        <f t="shared" ca="1" si="13"/>
        <v>-3479.2585051298756</v>
      </c>
      <c r="J9" s="2">
        <v>7</v>
      </c>
      <c r="K9" s="1">
        <f t="shared" si="14"/>
        <v>11178.415338269861</v>
      </c>
      <c r="L9" s="1">
        <f t="shared" ca="1" si="2"/>
        <v>9076.5</v>
      </c>
      <c r="M9" s="1">
        <f t="shared" ca="1" si="3"/>
        <v>11178.415338269861</v>
      </c>
      <c r="N9" s="1" t="str">
        <f t="shared" ca="1" si="15"/>
        <v/>
      </c>
      <c r="O9" s="1"/>
      <c r="P9" s="1"/>
      <c r="Q9" s="12">
        <f t="shared" ca="1" si="16"/>
        <v>-2101.9153382698605</v>
      </c>
      <c r="R9" s="2">
        <v>7</v>
      </c>
      <c r="S9" s="1">
        <f t="shared" si="17"/>
        <v>0</v>
      </c>
      <c r="T9" s="1">
        <f t="shared" ca="1" si="4"/>
        <v>0</v>
      </c>
      <c r="U9" s="1">
        <f t="shared" ca="1" si="5"/>
        <v>0</v>
      </c>
      <c r="V9" s="1" t="str">
        <f t="shared" ca="1" si="18"/>
        <v/>
      </c>
      <c r="W9" s="1"/>
      <c r="X9" s="1"/>
      <c r="Y9" s="12">
        <f t="shared" ca="1" si="19"/>
        <v>0</v>
      </c>
      <c r="Z9" s="2">
        <v>7</v>
      </c>
      <c r="AA9" s="1">
        <f t="shared" si="20"/>
        <v>1365.3719999999998</v>
      </c>
      <c r="AB9" s="1">
        <f t="shared" ca="1" si="6"/>
        <v>480</v>
      </c>
      <c r="AC9" s="1">
        <f t="shared" ca="1" si="7"/>
        <v>1365.3719999999998</v>
      </c>
      <c r="AD9" s="1" t="str">
        <f t="shared" ca="1" si="21"/>
        <v/>
      </c>
      <c r="AE9" s="1"/>
      <c r="AF9" s="1"/>
      <c r="AG9" s="12">
        <f t="shared" ca="1" si="22"/>
        <v>-885.37199999999984</v>
      </c>
      <c r="AH9" s="2">
        <v>7</v>
      </c>
      <c r="AI9" s="1">
        <f t="shared" si="23"/>
        <v>142.95833333333331</v>
      </c>
      <c r="AJ9" s="1">
        <f t="shared" ca="1" si="8"/>
        <v>0</v>
      </c>
      <c r="AK9" s="1">
        <f t="shared" ca="1" si="9"/>
        <v>142.95833333333331</v>
      </c>
      <c r="AL9" s="1" t="str">
        <f t="shared" ca="1" si="24"/>
        <v/>
      </c>
      <c r="AM9" s="1"/>
      <c r="AN9" s="1"/>
      <c r="AO9" s="12">
        <f t="shared" ca="1" si="25"/>
        <v>-142.95833333333331</v>
      </c>
      <c r="AP9" s="2">
        <v>7</v>
      </c>
      <c r="AQ9" s="1">
        <f t="shared" si="26"/>
        <v>349.01283352668207</v>
      </c>
      <c r="AR9" s="1">
        <f t="shared" ca="1" si="10"/>
        <v>369.84632370509752</v>
      </c>
      <c r="AS9" s="1">
        <f t="shared" ca="1" si="27"/>
        <v>349.01283352668207</v>
      </c>
      <c r="AT9" s="1" t="str">
        <f t="shared" ca="1" si="28"/>
        <v/>
      </c>
      <c r="AU9" s="1"/>
      <c r="AV9" s="1"/>
      <c r="AW9" s="12">
        <f t="shared" ca="1" si="29"/>
        <v>20.833490178415445</v>
      </c>
      <c r="AY9">
        <v>8</v>
      </c>
      <c r="AZ9">
        <v>11102.286139371301</v>
      </c>
      <c r="BA9">
        <v>6756.3</v>
      </c>
      <c r="BB9">
        <v>0</v>
      </c>
      <c r="BC9">
        <v>0</v>
      </c>
      <c r="BD9">
        <v>1365.3719999999998</v>
      </c>
      <c r="BE9">
        <v>190</v>
      </c>
      <c r="BF9">
        <v>142.95833333333331</v>
      </c>
      <c r="BG9">
        <v>0</v>
      </c>
      <c r="BH9">
        <v>349.01283352668207</v>
      </c>
      <c r="BI9">
        <v>318.76135929733755</v>
      </c>
      <c r="BJ9" s="105">
        <v>45518</v>
      </c>
    </row>
    <row r="10" spans="1:89">
      <c r="A10" s="2">
        <v>8</v>
      </c>
      <c r="B10" s="1">
        <f t="shared" si="11"/>
        <v>12959.629306231316</v>
      </c>
      <c r="C10" s="1">
        <f t="shared" ca="1" si="0"/>
        <v>6946.3</v>
      </c>
      <c r="D10" s="1">
        <f t="shared" ca="1" si="1"/>
        <v>12959.629306231316</v>
      </c>
      <c r="E10" s="1" t="str">
        <f t="shared" ca="1" si="12"/>
        <v/>
      </c>
      <c r="F10" s="1"/>
      <c r="G10" s="1"/>
      <c r="H10" s="1"/>
      <c r="I10" s="12">
        <f t="shared" ca="1" si="13"/>
        <v>-6013.329306231316</v>
      </c>
      <c r="J10" s="2">
        <v>8</v>
      </c>
      <c r="K10" s="1">
        <f t="shared" si="14"/>
        <v>11102.286139371301</v>
      </c>
      <c r="L10" s="1">
        <f t="shared" ca="1" si="2"/>
        <v>6756.3</v>
      </c>
      <c r="M10" s="1">
        <f t="shared" ca="1" si="3"/>
        <v>11102.286139371301</v>
      </c>
      <c r="N10" s="1" t="str">
        <f t="shared" ca="1" si="15"/>
        <v/>
      </c>
      <c r="O10" s="1"/>
      <c r="P10" s="1"/>
      <c r="Q10" s="12">
        <f t="shared" ca="1" si="16"/>
        <v>-4345.9861393713009</v>
      </c>
      <c r="R10" s="2">
        <v>8</v>
      </c>
      <c r="S10" s="1">
        <f t="shared" si="17"/>
        <v>0</v>
      </c>
      <c r="T10" s="1">
        <f t="shared" ca="1" si="4"/>
        <v>0</v>
      </c>
      <c r="U10" s="1">
        <f t="shared" ca="1" si="5"/>
        <v>0</v>
      </c>
      <c r="V10" s="1" t="str">
        <f t="shared" ca="1" si="18"/>
        <v/>
      </c>
      <c r="W10" s="1"/>
      <c r="X10" s="1"/>
      <c r="Y10" s="12">
        <f t="shared" ca="1" si="19"/>
        <v>0</v>
      </c>
      <c r="Z10" s="2">
        <v>8</v>
      </c>
      <c r="AA10" s="1">
        <f t="shared" si="20"/>
        <v>1365.3719999999998</v>
      </c>
      <c r="AB10" s="1">
        <f t="shared" ca="1" si="6"/>
        <v>190</v>
      </c>
      <c r="AC10" s="1">
        <f t="shared" ca="1" si="7"/>
        <v>1365.3719999999998</v>
      </c>
      <c r="AD10" s="1" t="str">
        <f t="shared" ca="1" si="21"/>
        <v/>
      </c>
      <c r="AE10" s="1"/>
      <c r="AF10" s="1"/>
      <c r="AG10" s="12">
        <f t="shared" ca="1" si="22"/>
        <v>-1175.3719999999998</v>
      </c>
      <c r="AH10" s="2">
        <v>8</v>
      </c>
      <c r="AI10" s="1">
        <f t="shared" si="23"/>
        <v>142.95833333333331</v>
      </c>
      <c r="AJ10" s="1">
        <f t="shared" ca="1" si="8"/>
        <v>0</v>
      </c>
      <c r="AK10" s="1">
        <f t="shared" ca="1" si="9"/>
        <v>142.95833333333331</v>
      </c>
      <c r="AL10" s="1" t="str">
        <f t="shared" ca="1" si="24"/>
        <v/>
      </c>
      <c r="AM10" s="1"/>
      <c r="AN10" s="1"/>
      <c r="AO10" s="12">
        <f t="shared" ca="1" si="25"/>
        <v>-142.95833333333331</v>
      </c>
      <c r="AP10" s="2">
        <v>8</v>
      </c>
      <c r="AQ10" s="1">
        <f t="shared" si="26"/>
        <v>349.01283352668207</v>
      </c>
      <c r="AR10" s="1">
        <f t="shared" ca="1" si="10"/>
        <v>318.76135929733755</v>
      </c>
      <c r="AS10" s="1">
        <f t="shared" ca="1" si="27"/>
        <v>349.01283352668207</v>
      </c>
      <c r="AT10" s="1" t="str">
        <f t="shared" ca="1" si="28"/>
        <v/>
      </c>
      <c r="AU10" s="1"/>
      <c r="AV10" s="1"/>
      <c r="AW10" s="12">
        <f t="shared" ca="1" si="29"/>
        <v>-30.251474229344524</v>
      </c>
      <c r="AY10">
        <v>9</v>
      </c>
      <c r="AZ10">
        <v>11213.363537764226</v>
      </c>
      <c r="BA10">
        <v>8231.9</v>
      </c>
      <c r="BB10">
        <v>0</v>
      </c>
      <c r="BC10">
        <v>0</v>
      </c>
      <c r="BD10">
        <v>1595.4947999999999</v>
      </c>
      <c r="BE10">
        <v>2540</v>
      </c>
      <c r="BF10">
        <v>142.95833333333331</v>
      </c>
      <c r="BG10">
        <v>0</v>
      </c>
      <c r="BH10">
        <v>349.01283352668207</v>
      </c>
      <c r="BI10">
        <v>353.04734110859312</v>
      </c>
      <c r="BJ10" s="105">
        <v>45518</v>
      </c>
    </row>
    <row r="11" spans="1:89">
      <c r="A11" s="2">
        <v>9</v>
      </c>
      <c r="B11" s="1">
        <f t="shared" si="11"/>
        <v>13300.829504624242</v>
      </c>
      <c r="C11" s="1">
        <f t="shared" ca="1" si="0"/>
        <v>10771.9</v>
      </c>
      <c r="D11" s="1">
        <f t="shared" ca="1" si="1"/>
        <v>13300.829504624242</v>
      </c>
      <c r="E11" s="1" t="str">
        <f t="shared" ca="1" si="12"/>
        <v/>
      </c>
      <c r="F11" s="1"/>
      <c r="G11" s="1"/>
      <c r="H11" s="1"/>
      <c r="I11" s="12">
        <f t="shared" ca="1" si="13"/>
        <v>-2528.9295046242423</v>
      </c>
      <c r="J11" s="2">
        <v>9</v>
      </c>
      <c r="K11" s="1">
        <f t="shared" si="14"/>
        <v>11213.363537764226</v>
      </c>
      <c r="L11" s="1">
        <f t="shared" ca="1" si="2"/>
        <v>8231.9</v>
      </c>
      <c r="M11" s="1">
        <f t="shared" ca="1" si="3"/>
        <v>11213.363537764226</v>
      </c>
      <c r="N11" s="1" t="str">
        <f t="shared" ca="1" si="15"/>
        <v/>
      </c>
      <c r="O11" s="1"/>
      <c r="P11" s="1"/>
      <c r="Q11" s="12">
        <f t="shared" ca="1" si="16"/>
        <v>-2981.4635377642262</v>
      </c>
      <c r="R11" s="2">
        <v>9</v>
      </c>
      <c r="S11" s="1">
        <f t="shared" si="17"/>
        <v>0</v>
      </c>
      <c r="T11" s="1">
        <f t="shared" ca="1" si="4"/>
        <v>0</v>
      </c>
      <c r="U11" s="1">
        <f t="shared" ca="1" si="5"/>
        <v>0</v>
      </c>
      <c r="V11" s="1" t="str">
        <f t="shared" ca="1" si="18"/>
        <v/>
      </c>
      <c r="W11" s="1"/>
      <c r="X11" s="1"/>
      <c r="Y11" s="12">
        <f t="shared" ca="1" si="19"/>
        <v>0</v>
      </c>
      <c r="Z11" s="2">
        <v>9</v>
      </c>
      <c r="AA11" s="1">
        <f t="shared" si="20"/>
        <v>1595.4947999999999</v>
      </c>
      <c r="AB11" s="1">
        <f t="shared" ca="1" si="6"/>
        <v>2540</v>
      </c>
      <c r="AC11" s="1">
        <f t="shared" ca="1" si="7"/>
        <v>1595.4947999999999</v>
      </c>
      <c r="AD11" s="1" t="str">
        <f t="shared" ca="1" si="21"/>
        <v/>
      </c>
      <c r="AE11" s="1"/>
      <c r="AF11" s="1"/>
      <c r="AG11" s="12">
        <f t="shared" ca="1" si="22"/>
        <v>944.50520000000006</v>
      </c>
      <c r="AH11" s="2">
        <v>9</v>
      </c>
      <c r="AI11" s="1">
        <f t="shared" si="23"/>
        <v>142.95833333333331</v>
      </c>
      <c r="AJ11" s="1">
        <f t="shared" ca="1" si="8"/>
        <v>0</v>
      </c>
      <c r="AK11" s="1">
        <f t="shared" ca="1" si="9"/>
        <v>142.95833333333331</v>
      </c>
      <c r="AL11" s="1" t="str">
        <f t="shared" ca="1" si="24"/>
        <v/>
      </c>
      <c r="AM11" s="1"/>
      <c r="AN11" s="1"/>
      <c r="AO11" s="12">
        <f t="shared" ca="1" si="25"/>
        <v>-142.95833333333331</v>
      </c>
      <c r="AP11" s="2">
        <v>9</v>
      </c>
      <c r="AQ11" s="1">
        <f t="shared" si="26"/>
        <v>349.01283352668207</v>
      </c>
      <c r="AR11" s="1">
        <f t="shared" ca="1" si="10"/>
        <v>353.04734110859312</v>
      </c>
      <c r="AS11" s="1">
        <f t="shared" ca="1" si="27"/>
        <v>349.01283352668207</v>
      </c>
      <c r="AT11" s="1" t="str">
        <f t="shared" ca="1" si="28"/>
        <v/>
      </c>
      <c r="AU11" s="1"/>
      <c r="AV11" s="1"/>
      <c r="AW11" s="12">
        <f t="shared" ca="1" si="29"/>
        <v>4.0345075819110434</v>
      </c>
      <c r="AY11">
        <v>10</v>
      </c>
      <c r="AZ11">
        <v>11146.360938733624</v>
      </c>
      <c r="BA11">
        <v>8687.9</v>
      </c>
      <c r="BB11">
        <v>0</v>
      </c>
      <c r="BC11">
        <v>0</v>
      </c>
      <c r="BD11">
        <v>603.41759999999999</v>
      </c>
      <c r="BE11">
        <v>1500</v>
      </c>
      <c r="BF11">
        <v>142.95833333333331</v>
      </c>
      <c r="BG11">
        <v>0</v>
      </c>
      <c r="BH11">
        <v>349.01283352668207</v>
      </c>
      <c r="BI11">
        <v>395.04879002514315</v>
      </c>
      <c r="BJ11" s="105">
        <v>45518</v>
      </c>
    </row>
    <row r="12" spans="1:89">
      <c r="A12" s="2">
        <v>10</v>
      </c>
      <c r="B12" s="1">
        <f t="shared" si="11"/>
        <v>12241.74970559364</v>
      </c>
      <c r="C12" s="1">
        <f t="shared" ca="1" si="0"/>
        <v>10187.9</v>
      </c>
      <c r="D12" s="1">
        <f t="shared" ca="1" si="1"/>
        <v>12241.74970559364</v>
      </c>
      <c r="E12" s="1" t="str">
        <f t="shared" ca="1" si="12"/>
        <v/>
      </c>
      <c r="F12" s="1"/>
      <c r="G12" s="1"/>
      <c r="H12" s="1"/>
      <c r="I12" s="12">
        <f t="shared" ca="1" si="13"/>
        <v>-2053.8497055936405</v>
      </c>
      <c r="J12" s="2">
        <v>10</v>
      </c>
      <c r="K12" s="1">
        <f t="shared" si="14"/>
        <v>11146.360938733624</v>
      </c>
      <c r="L12" s="1">
        <f t="shared" ca="1" si="2"/>
        <v>8687.9</v>
      </c>
      <c r="M12" s="1">
        <f t="shared" ca="1" si="3"/>
        <v>11146.360938733624</v>
      </c>
      <c r="N12" s="1" t="str">
        <f t="shared" ca="1" si="15"/>
        <v/>
      </c>
      <c r="O12" s="1"/>
      <c r="P12" s="1"/>
      <c r="Q12" s="12">
        <f t="shared" ca="1" si="16"/>
        <v>-2458.4609387336241</v>
      </c>
      <c r="R12" s="2">
        <v>10</v>
      </c>
      <c r="S12" s="1">
        <f t="shared" si="17"/>
        <v>0</v>
      </c>
      <c r="T12" s="1">
        <f t="shared" ca="1" si="4"/>
        <v>0</v>
      </c>
      <c r="U12" s="1">
        <f t="shared" ca="1" si="5"/>
        <v>0</v>
      </c>
      <c r="V12" s="1" t="str">
        <f t="shared" ca="1" si="18"/>
        <v/>
      </c>
      <c r="W12" s="1"/>
      <c r="X12" s="1"/>
      <c r="Y12" s="12">
        <f t="shared" ca="1" si="19"/>
        <v>0</v>
      </c>
      <c r="Z12" s="2">
        <v>10</v>
      </c>
      <c r="AA12" s="1">
        <f t="shared" si="20"/>
        <v>603.41759999999999</v>
      </c>
      <c r="AB12" s="1">
        <f t="shared" ca="1" si="6"/>
        <v>1500</v>
      </c>
      <c r="AC12" s="1">
        <f t="shared" ca="1" si="7"/>
        <v>603.41759999999999</v>
      </c>
      <c r="AD12" s="1" t="str">
        <f t="shared" ca="1" si="21"/>
        <v/>
      </c>
      <c r="AE12" s="1"/>
      <c r="AF12" s="1"/>
      <c r="AG12" s="12">
        <f t="shared" ca="1" si="22"/>
        <v>896.58240000000001</v>
      </c>
      <c r="AH12" s="2">
        <v>10</v>
      </c>
      <c r="AI12" s="1">
        <f t="shared" si="23"/>
        <v>142.95833333333331</v>
      </c>
      <c r="AJ12" s="1">
        <f t="shared" ca="1" si="8"/>
        <v>0</v>
      </c>
      <c r="AK12" s="1">
        <f t="shared" ca="1" si="9"/>
        <v>142.95833333333331</v>
      </c>
      <c r="AL12" s="1" t="str">
        <f t="shared" ca="1" si="24"/>
        <v/>
      </c>
      <c r="AM12" s="1"/>
      <c r="AN12" s="1"/>
      <c r="AO12" s="12">
        <f t="shared" ca="1" si="25"/>
        <v>-142.95833333333331</v>
      </c>
      <c r="AP12" s="2">
        <v>10</v>
      </c>
      <c r="AQ12" s="1">
        <f t="shared" si="26"/>
        <v>349.01283352668207</v>
      </c>
      <c r="AR12" s="1">
        <f t="shared" ca="1" si="10"/>
        <v>395.04879002514315</v>
      </c>
      <c r="AS12" s="1">
        <f t="shared" ca="1" si="27"/>
        <v>349.01283352668207</v>
      </c>
      <c r="AT12" s="1" t="str">
        <f t="shared" ca="1" si="28"/>
        <v/>
      </c>
      <c r="AU12" s="1"/>
      <c r="AV12" s="1"/>
      <c r="AW12" s="12">
        <f t="shared" ca="1" si="29"/>
        <v>46.035956498461076</v>
      </c>
      <c r="AY12">
        <v>11</v>
      </c>
      <c r="AZ12">
        <v>10699.268845202185</v>
      </c>
      <c r="BA12">
        <v>8708.5</v>
      </c>
      <c r="BB12">
        <v>0</v>
      </c>
      <c r="BC12">
        <v>0</v>
      </c>
      <c r="BD12">
        <v>1135.2492</v>
      </c>
      <c r="BE12">
        <v>1710</v>
      </c>
      <c r="BF12">
        <v>142.95833333333331</v>
      </c>
      <c r="BG12">
        <v>5</v>
      </c>
      <c r="BH12">
        <v>349.01283352668207</v>
      </c>
      <c r="BI12">
        <v>302.17091006197131</v>
      </c>
      <c r="BJ12" s="105">
        <v>45518</v>
      </c>
    </row>
    <row r="13" spans="1:89">
      <c r="A13" s="2">
        <v>11</v>
      </c>
      <c r="B13" s="1">
        <f t="shared" si="11"/>
        <v>12326.489212062201</v>
      </c>
      <c r="C13" s="1">
        <f ca="1">IF(L13="","",SUM(L13,T13,AB13,AJ13))</f>
        <v>10423.5</v>
      </c>
      <c r="D13" s="1">
        <f ca="1">IF(C13="","",B13)</f>
        <v>12326.489212062201</v>
      </c>
      <c r="E13" s="1" t="str">
        <f t="shared" ca="1" si="12"/>
        <v/>
      </c>
      <c r="F13" s="1"/>
      <c r="G13" s="1"/>
      <c r="H13" s="1"/>
      <c r="I13" s="12">
        <f t="shared" ca="1" si="13"/>
        <v>-1902.9892120622007</v>
      </c>
      <c r="J13" s="2">
        <v>11</v>
      </c>
      <c r="K13" s="1">
        <f t="shared" si="14"/>
        <v>10699.268845202185</v>
      </c>
      <c r="L13" s="1">
        <f t="shared" ca="1" si="2"/>
        <v>8708.5</v>
      </c>
      <c r="M13" s="1">
        <f t="shared" ca="1" si="3"/>
        <v>10699.268845202185</v>
      </c>
      <c r="N13" s="1" t="str">
        <f t="shared" ca="1" si="15"/>
        <v/>
      </c>
      <c r="O13" s="1"/>
      <c r="P13" s="1"/>
      <c r="Q13" s="12">
        <f t="shared" ca="1" si="16"/>
        <v>-1990.7688452021848</v>
      </c>
      <c r="R13" s="2">
        <v>11</v>
      </c>
      <c r="S13" s="1">
        <f t="shared" si="17"/>
        <v>0</v>
      </c>
      <c r="T13" s="1">
        <f t="shared" ca="1" si="4"/>
        <v>0</v>
      </c>
      <c r="U13" s="1">
        <f t="shared" ca="1" si="5"/>
        <v>0</v>
      </c>
      <c r="V13" s="1" t="str">
        <f t="shared" ca="1" si="18"/>
        <v/>
      </c>
      <c r="W13" s="1"/>
      <c r="X13" s="1"/>
      <c r="Y13" s="12">
        <f t="shared" ca="1" si="19"/>
        <v>0</v>
      </c>
      <c r="Z13" s="2">
        <v>11</v>
      </c>
      <c r="AA13" s="1">
        <f t="shared" si="20"/>
        <v>1135.2492</v>
      </c>
      <c r="AB13" s="1">
        <f t="shared" ca="1" si="6"/>
        <v>1710</v>
      </c>
      <c r="AC13" s="1">
        <f t="shared" ca="1" si="7"/>
        <v>1135.2492</v>
      </c>
      <c r="AD13" s="1" t="str">
        <f t="shared" ca="1" si="21"/>
        <v/>
      </c>
      <c r="AE13" s="1"/>
      <c r="AF13" s="1"/>
      <c r="AG13" s="12">
        <f t="shared" ca="1" si="22"/>
        <v>574.75080000000003</v>
      </c>
      <c r="AH13" s="2">
        <v>11</v>
      </c>
      <c r="AI13" s="1">
        <f t="shared" si="23"/>
        <v>142.95833333333331</v>
      </c>
      <c r="AJ13" s="1">
        <f t="shared" ca="1" si="8"/>
        <v>5</v>
      </c>
      <c r="AK13" s="1">
        <f t="shared" ca="1" si="9"/>
        <v>142.95833333333331</v>
      </c>
      <c r="AL13" s="1" t="str">
        <f t="shared" ca="1" si="24"/>
        <v/>
      </c>
      <c r="AM13" s="1"/>
      <c r="AN13" s="1"/>
      <c r="AO13" s="12">
        <f t="shared" ca="1" si="25"/>
        <v>-137.95833333333331</v>
      </c>
      <c r="AP13" s="2">
        <v>11</v>
      </c>
      <c r="AQ13" s="1">
        <f t="shared" si="26"/>
        <v>349.01283352668207</v>
      </c>
      <c r="AR13" s="1">
        <f t="shared" ca="1" si="10"/>
        <v>302.17091006197131</v>
      </c>
      <c r="AS13" s="1">
        <f t="shared" ca="1" si="27"/>
        <v>349.01283352668207</v>
      </c>
      <c r="AT13" s="1" t="str">
        <f t="shared" ca="1" si="28"/>
        <v/>
      </c>
      <c r="AU13" s="1"/>
      <c r="AV13" s="1"/>
      <c r="AW13" s="12">
        <f t="shared" ca="1" si="29"/>
        <v>-46.84192346471076</v>
      </c>
      <c r="AY13">
        <v>12</v>
      </c>
      <c r="AZ13">
        <v>11049.196040139414</v>
      </c>
      <c r="BA13">
        <v>8204</v>
      </c>
      <c r="BB13">
        <v>0</v>
      </c>
      <c r="BC13">
        <v>0</v>
      </c>
      <c r="BD13">
        <v>0</v>
      </c>
      <c r="BE13">
        <v>1440</v>
      </c>
      <c r="BF13">
        <v>142.95833333333331</v>
      </c>
      <c r="BG13">
        <v>195</v>
      </c>
      <c r="BH13">
        <v>349.01283352668207</v>
      </c>
      <c r="BI13">
        <v>0</v>
      </c>
      <c r="BJ13" s="105">
        <v>45518</v>
      </c>
      <c r="CK13" s="96"/>
    </row>
    <row r="14" spans="1:89">
      <c r="A14" s="2">
        <v>12</v>
      </c>
      <c r="B14" s="1">
        <f t="shared" si="11"/>
        <v>11541.167206999429</v>
      </c>
      <c r="C14" s="1">
        <f t="shared" ca="1" si="0"/>
        <v>9839</v>
      </c>
      <c r="D14" s="1">
        <f t="shared" ca="1" si="1"/>
        <v>11541.167206999429</v>
      </c>
      <c r="E14" s="1" t="str">
        <f t="shared" ca="1" si="12"/>
        <v/>
      </c>
      <c r="F14" s="1"/>
      <c r="G14" s="1"/>
      <c r="H14" s="1"/>
      <c r="I14" s="12">
        <f t="shared" ca="1" si="13"/>
        <v>-1702.1672069994293</v>
      </c>
      <c r="J14" s="2">
        <v>12</v>
      </c>
      <c r="K14" s="1">
        <f t="shared" si="14"/>
        <v>11049.196040139414</v>
      </c>
      <c r="L14" s="1">
        <f t="shared" ca="1" si="2"/>
        <v>8204</v>
      </c>
      <c r="M14" s="1">
        <f t="shared" ca="1" si="3"/>
        <v>11049.196040139414</v>
      </c>
      <c r="N14" s="1" t="str">
        <f t="shared" ca="1" si="15"/>
        <v/>
      </c>
      <c r="O14" s="1"/>
      <c r="P14" s="1"/>
      <c r="Q14" s="12">
        <f t="shared" ca="1" si="16"/>
        <v>-2845.1960401394135</v>
      </c>
      <c r="R14" s="2">
        <v>12</v>
      </c>
      <c r="S14" s="1">
        <f t="shared" si="17"/>
        <v>0</v>
      </c>
      <c r="T14" s="1">
        <f t="shared" ca="1" si="4"/>
        <v>0</v>
      </c>
      <c r="U14" s="1">
        <f t="shared" ca="1" si="5"/>
        <v>0</v>
      </c>
      <c r="V14" s="1" t="str">
        <f t="shared" ca="1" si="18"/>
        <v/>
      </c>
      <c r="W14" s="1"/>
      <c r="X14" s="1"/>
      <c r="Y14" s="12">
        <f t="shared" ca="1" si="19"/>
        <v>0</v>
      </c>
      <c r="Z14" s="2">
        <v>12</v>
      </c>
      <c r="AA14" s="1">
        <f t="shared" si="20"/>
        <v>0</v>
      </c>
      <c r="AB14" s="1">
        <f t="shared" ca="1" si="6"/>
        <v>1440</v>
      </c>
      <c r="AC14" s="1">
        <f t="shared" ca="1" si="7"/>
        <v>0</v>
      </c>
      <c r="AD14" s="1" t="str">
        <f t="shared" ca="1" si="21"/>
        <v/>
      </c>
      <c r="AE14" s="1"/>
      <c r="AF14" s="1"/>
      <c r="AG14" s="12">
        <f t="shared" ca="1" si="22"/>
        <v>1440</v>
      </c>
      <c r="AH14" s="2">
        <v>12</v>
      </c>
      <c r="AI14" s="1">
        <f t="shared" si="23"/>
        <v>142.95833333333331</v>
      </c>
      <c r="AJ14" s="1">
        <f t="shared" ca="1" si="8"/>
        <v>195</v>
      </c>
      <c r="AK14" s="1">
        <f t="shared" ca="1" si="9"/>
        <v>142.95833333333331</v>
      </c>
      <c r="AL14" s="1" t="str">
        <f t="shared" ca="1" si="24"/>
        <v/>
      </c>
      <c r="AM14" s="1"/>
      <c r="AN14" s="1"/>
      <c r="AO14" s="12">
        <f t="shared" ca="1" si="25"/>
        <v>52.041666666666686</v>
      </c>
      <c r="AP14" s="2">
        <v>12</v>
      </c>
      <c r="AQ14" s="1">
        <f t="shared" si="26"/>
        <v>349.01283352668207</v>
      </c>
      <c r="AR14" s="1">
        <f t="shared" ca="1" si="10"/>
        <v>0</v>
      </c>
      <c r="AS14" s="1">
        <f t="shared" ca="1" si="27"/>
        <v>349.01283352668207</v>
      </c>
      <c r="AT14" s="1" t="str">
        <f t="shared" ca="1" si="28"/>
        <v/>
      </c>
      <c r="AU14" s="1"/>
      <c r="AV14" s="1"/>
      <c r="AW14" s="12">
        <f t="shared" ca="1" si="29"/>
        <v>-349.01283352668207</v>
      </c>
      <c r="AY14">
        <v>13</v>
      </c>
      <c r="AZ14">
        <v>9290.3221655869311</v>
      </c>
      <c r="BA14">
        <v>9843.4000000000015</v>
      </c>
      <c r="BB14">
        <v>0</v>
      </c>
      <c r="BC14">
        <v>0</v>
      </c>
      <c r="BD14">
        <v>0</v>
      </c>
      <c r="BE14">
        <v>2150</v>
      </c>
      <c r="BF14">
        <v>142.95833333333331</v>
      </c>
      <c r="BG14">
        <v>224</v>
      </c>
      <c r="BH14">
        <v>349.01283352668207</v>
      </c>
      <c r="BI14">
        <v>0</v>
      </c>
      <c r="BJ14" s="105">
        <v>45518</v>
      </c>
    </row>
    <row r="15" spans="1:89">
      <c r="A15" s="2">
        <v>13</v>
      </c>
      <c r="B15" s="1">
        <f t="shared" si="11"/>
        <v>9782.2933324469468</v>
      </c>
      <c r="C15" s="1">
        <f t="shared" ca="1" si="0"/>
        <v>12217.400000000001</v>
      </c>
      <c r="D15" s="1">
        <f t="shared" ca="1" si="1"/>
        <v>9782.2933324469468</v>
      </c>
      <c r="E15" s="1" t="str">
        <f t="shared" ca="1" si="12"/>
        <v/>
      </c>
      <c r="F15" s="1"/>
      <c r="G15" s="1"/>
      <c r="H15" s="1"/>
      <c r="I15" s="12">
        <f t="shared" ca="1" si="13"/>
        <v>2435.1066675530546</v>
      </c>
      <c r="J15" s="2">
        <v>13</v>
      </c>
      <c r="K15" s="1">
        <f t="shared" si="14"/>
        <v>9290.3221655869311</v>
      </c>
      <c r="L15" s="1">
        <f t="shared" ca="1" si="2"/>
        <v>9843.4000000000015</v>
      </c>
      <c r="M15" s="1">
        <f t="shared" ca="1" si="3"/>
        <v>9290.3221655869311</v>
      </c>
      <c r="N15" s="1" t="str">
        <f t="shared" ca="1" si="15"/>
        <v/>
      </c>
      <c r="O15" s="1"/>
      <c r="P15" s="1"/>
      <c r="Q15" s="12">
        <f t="shared" ca="1" si="16"/>
        <v>553.07783441307038</v>
      </c>
      <c r="R15" s="2">
        <v>13</v>
      </c>
      <c r="S15" s="1">
        <f t="shared" si="17"/>
        <v>0</v>
      </c>
      <c r="T15" s="1">
        <f t="shared" ca="1" si="4"/>
        <v>0</v>
      </c>
      <c r="U15" s="1">
        <f t="shared" ca="1" si="5"/>
        <v>0</v>
      </c>
      <c r="V15" s="1" t="str">
        <f t="shared" ca="1" si="18"/>
        <v/>
      </c>
      <c r="W15" s="1"/>
      <c r="X15" s="1"/>
      <c r="Y15" s="12">
        <f t="shared" ca="1" si="19"/>
        <v>0</v>
      </c>
      <c r="Z15" s="2">
        <v>13</v>
      </c>
      <c r="AA15" s="1">
        <f t="shared" si="20"/>
        <v>0</v>
      </c>
      <c r="AB15" s="1">
        <f t="shared" ca="1" si="6"/>
        <v>2150</v>
      </c>
      <c r="AC15" s="1">
        <f t="shared" ca="1" si="7"/>
        <v>0</v>
      </c>
      <c r="AD15" s="1" t="str">
        <f t="shared" ca="1" si="21"/>
        <v/>
      </c>
      <c r="AE15" s="1"/>
      <c r="AF15" s="1"/>
      <c r="AG15" s="12">
        <f t="shared" ca="1" si="22"/>
        <v>2150</v>
      </c>
      <c r="AH15" s="2">
        <v>13</v>
      </c>
      <c r="AI15" s="1">
        <f t="shared" si="23"/>
        <v>142.95833333333331</v>
      </c>
      <c r="AJ15" s="1">
        <f t="shared" ca="1" si="8"/>
        <v>224</v>
      </c>
      <c r="AK15" s="1">
        <f t="shared" ca="1" si="9"/>
        <v>142.95833333333331</v>
      </c>
      <c r="AL15" s="1" t="str">
        <f t="shared" ca="1" si="24"/>
        <v/>
      </c>
      <c r="AM15" s="1"/>
      <c r="AN15" s="1"/>
      <c r="AO15" s="12">
        <f t="shared" ca="1" si="25"/>
        <v>81.041666666666686</v>
      </c>
      <c r="AP15" s="2">
        <v>13</v>
      </c>
      <c r="AQ15" s="1">
        <f t="shared" si="26"/>
        <v>349.01283352668207</v>
      </c>
      <c r="AR15" s="1">
        <f t="shared" ca="1" si="10"/>
        <v>0</v>
      </c>
      <c r="AS15" s="1">
        <f t="shared" ca="1" si="27"/>
        <v>349.01283352668207</v>
      </c>
      <c r="AT15" s="1" t="str">
        <f t="shared" ca="1" si="28"/>
        <v/>
      </c>
      <c r="AU15" s="1"/>
      <c r="AV15" s="1"/>
      <c r="AW15" s="12">
        <f t="shared" ca="1" si="29"/>
        <v>-349.01283352668207</v>
      </c>
      <c r="AY15">
        <v>14</v>
      </c>
      <c r="AZ15">
        <v>10499.485348092669</v>
      </c>
      <c r="BA15">
        <v>10224.5</v>
      </c>
      <c r="BB15">
        <v>0</v>
      </c>
      <c r="BC15">
        <v>0</v>
      </c>
      <c r="BD15">
        <v>1365.3719999999998</v>
      </c>
      <c r="BE15">
        <v>1980</v>
      </c>
      <c r="BF15">
        <v>142.95833333333331</v>
      </c>
      <c r="BG15">
        <v>249</v>
      </c>
      <c r="BH15">
        <v>349.01283352668207</v>
      </c>
      <c r="BI15">
        <v>0</v>
      </c>
      <c r="BJ15" s="105">
        <v>45518</v>
      </c>
    </row>
    <row r="16" spans="1:89">
      <c r="A16" s="2">
        <v>14</v>
      </c>
      <c r="B16" s="1">
        <f t="shared" si="11"/>
        <v>12356.828514952684</v>
      </c>
      <c r="C16" s="1">
        <f t="shared" ca="1" si="0"/>
        <v>12453.5</v>
      </c>
      <c r="D16" s="1">
        <f t="shared" ca="1" si="1"/>
        <v>12356.828514952684</v>
      </c>
      <c r="E16" s="1" t="str">
        <f t="shared" ca="1" si="12"/>
        <v/>
      </c>
      <c r="F16" s="1"/>
      <c r="G16" s="1"/>
      <c r="H16" s="1"/>
      <c r="I16" s="12">
        <f t="shared" ca="1" si="13"/>
        <v>96.67148504731631</v>
      </c>
      <c r="J16" s="2">
        <v>14</v>
      </c>
      <c r="K16" s="1">
        <f t="shared" si="14"/>
        <v>10499.485348092669</v>
      </c>
      <c r="L16" s="1">
        <f t="shared" ca="1" si="2"/>
        <v>10224.5</v>
      </c>
      <c r="M16" s="1">
        <f t="shared" ca="1" si="3"/>
        <v>10499.485348092669</v>
      </c>
      <c r="N16" s="1" t="str">
        <f t="shared" ca="1" si="15"/>
        <v/>
      </c>
      <c r="O16" s="1"/>
      <c r="P16" s="1"/>
      <c r="Q16" s="12">
        <f t="shared" ca="1" si="16"/>
        <v>-274.98534809266857</v>
      </c>
      <c r="R16" s="2">
        <v>14</v>
      </c>
      <c r="S16" s="1">
        <f t="shared" si="17"/>
        <v>0</v>
      </c>
      <c r="T16" s="1">
        <f t="shared" ca="1" si="4"/>
        <v>0</v>
      </c>
      <c r="U16" s="1">
        <f t="shared" ca="1" si="5"/>
        <v>0</v>
      </c>
      <c r="V16" s="1" t="str">
        <f t="shared" ca="1" si="18"/>
        <v/>
      </c>
      <c r="W16" s="1"/>
      <c r="X16" s="1"/>
      <c r="Y16" s="12">
        <f t="shared" ca="1" si="19"/>
        <v>0</v>
      </c>
      <c r="Z16" s="2">
        <v>14</v>
      </c>
      <c r="AA16" s="1">
        <f t="shared" si="20"/>
        <v>1365.3719999999998</v>
      </c>
      <c r="AB16" s="1">
        <f t="shared" ca="1" si="6"/>
        <v>1980</v>
      </c>
      <c r="AC16" s="1">
        <f t="shared" ca="1" si="7"/>
        <v>1365.3719999999998</v>
      </c>
      <c r="AD16" s="1" t="str">
        <f t="shared" ca="1" si="21"/>
        <v/>
      </c>
      <c r="AE16" s="1"/>
      <c r="AF16" s="1"/>
      <c r="AG16" s="12">
        <f t="shared" ca="1" si="22"/>
        <v>614.62800000000016</v>
      </c>
      <c r="AH16" s="2">
        <v>14</v>
      </c>
      <c r="AI16" s="1">
        <f t="shared" si="23"/>
        <v>142.95833333333331</v>
      </c>
      <c r="AJ16" s="1">
        <f t="shared" ca="1" si="8"/>
        <v>249</v>
      </c>
      <c r="AK16" s="1">
        <f t="shared" ca="1" si="9"/>
        <v>142.95833333333331</v>
      </c>
      <c r="AL16" s="1" t="str">
        <f t="shared" ca="1" si="24"/>
        <v/>
      </c>
      <c r="AM16" s="1"/>
      <c r="AN16" s="1"/>
      <c r="AO16" s="12">
        <f t="shared" ca="1" si="25"/>
        <v>106.04166666666669</v>
      </c>
      <c r="AP16" s="2">
        <v>14</v>
      </c>
      <c r="AQ16" s="1">
        <f t="shared" si="26"/>
        <v>349.01283352668207</v>
      </c>
      <c r="AR16" s="1">
        <f t="shared" ca="1" si="10"/>
        <v>0</v>
      </c>
      <c r="AS16" s="1">
        <f t="shared" ca="1" si="27"/>
        <v>349.01283352668207</v>
      </c>
      <c r="AT16" s="1" t="str">
        <f t="shared" ca="1" si="28"/>
        <v/>
      </c>
      <c r="AU16" s="1"/>
      <c r="AV16" s="1"/>
      <c r="AW16" s="12">
        <f t="shared" ca="1" si="29"/>
        <v>-349.01283352668207</v>
      </c>
      <c r="AY16">
        <v>15</v>
      </c>
      <c r="AZ16">
        <v>10142.546253256891</v>
      </c>
      <c r="BA16">
        <v>10215.9</v>
      </c>
      <c r="BB16">
        <v>0</v>
      </c>
      <c r="BC16">
        <v>0</v>
      </c>
      <c r="BD16">
        <v>1754.0316</v>
      </c>
      <c r="BE16">
        <v>1410</v>
      </c>
      <c r="BF16">
        <v>142.95833333333331</v>
      </c>
      <c r="BG16">
        <v>278</v>
      </c>
      <c r="BH16">
        <v>349.01283352668207</v>
      </c>
      <c r="BI16">
        <v>0</v>
      </c>
      <c r="BJ16" s="105">
        <v>45518</v>
      </c>
    </row>
    <row r="17" spans="1:62">
      <c r="A17" s="2">
        <v>15</v>
      </c>
      <c r="B17" s="1">
        <f t="shared" si="11"/>
        <v>12388.549020116907</v>
      </c>
      <c r="C17" s="1">
        <f t="shared" ca="1" si="0"/>
        <v>11903.9</v>
      </c>
      <c r="D17" s="1">
        <f t="shared" ca="1" si="1"/>
        <v>12388.549020116907</v>
      </c>
      <c r="E17" s="1" t="str">
        <f t="shared" ca="1" si="12"/>
        <v/>
      </c>
      <c r="F17" s="1"/>
      <c r="G17" s="1"/>
      <c r="H17" s="1"/>
      <c r="I17" s="12">
        <f t="shared" ca="1" si="13"/>
        <v>-484.6490201169072</v>
      </c>
      <c r="J17" s="2">
        <v>15</v>
      </c>
      <c r="K17" s="1">
        <f t="shared" si="14"/>
        <v>10142.546253256891</v>
      </c>
      <c r="L17" s="1">
        <f t="shared" ca="1" si="2"/>
        <v>10215.9</v>
      </c>
      <c r="M17" s="1">
        <f t="shared" ca="1" si="3"/>
        <v>10142.546253256891</v>
      </c>
      <c r="N17" s="1" t="str">
        <f t="shared" ca="1" si="15"/>
        <v/>
      </c>
      <c r="O17" s="1"/>
      <c r="P17" s="1"/>
      <c r="Q17" s="12">
        <f t="shared" ca="1" si="16"/>
        <v>73.353746743108786</v>
      </c>
      <c r="R17" s="2">
        <v>15</v>
      </c>
      <c r="S17" s="1">
        <f t="shared" si="17"/>
        <v>0</v>
      </c>
      <c r="T17" s="1">
        <f t="shared" ca="1" si="4"/>
        <v>0</v>
      </c>
      <c r="U17" s="1">
        <f t="shared" ca="1" si="5"/>
        <v>0</v>
      </c>
      <c r="V17" s="1" t="str">
        <f t="shared" ca="1" si="18"/>
        <v/>
      </c>
      <c r="W17" s="1"/>
      <c r="X17" s="1"/>
      <c r="Y17" s="12">
        <f t="shared" ca="1" si="19"/>
        <v>0</v>
      </c>
      <c r="Z17" s="2">
        <v>15</v>
      </c>
      <c r="AA17" s="1">
        <f t="shared" si="20"/>
        <v>1754.0316</v>
      </c>
      <c r="AB17" s="1">
        <f t="shared" ca="1" si="6"/>
        <v>1410</v>
      </c>
      <c r="AC17" s="1">
        <f t="shared" ca="1" si="7"/>
        <v>1754.0316</v>
      </c>
      <c r="AD17" s="1" t="str">
        <f t="shared" ca="1" si="21"/>
        <v/>
      </c>
      <c r="AE17" s="1"/>
      <c r="AF17" s="1"/>
      <c r="AG17" s="12">
        <f t="shared" ca="1" si="22"/>
        <v>-344.03160000000003</v>
      </c>
      <c r="AH17" s="2">
        <v>15</v>
      </c>
      <c r="AI17" s="1">
        <f t="shared" si="23"/>
        <v>142.95833333333331</v>
      </c>
      <c r="AJ17" s="1">
        <f t="shared" ca="1" si="8"/>
        <v>278</v>
      </c>
      <c r="AK17" s="1">
        <f t="shared" ca="1" si="9"/>
        <v>142.95833333333331</v>
      </c>
      <c r="AL17" s="1" t="str">
        <f t="shared" ca="1" si="24"/>
        <v/>
      </c>
      <c r="AM17" s="1"/>
      <c r="AN17" s="1"/>
      <c r="AO17" s="12">
        <f t="shared" ca="1" si="25"/>
        <v>135.04166666666669</v>
      </c>
      <c r="AP17" s="2">
        <v>15</v>
      </c>
      <c r="AQ17" s="1">
        <f t="shared" si="26"/>
        <v>349.01283352668207</v>
      </c>
      <c r="AR17" s="1">
        <f t="shared" ca="1" si="10"/>
        <v>0</v>
      </c>
      <c r="AS17" s="1">
        <f t="shared" ca="1" si="27"/>
        <v>349.01283352668207</v>
      </c>
      <c r="AT17" s="1" t="str">
        <f t="shared" ca="1" si="28"/>
        <v/>
      </c>
      <c r="AU17" s="1"/>
      <c r="AV17" s="1"/>
      <c r="AW17" s="12">
        <f t="shared" ca="1" si="29"/>
        <v>-349.01283352668207</v>
      </c>
      <c r="AY17">
        <v>16</v>
      </c>
      <c r="AZ17">
        <v>10995.438140917189</v>
      </c>
      <c r="BA17">
        <v>9922.2999999999993</v>
      </c>
      <c r="BB17">
        <v>0</v>
      </c>
      <c r="BC17">
        <v>0</v>
      </c>
      <c r="BD17">
        <v>1968.7895999999998</v>
      </c>
      <c r="BE17">
        <v>780</v>
      </c>
      <c r="BF17">
        <v>142.95833333333331</v>
      </c>
      <c r="BG17">
        <v>53</v>
      </c>
      <c r="BH17">
        <v>349.01283352668207</v>
      </c>
      <c r="BI17">
        <v>0</v>
      </c>
      <c r="BJ17" s="105">
        <v>45518</v>
      </c>
    </row>
    <row r="18" spans="1:62">
      <c r="A18" s="2">
        <v>16</v>
      </c>
      <c r="B18" s="1">
        <f t="shared" si="11"/>
        <v>13456.198907777205</v>
      </c>
      <c r="C18" s="1">
        <f t="shared" ca="1" si="0"/>
        <v>10755.3</v>
      </c>
      <c r="D18" s="1">
        <f t="shared" ca="1" si="1"/>
        <v>13456.198907777205</v>
      </c>
      <c r="E18" s="1" t="str">
        <f t="shared" ca="1" si="12"/>
        <v/>
      </c>
      <c r="F18" s="1"/>
      <c r="G18" s="1"/>
      <c r="H18" s="1"/>
      <c r="I18" s="12">
        <f t="shared" ca="1" si="13"/>
        <v>-2700.8989077772057</v>
      </c>
      <c r="J18" s="2">
        <v>16</v>
      </c>
      <c r="K18" s="1">
        <f t="shared" si="14"/>
        <v>10995.438140917189</v>
      </c>
      <c r="L18" s="1">
        <f t="shared" ca="1" si="2"/>
        <v>9922.2999999999993</v>
      </c>
      <c r="M18" s="1">
        <f t="shared" ca="1" si="3"/>
        <v>10995.438140917189</v>
      </c>
      <c r="N18" s="1" t="str">
        <f t="shared" ca="1" si="15"/>
        <v/>
      </c>
      <c r="O18" s="1"/>
      <c r="P18" s="1"/>
      <c r="Q18" s="12">
        <f t="shared" ca="1" si="16"/>
        <v>-1073.13814091719</v>
      </c>
      <c r="R18" s="2">
        <v>16</v>
      </c>
      <c r="S18" s="1">
        <f t="shared" si="17"/>
        <v>0</v>
      </c>
      <c r="T18" s="1">
        <f t="shared" ca="1" si="4"/>
        <v>0</v>
      </c>
      <c r="U18" s="1">
        <f t="shared" ca="1" si="5"/>
        <v>0</v>
      </c>
      <c r="V18" s="1" t="str">
        <f t="shared" ca="1" si="18"/>
        <v/>
      </c>
      <c r="W18" s="1"/>
      <c r="X18" s="1"/>
      <c r="Y18" s="12">
        <f t="shared" ca="1" si="19"/>
        <v>0</v>
      </c>
      <c r="Z18" s="2">
        <v>16</v>
      </c>
      <c r="AA18" s="1">
        <f t="shared" si="20"/>
        <v>1968.7895999999998</v>
      </c>
      <c r="AB18" s="1">
        <f t="shared" ca="1" si="6"/>
        <v>780</v>
      </c>
      <c r="AC18" s="1">
        <f t="shared" ca="1" si="7"/>
        <v>1968.7895999999998</v>
      </c>
      <c r="AD18" s="1" t="str">
        <f t="shared" ca="1" si="21"/>
        <v/>
      </c>
      <c r="AE18" s="1"/>
      <c r="AF18" s="1"/>
      <c r="AG18" s="12">
        <f t="shared" ca="1" si="22"/>
        <v>-1188.7895999999998</v>
      </c>
      <c r="AH18" s="2">
        <v>16</v>
      </c>
      <c r="AI18" s="1">
        <f t="shared" si="23"/>
        <v>142.95833333333331</v>
      </c>
      <c r="AJ18" s="1">
        <f t="shared" ca="1" si="8"/>
        <v>53</v>
      </c>
      <c r="AK18" s="1">
        <f t="shared" ca="1" si="9"/>
        <v>142.95833333333331</v>
      </c>
      <c r="AL18" s="1" t="str">
        <f t="shared" ca="1" si="24"/>
        <v/>
      </c>
      <c r="AM18" s="1"/>
      <c r="AN18" s="1"/>
      <c r="AO18" s="12">
        <f t="shared" ca="1" si="25"/>
        <v>-89.958333333333314</v>
      </c>
      <c r="AP18" s="2">
        <v>16</v>
      </c>
      <c r="AQ18" s="1">
        <f t="shared" si="26"/>
        <v>349.01283352668207</v>
      </c>
      <c r="AR18" s="1">
        <f t="shared" ca="1" si="10"/>
        <v>0</v>
      </c>
      <c r="AS18" s="1">
        <f t="shared" ca="1" si="27"/>
        <v>349.01283352668207</v>
      </c>
      <c r="AT18" s="1" t="str">
        <f t="shared" ca="1" si="28"/>
        <v/>
      </c>
      <c r="AU18" s="1"/>
      <c r="AV18" s="1"/>
      <c r="AW18" s="12">
        <f t="shared" ca="1" si="29"/>
        <v>-349.01283352668207</v>
      </c>
      <c r="AY18">
        <v>17</v>
      </c>
      <c r="AZ18">
        <v>10464.537148598301</v>
      </c>
      <c r="BA18">
        <v>6537.7</v>
      </c>
      <c r="BB18">
        <v>0</v>
      </c>
      <c r="BC18">
        <v>0</v>
      </c>
      <c r="BD18">
        <v>1365.3719999999998</v>
      </c>
      <c r="BE18">
        <v>80</v>
      </c>
      <c r="BF18">
        <v>142.95833333333331</v>
      </c>
      <c r="BG18">
        <v>283</v>
      </c>
      <c r="BH18">
        <v>349.01283352668207</v>
      </c>
      <c r="BI18">
        <v>0</v>
      </c>
      <c r="BJ18" s="105">
        <v>45518</v>
      </c>
    </row>
    <row r="19" spans="1:62">
      <c r="A19" s="2">
        <v>17</v>
      </c>
      <c r="B19" s="1">
        <f t="shared" si="11"/>
        <v>12321.880315458317</v>
      </c>
      <c r="C19" s="1">
        <f t="shared" ca="1" si="0"/>
        <v>6900.7</v>
      </c>
      <c r="D19" s="1">
        <f t="shared" ca="1" si="1"/>
        <v>12321.880315458317</v>
      </c>
      <c r="E19" s="1" t="str">
        <f t="shared" ca="1" si="12"/>
        <v/>
      </c>
      <c r="F19" s="1"/>
      <c r="G19" s="1"/>
      <c r="H19" s="1"/>
      <c r="I19" s="12">
        <f t="shared" ca="1" si="13"/>
        <v>-5421.1803154583167</v>
      </c>
      <c r="J19" s="2">
        <v>17</v>
      </c>
      <c r="K19" s="1">
        <f t="shared" si="14"/>
        <v>10464.537148598301</v>
      </c>
      <c r="L19" s="1">
        <f t="shared" ca="1" si="2"/>
        <v>6537.7</v>
      </c>
      <c r="M19" s="1">
        <f t="shared" ca="1" si="3"/>
        <v>10464.537148598301</v>
      </c>
      <c r="N19" s="1" t="str">
        <f t="shared" ca="1" si="15"/>
        <v/>
      </c>
      <c r="O19" s="1"/>
      <c r="P19" s="1"/>
      <c r="Q19" s="12">
        <f t="shared" ca="1" si="16"/>
        <v>-3926.8371485983016</v>
      </c>
      <c r="R19" s="2">
        <v>17</v>
      </c>
      <c r="S19" s="1">
        <f t="shared" si="17"/>
        <v>0</v>
      </c>
      <c r="T19" s="1">
        <f t="shared" ca="1" si="4"/>
        <v>0</v>
      </c>
      <c r="U19" s="1">
        <f t="shared" ca="1" si="5"/>
        <v>0</v>
      </c>
      <c r="V19" s="1" t="str">
        <f t="shared" ca="1" si="18"/>
        <v/>
      </c>
      <c r="W19" s="1"/>
      <c r="X19" s="1"/>
      <c r="Y19" s="12">
        <f t="shared" ca="1" si="19"/>
        <v>0</v>
      </c>
      <c r="Z19" s="2">
        <v>17</v>
      </c>
      <c r="AA19" s="1">
        <f t="shared" si="20"/>
        <v>1365.3719999999998</v>
      </c>
      <c r="AB19" s="1">
        <f t="shared" ca="1" si="6"/>
        <v>80</v>
      </c>
      <c r="AC19" s="1">
        <f t="shared" ca="1" si="7"/>
        <v>1365.3719999999998</v>
      </c>
      <c r="AD19" s="1" t="str">
        <f t="shared" ca="1" si="21"/>
        <v/>
      </c>
      <c r="AE19" s="1"/>
      <c r="AF19" s="1"/>
      <c r="AG19" s="12">
        <f t="shared" ca="1" si="22"/>
        <v>-1285.3719999999998</v>
      </c>
      <c r="AH19" s="2">
        <v>17</v>
      </c>
      <c r="AI19" s="1">
        <f t="shared" si="23"/>
        <v>142.95833333333331</v>
      </c>
      <c r="AJ19" s="1">
        <f t="shared" ca="1" si="8"/>
        <v>283</v>
      </c>
      <c r="AK19" s="1">
        <f t="shared" ca="1" si="9"/>
        <v>142.95833333333331</v>
      </c>
      <c r="AL19" s="1" t="str">
        <f t="shared" ca="1" si="24"/>
        <v/>
      </c>
      <c r="AM19" s="1"/>
      <c r="AN19" s="1"/>
      <c r="AO19" s="12">
        <f t="shared" ca="1" si="25"/>
        <v>140.04166666666669</v>
      </c>
      <c r="AP19" s="2">
        <v>17</v>
      </c>
      <c r="AQ19" s="1">
        <f t="shared" si="26"/>
        <v>349.01283352668207</v>
      </c>
      <c r="AR19" s="1">
        <f t="shared" ca="1" si="10"/>
        <v>0</v>
      </c>
      <c r="AS19" s="1">
        <f t="shared" ca="1" si="27"/>
        <v>349.01283352668207</v>
      </c>
      <c r="AT19" s="1" t="str">
        <f t="shared" ca="1" si="28"/>
        <v/>
      </c>
      <c r="AU19" s="1"/>
      <c r="AV19" s="1"/>
      <c r="AW19" s="12">
        <f t="shared" ca="1" si="29"/>
        <v>-349.01283352668207</v>
      </c>
      <c r="AY19">
        <v>18</v>
      </c>
      <c r="AZ19">
        <v>11137.902138856007</v>
      </c>
      <c r="BA19">
        <v>8702.1</v>
      </c>
      <c r="BB19">
        <v>0</v>
      </c>
      <c r="BC19">
        <v>0</v>
      </c>
      <c r="BD19">
        <v>1667.0807999999997</v>
      </c>
      <c r="BE19">
        <v>20</v>
      </c>
      <c r="BF19">
        <v>142.95833333333331</v>
      </c>
      <c r="BG19">
        <v>184</v>
      </c>
      <c r="BH19">
        <v>349.01283352668207</v>
      </c>
      <c r="BI19">
        <v>0</v>
      </c>
      <c r="BJ19" s="105">
        <v>45518</v>
      </c>
    </row>
    <row r="20" spans="1:62">
      <c r="A20" s="2">
        <v>18</v>
      </c>
      <c r="B20" s="1">
        <f t="shared" si="11"/>
        <v>13296.954105716022</v>
      </c>
      <c r="C20" s="1">
        <f t="shared" ca="1" si="0"/>
        <v>8906.1</v>
      </c>
      <c r="D20" s="1">
        <f t="shared" ca="1" si="1"/>
        <v>13296.954105716022</v>
      </c>
      <c r="E20" s="1" t="str">
        <f t="shared" ca="1" si="12"/>
        <v/>
      </c>
      <c r="F20" s="1"/>
      <c r="G20" s="1"/>
      <c r="H20" s="1"/>
      <c r="I20" s="12">
        <f t="shared" ca="1" si="13"/>
        <v>-4390.8541057160219</v>
      </c>
      <c r="J20" s="2">
        <v>18</v>
      </c>
      <c r="K20" s="1">
        <f t="shared" si="14"/>
        <v>11137.902138856007</v>
      </c>
      <c r="L20" s="1">
        <f t="shared" ca="1" si="2"/>
        <v>8702.1</v>
      </c>
      <c r="M20" s="1">
        <f t="shared" ca="1" si="3"/>
        <v>11137.902138856007</v>
      </c>
      <c r="N20" s="1" t="str">
        <f t="shared" ca="1" si="15"/>
        <v/>
      </c>
      <c r="O20" s="1"/>
      <c r="P20" s="1"/>
      <c r="Q20" s="12">
        <f t="shared" ca="1" si="16"/>
        <v>-2435.8021388560064</v>
      </c>
      <c r="R20" s="2">
        <v>18</v>
      </c>
      <c r="S20" s="1">
        <f t="shared" si="17"/>
        <v>0</v>
      </c>
      <c r="T20" s="1">
        <f t="shared" ca="1" si="4"/>
        <v>0</v>
      </c>
      <c r="U20" s="1">
        <f t="shared" ca="1" si="5"/>
        <v>0</v>
      </c>
      <c r="V20" s="1" t="str">
        <f t="shared" ca="1" si="18"/>
        <v/>
      </c>
      <c r="W20" s="1"/>
      <c r="X20" s="1"/>
      <c r="Y20" s="12">
        <f t="shared" ca="1" si="19"/>
        <v>0</v>
      </c>
      <c r="Z20" s="2">
        <v>18</v>
      </c>
      <c r="AA20" s="1">
        <f t="shared" si="20"/>
        <v>1667.0807999999997</v>
      </c>
      <c r="AB20" s="1">
        <f t="shared" ca="1" si="6"/>
        <v>20</v>
      </c>
      <c r="AC20" s="1">
        <f t="shared" ca="1" si="7"/>
        <v>1667.0807999999997</v>
      </c>
      <c r="AD20" s="1" t="str">
        <f t="shared" ca="1" si="21"/>
        <v/>
      </c>
      <c r="AE20" s="1"/>
      <c r="AF20" s="1"/>
      <c r="AG20" s="12">
        <f t="shared" ca="1" si="22"/>
        <v>-1647.0807999999997</v>
      </c>
      <c r="AH20" s="2">
        <v>18</v>
      </c>
      <c r="AI20" s="1">
        <f t="shared" si="23"/>
        <v>142.95833333333331</v>
      </c>
      <c r="AJ20" s="1">
        <f t="shared" ca="1" si="8"/>
        <v>184</v>
      </c>
      <c r="AK20" s="1">
        <f t="shared" ca="1" si="9"/>
        <v>142.95833333333331</v>
      </c>
      <c r="AL20" s="1" t="str">
        <f t="shared" ca="1" si="24"/>
        <v/>
      </c>
      <c r="AM20" s="1"/>
      <c r="AN20" s="1"/>
      <c r="AO20" s="12">
        <f t="shared" ca="1" si="25"/>
        <v>41.041666666666686</v>
      </c>
      <c r="AP20" s="2">
        <v>18</v>
      </c>
      <c r="AQ20" s="1">
        <f t="shared" si="26"/>
        <v>349.01283352668207</v>
      </c>
      <c r="AR20" s="1">
        <f t="shared" ca="1" si="10"/>
        <v>0</v>
      </c>
      <c r="AS20" s="1">
        <f t="shared" ca="1" si="27"/>
        <v>349.01283352668207</v>
      </c>
      <c r="AT20" s="1" t="str">
        <f t="shared" ca="1" si="28"/>
        <v/>
      </c>
      <c r="AU20" s="1"/>
      <c r="AV20" s="1"/>
      <c r="AW20" s="12">
        <f t="shared" ca="1" si="29"/>
        <v>-349.01283352668207</v>
      </c>
      <c r="AY20">
        <v>19</v>
      </c>
      <c r="AZ20">
        <v>11022.706640522663</v>
      </c>
      <c r="BA20">
        <v>7759</v>
      </c>
      <c r="BB20">
        <v>0</v>
      </c>
      <c r="BC20">
        <v>0</v>
      </c>
      <c r="BD20">
        <v>1825.6175999999998</v>
      </c>
      <c r="BE20">
        <v>0</v>
      </c>
      <c r="BF20">
        <v>142.95833333333331</v>
      </c>
      <c r="BG20">
        <v>0</v>
      </c>
      <c r="BH20">
        <v>349.01283352668207</v>
      </c>
      <c r="BI20">
        <v>0</v>
      </c>
      <c r="BJ20" s="105">
        <v>45518</v>
      </c>
    </row>
    <row r="21" spans="1:62">
      <c r="A21" s="2">
        <v>19</v>
      </c>
      <c r="B21" s="1">
        <f t="shared" si="11"/>
        <v>13340.295407382679</v>
      </c>
      <c r="C21" s="1">
        <f t="shared" ca="1" si="0"/>
        <v>7759</v>
      </c>
      <c r="D21" s="1">
        <f t="shared" ca="1" si="1"/>
        <v>13340.295407382679</v>
      </c>
      <c r="E21" s="1" t="str">
        <f t="shared" ca="1" si="12"/>
        <v/>
      </c>
      <c r="F21" s="1"/>
      <c r="G21" s="1"/>
      <c r="H21" s="1"/>
      <c r="I21" s="12">
        <f t="shared" ca="1" si="13"/>
        <v>-5581.2954073826786</v>
      </c>
      <c r="J21" s="2">
        <v>19</v>
      </c>
      <c r="K21" s="1">
        <f t="shared" si="14"/>
        <v>11022.706640522663</v>
      </c>
      <c r="L21" s="1">
        <f t="shared" ca="1" si="2"/>
        <v>7759</v>
      </c>
      <c r="M21" s="1">
        <f t="shared" ca="1" si="3"/>
        <v>11022.706640522663</v>
      </c>
      <c r="N21" s="1" t="str">
        <f t="shared" ca="1" si="15"/>
        <v/>
      </c>
      <c r="O21" s="1"/>
      <c r="P21" s="1"/>
      <c r="Q21" s="12">
        <f t="shared" ca="1" si="16"/>
        <v>-3263.7066405226633</v>
      </c>
      <c r="R21" s="2">
        <v>19</v>
      </c>
      <c r="S21" s="1">
        <f t="shared" si="17"/>
        <v>0</v>
      </c>
      <c r="T21" s="1">
        <f t="shared" ca="1" si="4"/>
        <v>0</v>
      </c>
      <c r="U21" s="1">
        <f t="shared" ca="1" si="5"/>
        <v>0</v>
      </c>
      <c r="V21" s="1" t="str">
        <f t="shared" ca="1" si="18"/>
        <v/>
      </c>
      <c r="W21" s="1"/>
      <c r="X21" s="1"/>
      <c r="Y21" s="12">
        <f t="shared" ca="1" si="19"/>
        <v>0</v>
      </c>
      <c r="Z21" s="2">
        <v>19</v>
      </c>
      <c r="AA21" s="1">
        <f t="shared" si="20"/>
        <v>1825.6175999999998</v>
      </c>
      <c r="AB21" s="1">
        <f t="shared" ca="1" si="6"/>
        <v>0</v>
      </c>
      <c r="AC21" s="1">
        <f t="shared" ca="1" si="7"/>
        <v>1825.6175999999998</v>
      </c>
      <c r="AD21" s="1" t="str">
        <f t="shared" ca="1" si="21"/>
        <v/>
      </c>
      <c r="AE21" s="1"/>
      <c r="AF21" s="1"/>
      <c r="AG21" s="12">
        <f t="shared" ca="1" si="22"/>
        <v>-1825.6175999999998</v>
      </c>
      <c r="AH21" s="2">
        <v>19</v>
      </c>
      <c r="AI21" s="1">
        <f t="shared" si="23"/>
        <v>142.95833333333331</v>
      </c>
      <c r="AJ21" s="1">
        <f t="shared" ca="1" si="8"/>
        <v>0</v>
      </c>
      <c r="AK21" s="1">
        <f t="shared" ca="1" si="9"/>
        <v>142.95833333333331</v>
      </c>
      <c r="AL21" s="1" t="str">
        <f t="shared" ca="1" si="24"/>
        <v/>
      </c>
      <c r="AM21" s="1"/>
      <c r="AN21" s="1"/>
      <c r="AO21" s="12">
        <f t="shared" ca="1" si="25"/>
        <v>-142.95833333333331</v>
      </c>
      <c r="AP21" s="2">
        <v>19</v>
      </c>
      <c r="AQ21" s="1">
        <f t="shared" si="26"/>
        <v>349.01283352668207</v>
      </c>
      <c r="AR21" s="1">
        <f t="shared" ca="1" si="10"/>
        <v>0</v>
      </c>
      <c r="AS21" s="1">
        <f t="shared" ca="1" si="27"/>
        <v>349.01283352668207</v>
      </c>
      <c r="AT21" s="1" t="str">
        <f t="shared" ca="1" si="28"/>
        <v/>
      </c>
      <c r="AU21" s="1"/>
      <c r="AV21" s="1"/>
      <c r="AW21" s="12">
        <f t="shared" ca="1" si="29"/>
        <v>-349.01283352668207</v>
      </c>
      <c r="AY21">
        <v>20</v>
      </c>
      <c r="AZ21">
        <v>11049.196040139415</v>
      </c>
      <c r="BA21">
        <v>7619</v>
      </c>
      <c r="BB21">
        <v>0</v>
      </c>
      <c r="BC21">
        <v>0</v>
      </c>
      <c r="BD21">
        <v>1968.7895999999998</v>
      </c>
      <c r="BE21">
        <v>0</v>
      </c>
      <c r="BF21">
        <v>142.95833333333331</v>
      </c>
      <c r="BG21">
        <v>38</v>
      </c>
      <c r="BH21">
        <v>349.01283352668207</v>
      </c>
      <c r="BI21">
        <v>0</v>
      </c>
      <c r="BJ21" s="105">
        <v>45518</v>
      </c>
    </row>
    <row r="22" spans="1:62">
      <c r="A22" s="2">
        <v>20</v>
      </c>
      <c r="B22" s="1">
        <f t="shared" si="11"/>
        <v>13509.956806999431</v>
      </c>
      <c r="C22" s="1">
        <f t="shared" ca="1" si="0"/>
        <v>7657</v>
      </c>
      <c r="D22" s="1">
        <f t="shared" ca="1" si="1"/>
        <v>13509.956806999431</v>
      </c>
      <c r="E22" s="1" t="str">
        <f t="shared" ca="1" si="12"/>
        <v/>
      </c>
      <c r="F22" s="1"/>
      <c r="G22" s="1"/>
      <c r="H22" s="1"/>
      <c r="I22" s="12">
        <f t="shared" ca="1" si="13"/>
        <v>-5852.9568069994311</v>
      </c>
      <c r="J22" s="2">
        <v>20</v>
      </c>
      <c r="K22" s="1">
        <f t="shared" si="14"/>
        <v>11049.196040139415</v>
      </c>
      <c r="L22" s="1">
        <f t="shared" ca="1" si="2"/>
        <v>7619</v>
      </c>
      <c r="M22" s="1">
        <f t="shared" ca="1" si="3"/>
        <v>11049.196040139415</v>
      </c>
      <c r="N22" s="1" t="str">
        <f t="shared" ca="1" si="15"/>
        <v/>
      </c>
      <c r="O22" s="1"/>
      <c r="P22" s="1"/>
      <c r="Q22" s="12">
        <f t="shared" ca="1" si="16"/>
        <v>-3430.1960401394153</v>
      </c>
      <c r="R22" s="2">
        <v>20</v>
      </c>
      <c r="S22" s="1">
        <f t="shared" si="17"/>
        <v>0</v>
      </c>
      <c r="T22" s="1">
        <f t="shared" ca="1" si="4"/>
        <v>0</v>
      </c>
      <c r="U22" s="1">
        <f ca="1">IF(T22="","",S22)</f>
        <v>0</v>
      </c>
      <c r="V22" s="1" t="str">
        <f t="shared" ca="1" si="18"/>
        <v/>
      </c>
      <c r="W22" s="1"/>
      <c r="X22" s="1"/>
      <c r="Y22" s="12">
        <f t="shared" ca="1" si="19"/>
        <v>0</v>
      </c>
      <c r="Z22" s="2">
        <v>20</v>
      </c>
      <c r="AA22" s="1">
        <f t="shared" si="20"/>
        <v>1968.7895999999998</v>
      </c>
      <c r="AB22" s="1">
        <f t="shared" ca="1" si="6"/>
        <v>0</v>
      </c>
      <c r="AC22" s="1">
        <f t="shared" ca="1" si="7"/>
        <v>1968.7895999999998</v>
      </c>
      <c r="AD22" s="1" t="str">
        <f t="shared" ca="1" si="21"/>
        <v/>
      </c>
      <c r="AE22" s="1"/>
      <c r="AF22" s="1"/>
      <c r="AG22" s="12">
        <f t="shared" ca="1" si="22"/>
        <v>-1968.7895999999998</v>
      </c>
      <c r="AH22" s="2">
        <v>20</v>
      </c>
      <c r="AI22" s="1">
        <f t="shared" si="23"/>
        <v>142.95833333333331</v>
      </c>
      <c r="AJ22" s="1">
        <f t="shared" ca="1" si="8"/>
        <v>38</v>
      </c>
      <c r="AK22" s="1">
        <f t="shared" ca="1" si="9"/>
        <v>142.95833333333331</v>
      </c>
      <c r="AL22" s="1" t="str">
        <f t="shared" ca="1" si="24"/>
        <v/>
      </c>
      <c r="AM22" s="1"/>
      <c r="AN22" s="1"/>
      <c r="AO22" s="12">
        <f t="shared" ca="1" si="25"/>
        <v>-104.95833333333331</v>
      </c>
      <c r="AP22" s="2">
        <v>20</v>
      </c>
      <c r="AQ22" s="1">
        <f t="shared" si="26"/>
        <v>349.01283352668207</v>
      </c>
      <c r="AR22" s="1">
        <f t="shared" ca="1" si="10"/>
        <v>0</v>
      </c>
      <c r="AS22" s="1">
        <f t="shared" ca="1" si="27"/>
        <v>349.01283352668207</v>
      </c>
      <c r="AT22" s="1" t="str">
        <f t="shared" ca="1" si="28"/>
        <v/>
      </c>
      <c r="AU22" s="1"/>
      <c r="AV22" s="1"/>
      <c r="AW22" s="12">
        <f t="shared" ca="1" si="29"/>
        <v>-349.01283352668207</v>
      </c>
      <c r="AY22">
        <v>21</v>
      </c>
      <c r="AZ22">
        <v>11062.440739947788</v>
      </c>
      <c r="BA22">
        <v>5791</v>
      </c>
      <c r="BB22">
        <v>0</v>
      </c>
      <c r="BC22">
        <v>16</v>
      </c>
      <c r="BD22">
        <v>1667.0807999999997</v>
      </c>
      <c r="BE22">
        <v>1540</v>
      </c>
      <c r="BF22">
        <v>142.95833333333331</v>
      </c>
      <c r="BG22">
        <v>198</v>
      </c>
      <c r="BH22">
        <v>349.01283352668207</v>
      </c>
      <c r="BI22">
        <v>0</v>
      </c>
      <c r="BJ22" s="105">
        <v>45518</v>
      </c>
    </row>
    <row r="23" spans="1:62">
      <c r="A23" s="2">
        <v>21</v>
      </c>
      <c r="B23" s="1">
        <f t="shared" si="11"/>
        <v>13221.492706807803</v>
      </c>
      <c r="C23" s="1">
        <f t="shared" ca="1" si="0"/>
        <v>7545</v>
      </c>
      <c r="D23" s="1">
        <f t="shared" ca="1" si="1"/>
        <v>13221.492706807803</v>
      </c>
      <c r="E23" s="1" t="str">
        <f t="shared" ca="1" si="12"/>
        <v/>
      </c>
      <c r="F23" s="1"/>
      <c r="G23" s="1"/>
      <c r="H23" s="1"/>
      <c r="I23" s="12">
        <f t="shared" ca="1" si="13"/>
        <v>-5676.4927068078032</v>
      </c>
      <c r="J23" s="2">
        <v>21</v>
      </c>
      <c r="K23" s="1">
        <f t="shared" si="14"/>
        <v>11062.440739947788</v>
      </c>
      <c r="L23" s="1">
        <f t="shared" ca="1" si="2"/>
        <v>5791</v>
      </c>
      <c r="M23" s="1">
        <f t="shared" ca="1" si="3"/>
        <v>11062.440739947788</v>
      </c>
      <c r="N23" s="1" t="str">
        <f t="shared" ca="1" si="15"/>
        <v/>
      </c>
      <c r="O23" s="1"/>
      <c r="P23" s="1"/>
      <c r="Q23" s="12">
        <f t="shared" ca="1" si="16"/>
        <v>-5271.4407399477877</v>
      </c>
      <c r="R23" s="2">
        <v>21</v>
      </c>
      <c r="S23" s="1">
        <f t="shared" si="17"/>
        <v>0</v>
      </c>
      <c r="T23" s="1">
        <f t="shared" ca="1" si="4"/>
        <v>16</v>
      </c>
      <c r="U23" s="1">
        <f t="shared" ca="1" si="5"/>
        <v>0</v>
      </c>
      <c r="V23" s="1" t="str">
        <f t="shared" ca="1" si="18"/>
        <v/>
      </c>
      <c r="W23" s="1"/>
      <c r="X23" s="1"/>
      <c r="Y23" s="12">
        <f t="shared" ca="1" si="19"/>
        <v>16</v>
      </c>
      <c r="Z23" s="2">
        <v>21</v>
      </c>
      <c r="AA23" s="1">
        <f t="shared" si="20"/>
        <v>1667.0807999999997</v>
      </c>
      <c r="AB23" s="1">
        <f t="shared" ca="1" si="6"/>
        <v>1540</v>
      </c>
      <c r="AC23" s="1">
        <f t="shared" ca="1" si="7"/>
        <v>1667.0807999999997</v>
      </c>
      <c r="AD23" s="1" t="str">
        <f t="shared" ca="1" si="21"/>
        <v/>
      </c>
      <c r="AE23" s="1"/>
      <c r="AF23" s="1"/>
      <c r="AG23" s="12">
        <f t="shared" ca="1" si="22"/>
        <v>-127.08079999999973</v>
      </c>
      <c r="AH23" s="2">
        <v>21</v>
      </c>
      <c r="AI23" s="1">
        <f t="shared" si="23"/>
        <v>142.95833333333331</v>
      </c>
      <c r="AJ23" s="1">
        <f t="shared" ca="1" si="8"/>
        <v>198</v>
      </c>
      <c r="AK23" s="1">
        <f t="shared" ca="1" si="9"/>
        <v>142.95833333333331</v>
      </c>
      <c r="AL23" s="1" t="str">
        <f t="shared" ca="1" si="24"/>
        <v/>
      </c>
      <c r="AM23" s="1"/>
      <c r="AN23" s="1"/>
      <c r="AO23" s="12">
        <f t="shared" ca="1" si="25"/>
        <v>55.041666666666686</v>
      </c>
      <c r="AP23" s="2">
        <v>21</v>
      </c>
      <c r="AQ23" s="1">
        <f t="shared" si="26"/>
        <v>349.01283352668207</v>
      </c>
      <c r="AR23" s="1">
        <f t="shared" ca="1" si="10"/>
        <v>0</v>
      </c>
      <c r="AS23" s="1">
        <f t="shared" ca="1" si="27"/>
        <v>349.01283352668207</v>
      </c>
      <c r="AT23" s="1" t="str">
        <f t="shared" ca="1" si="28"/>
        <v/>
      </c>
      <c r="AU23" s="1"/>
      <c r="AV23" s="1"/>
      <c r="AW23" s="12">
        <f t="shared" ca="1" si="29"/>
        <v>-349.01283352668207</v>
      </c>
      <c r="AY23">
        <v>22</v>
      </c>
      <c r="AZ23">
        <v>11117.645539149082</v>
      </c>
      <c r="BA23">
        <v>6581</v>
      </c>
      <c r="BB23">
        <v>0</v>
      </c>
      <c r="BC23">
        <v>7</v>
      </c>
      <c r="BD23">
        <v>1968.7895999999998</v>
      </c>
      <c r="BE23">
        <v>1230</v>
      </c>
      <c r="BF23">
        <v>142.95833333333331</v>
      </c>
      <c r="BG23">
        <v>296</v>
      </c>
      <c r="BH23">
        <v>349.01283352668207</v>
      </c>
      <c r="BI23">
        <v>0</v>
      </c>
      <c r="BJ23" s="105">
        <v>45518</v>
      </c>
    </row>
    <row r="24" spans="1:62">
      <c r="A24" s="2">
        <v>22</v>
      </c>
      <c r="B24" s="1">
        <f t="shared" si="11"/>
        <v>13578.406306009098</v>
      </c>
      <c r="C24" s="1">
        <f t="shared" ca="1" si="0"/>
        <v>8114</v>
      </c>
      <c r="D24" s="1">
        <f t="shared" ca="1" si="1"/>
        <v>13578.406306009098</v>
      </c>
      <c r="E24" s="1" t="str">
        <f t="shared" ca="1" si="12"/>
        <v/>
      </c>
      <c r="F24" s="1"/>
      <c r="G24" s="1"/>
      <c r="H24" s="1"/>
      <c r="I24" s="12">
        <f t="shared" ca="1" si="13"/>
        <v>-5464.4063060090975</v>
      </c>
      <c r="J24" s="2">
        <v>22</v>
      </c>
      <c r="K24" s="1">
        <f t="shared" si="14"/>
        <v>11117.645539149082</v>
      </c>
      <c r="L24" s="1">
        <f t="shared" ca="1" si="2"/>
        <v>6581</v>
      </c>
      <c r="M24" s="1">
        <f t="shared" ca="1" si="3"/>
        <v>11117.645539149082</v>
      </c>
      <c r="N24" s="1" t="str">
        <f t="shared" ca="1" si="15"/>
        <v/>
      </c>
      <c r="O24" s="1"/>
      <c r="P24" s="1"/>
      <c r="Q24" s="12">
        <f t="shared" ca="1" si="16"/>
        <v>-4536.6455391490817</v>
      </c>
      <c r="R24" s="2">
        <v>22</v>
      </c>
      <c r="S24" s="1">
        <f t="shared" si="17"/>
        <v>0</v>
      </c>
      <c r="T24" s="1">
        <f t="shared" ca="1" si="4"/>
        <v>7</v>
      </c>
      <c r="U24" s="1">
        <f t="shared" ca="1" si="5"/>
        <v>0</v>
      </c>
      <c r="V24" s="1" t="str">
        <f t="shared" ca="1" si="18"/>
        <v/>
      </c>
      <c r="W24" s="1"/>
      <c r="X24" s="1"/>
      <c r="Y24" s="12">
        <f t="shared" ca="1" si="19"/>
        <v>7</v>
      </c>
      <c r="Z24" s="2">
        <v>22</v>
      </c>
      <c r="AA24" s="1">
        <f t="shared" si="20"/>
        <v>1968.7895999999998</v>
      </c>
      <c r="AB24" s="1">
        <f t="shared" ca="1" si="6"/>
        <v>1230</v>
      </c>
      <c r="AC24" s="1">
        <f t="shared" ca="1" si="7"/>
        <v>1968.7895999999998</v>
      </c>
      <c r="AD24" s="1" t="str">
        <f t="shared" ca="1" si="21"/>
        <v/>
      </c>
      <c r="AE24" s="1"/>
      <c r="AF24" s="1"/>
      <c r="AG24" s="12">
        <f t="shared" ca="1" si="22"/>
        <v>-738.78959999999984</v>
      </c>
      <c r="AH24" s="2">
        <v>22</v>
      </c>
      <c r="AI24" s="1">
        <f t="shared" si="23"/>
        <v>142.95833333333331</v>
      </c>
      <c r="AJ24" s="1">
        <f t="shared" ca="1" si="8"/>
        <v>296</v>
      </c>
      <c r="AK24" s="1">
        <f t="shared" ca="1" si="9"/>
        <v>142.95833333333331</v>
      </c>
      <c r="AL24" s="1" t="str">
        <f t="shared" ca="1" si="24"/>
        <v/>
      </c>
      <c r="AM24" s="1"/>
      <c r="AN24" s="1"/>
      <c r="AO24" s="12">
        <f t="shared" ca="1" si="25"/>
        <v>153.04166666666669</v>
      </c>
      <c r="AP24" s="2">
        <v>22</v>
      </c>
      <c r="AQ24" s="1">
        <f t="shared" si="26"/>
        <v>349.01283352668207</v>
      </c>
      <c r="AR24" s="1">
        <f t="shared" ca="1" si="10"/>
        <v>0</v>
      </c>
      <c r="AS24" s="1">
        <f t="shared" ca="1" si="27"/>
        <v>349.01283352668207</v>
      </c>
      <c r="AT24" s="1" t="str">
        <f t="shared" ca="1" si="28"/>
        <v/>
      </c>
      <c r="AU24" s="1"/>
      <c r="AV24" s="1"/>
      <c r="AW24" s="12">
        <f t="shared" ca="1" si="29"/>
        <v>-349.01283352668207</v>
      </c>
      <c r="AY24">
        <v>23</v>
      </c>
      <c r="AZ24">
        <v>11158.158738562934</v>
      </c>
      <c r="BA24">
        <v>8528</v>
      </c>
      <c r="BB24">
        <v>0</v>
      </c>
      <c r="BC24">
        <v>0</v>
      </c>
      <c r="BD24">
        <v>2429.0351999999998</v>
      </c>
      <c r="BE24">
        <v>670</v>
      </c>
      <c r="BF24">
        <v>142.95833333333331</v>
      </c>
      <c r="BG24">
        <v>102</v>
      </c>
      <c r="BH24">
        <v>349.01283352668207</v>
      </c>
      <c r="BI24">
        <v>0</v>
      </c>
      <c r="BJ24" s="105">
        <v>45518</v>
      </c>
    </row>
    <row r="25" spans="1:62">
      <c r="A25" s="2">
        <v>23</v>
      </c>
      <c r="B25" s="1">
        <f t="shared" si="11"/>
        <v>14079.16510542295</v>
      </c>
      <c r="C25" s="1">
        <f t="shared" ca="1" si="0"/>
        <v>9300</v>
      </c>
      <c r="D25" s="1"/>
      <c r="E25" s="1" t="str">
        <f t="shared" ca="1" si="12"/>
        <v/>
      </c>
      <c r="F25" s="1"/>
      <c r="G25" s="1"/>
      <c r="H25" s="1"/>
      <c r="I25" s="12"/>
      <c r="J25" s="2">
        <v>23</v>
      </c>
      <c r="K25" s="1">
        <f t="shared" si="14"/>
        <v>11158.158738562934</v>
      </c>
      <c r="L25" s="1">
        <f t="shared" ca="1" si="2"/>
        <v>8528</v>
      </c>
      <c r="M25" s="1">
        <f t="shared" ca="1" si="3"/>
        <v>11158.158738562934</v>
      </c>
      <c r="N25" s="1" t="str">
        <f t="shared" ca="1" si="15"/>
        <v/>
      </c>
      <c r="O25" s="1"/>
      <c r="P25" s="1"/>
      <c r="Q25" s="12">
        <f t="shared" ca="1" si="16"/>
        <v>-2630.1587385629336</v>
      </c>
      <c r="R25" s="2">
        <v>23</v>
      </c>
      <c r="S25" s="1">
        <f t="shared" si="17"/>
        <v>0</v>
      </c>
      <c r="T25" s="1">
        <f t="shared" ca="1" si="4"/>
        <v>0</v>
      </c>
      <c r="U25" s="1">
        <f t="shared" ca="1" si="5"/>
        <v>0</v>
      </c>
      <c r="V25" s="1" t="str">
        <f t="shared" ca="1" si="18"/>
        <v/>
      </c>
      <c r="W25" s="1"/>
      <c r="X25" s="1"/>
      <c r="Y25" s="12">
        <f t="shared" ca="1" si="19"/>
        <v>0</v>
      </c>
      <c r="Z25" s="2">
        <v>23</v>
      </c>
      <c r="AA25" s="1">
        <f t="shared" si="20"/>
        <v>2429.0351999999998</v>
      </c>
      <c r="AB25" s="1">
        <f t="shared" ca="1" si="6"/>
        <v>670</v>
      </c>
      <c r="AC25" s="1">
        <f t="shared" ca="1" si="7"/>
        <v>2429.0351999999998</v>
      </c>
      <c r="AD25" s="1" t="str">
        <f t="shared" ca="1" si="21"/>
        <v/>
      </c>
      <c r="AE25" s="1"/>
      <c r="AF25" s="1"/>
      <c r="AG25" s="12">
        <f t="shared" ca="1" si="22"/>
        <v>-1759.0351999999998</v>
      </c>
      <c r="AH25" s="2">
        <v>23</v>
      </c>
      <c r="AI25" s="1">
        <f t="shared" si="23"/>
        <v>142.95833333333331</v>
      </c>
      <c r="AJ25" s="1">
        <f t="shared" ca="1" si="8"/>
        <v>102</v>
      </c>
      <c r="AK25" s="1">
        <f t="shared" ca="1" si="9"/>
        <v>142.95833333333331</v>
      </c>
      <c r="AL25" s="1" t="str">
        <f t="shared" ca="1" si="24"/>
        <v/>
      </c>
      <c r="AM25" s="1"/>
      <c r="AN25" s="1"/>
      <c r="AO25" s="12">
        <f t="shared" ca="1" si="25"/>
        <v>-40.958333333333314</v>
      </c>
      <c r="AP25" s="2">
        <v>23</v>
      </c>
      <c r="AQ25" s="1">
        <f t="shared" si="26"/>
        <v>349.01283352668207</v>
      </c>
      <c r="AR25" s="1">
        <f t="shared" ca="1" si="10"/>
        <v>0</v>
      </c>
      <c r="AS25" s="1">
        <f t="shared" ca="1" si="27"/>
        <v>349.01283352668207</v>
      </c>
      <c r="AT25" s="1" t="str">
        <f t="shared" ca="1" si="28"/>
        <v/>
      </c>
      <c r="AU25" s="1"/>
      <c r="AV25" s="1"/>
      <c r="AW25" s="12">
        <f t="shared" ca="1" si="29"/>
        <v>-349.01283352668207</v>
      </c>
      <c r="AY25">
        <v>24</v>
      </c>
      <c r="AZ25">
        <v>10891.372642422813</v>
      </c>
      <c r="BA25">
        <v>9760</v>
      </c>
      <c r="BB25">
        <v>0</v>
      </c>
      <c r="BC25">
        <v>139</v>
      </c>
      <c r="BD25">
        <v>1968.7896000000001</v>
      </c>
      <c r="BE25">
        <v>1810</v>
      </c>
      <c r="BF25">
        <v>142.95833333333331</v>
      </c>
      <c r="BG25">
        <v>151</v>
      </c>
      <c r="BH25">
        <v>349.01283352668207</v>
      </c>
      <c r="BI25">
        <v>0</v>
      </c>
      <c r="BJ25" s="105">
        <v>45518</v>
      </c>
    </row>
    <row r="26" spans="1:62">
      <c r="A26" s="2">
        <v>24</v>
      </c>
      <c r="B26" s="1">
        <f t="shared" si="11"/>
        <v>13352.133409282829</v>
      </c>
      <c r="C26" s="1">
        <f t="shared" ca="1" si="0"/>
        <v>11860</v>
      </c>
      <c r="D26" s="1">
        <f t="shared" ca="1" si="1"/>
        <v>13352.133409282829</v>
      </c>
      <c r="E26" s="1" t="str">
        <f t="shared" ca="1" si="12"/>
        <v/>
      </c>
      <c r="F26" s="1"/>
      <c r="G26" s="1"/>
      <c r="H26" s="1"/>
      <c r="I26" s="12">
        <f t="shared" ca="1" si="13"/>
        <v>-1492.1334092828292</v>
      </c>
      <c r="J26" s="2">
        <v>24</v>
      </c>
      <c r="K26" s="1">
        <f t="shared" si="14"/>
        <v>10891.372642422813</v>
      </c>
      <c r="L26" s="1">
        <f t="shared" ca="1" si="2"/>
        <v>9760</v>
      </c>
      <c r="M26" s="1">
        <f t="shared" ca="1" si="3"/>
        <v>10891.372642422813</v>
      </c>
      <c r="N26" s="1" t="str">
        <f t="shared" ca="1" si="15"/>
        <v/>
      </c>
      <c r="O26" s="1"/>
      <c r="P26" s="1"/>
      <c r="Q26" s="12">
        <f t="shared" ca="1" si="16"/>
        <v>-1131.3726424228134</v>
      </c>
      <c r="R26" s="2">
        <v>24</v>
      </c>
      <c r="S26" s="1">
        <f t="shared" si="17"/>
        <v>0</v>
      </c>
      <c r="T26" s="1">
        <f t="shared" ca="1" si="4"/>
        <v>139</v>
      </c>
      <c r="U26" s="1">
        <f t="shared" ca="1" si="5"/>
        <v>0</v>
      </c>
      <c r="V26" s="1" t="str">
        <f t="shared" ca="1" si="18"/>
        <v/>
      </c>
      <c r="W26" s="1"/>
      <c r="X26" s="1"/>
      <c r="Y26" s="12">
        <f t="shared" ca="1" si="19"/>
        <v>139</v>
      </c>
      <c r="Z26" s="2">
        <v>24</v>
      </c>
      <c r="AA26" s="1">
        <f t="shared" si="20"/>
        <v>1968.7896000000001</v>
      </c>
      <c r="AB26" s="1">
        <f t="shared" ca="1" si="6"/>
        <v>1810</v>
      </c>
      <c r="AC26" s="1">
        <f t="shared" ca="1" si="7"/>
        <v>1968.7896000000001</v>
      </c>
      <c r="AD26" s="1" t="str">
        <f t="shared" ca="1" si="21"/>
        <v/>
      </c>
      <c r="AE26" s="1"/>
      <c r="AF26" s="1"/>
      <c r="AG26" s="12">
        <f t="shared" ca="1" si="22"/>
        <v>-158.78960000000006</v>
      </c>
      <c r="AH26" s="2">
        <v>24</v>
      </c>
      <c r="AI26" s="1">
        <f t="shared" si="23"/>
        <v>142.95833333333331</v>
      </c>
      <c r="AJ26" s="1">
        <f t="shared" ca="1" si="8"/>
        <v>151</v>
      </c>
      <c r="AK26" s="1">
        <f t="shared" ca="1" si="9"/>
        <v>142.95833333333331</v>
      </c>
      <c r="AL26" s="1" t="str">
        <f t="shared" ca="1" si="24"/>
        <v/>
      </c>
      <c r="AM26" s="1"/>
      <c r="AN26" s="1"/>
      <c r="AO26" s="12">
        <f t="shared" ca="1" si="25"/>
        <v>8.0416666666666856</v>
      </c>
      <c r="AP26" s="2">
        <v>24</v>
      </c>
      <c r="AQ26" s="1">
        <f t="shared" si="26"/>
        <v>349.01283352668207</v>
      </c>
      <c r="AR26" s="1">
        <f t="shared" ca="1" si="10"/>
        <v>0</v>
      </c>
      <c r="AS26" s="1">
        <f t="shared" ca="1" si="27"/>
        <v>349.01283352668207</v>
      </c>
      <c r="AT26" s="1" t="str">
        <f t="shared" ca="1" si="28"/>
        <v/>
      </c>
      <c r="AU26" s="1"/>
      <c r="AV26" s="1"/>
      <c r="AW26" s="12">
        <f t="shared" ca="1" si="29"/>
        <v>-349.01283352668207</v>
      </c>
    </row>
    <row r="27" spans="1:62">
      <c r="A27" t="s">
        <v>30</v>
      </c>
      <c r="C27" s="12"/>
      <c r="F27" s="12">
        <f ca="1">D30-D30-D30</f>
        <v>35756.289713749284</v>
      </c>
      <c r="G27" s="12"/>
      <c r="H27" s="12"/>
      <c r="J27" t="s">
        <v>30</v>
      </c>
      <c r="R27" t="s">
        <v>30</v>
      </c>
      <c r="Z27" t="s">
        <v>30</v>
      </c>
      <c r="AA27" s="5"/>
      <c r="AH27" t="s">
        <v>30</v>
      </c>
      <c r="AP27" t="s">
        <v>30</v>
      </c>
    </row>
    <row r="28" spans="1:62">
      <c r="A28" s="10" t="s">
        <v>53</v>
      </c>
      <c r="E28" s="12"/>
      <c r="F28" s="12"/>
      <c r="G28" s="11">
        <f ca="1">SUM(C3:C26)</f>
        <v>247185.99999999997</v>
      </c>
      <c r="H28" s="11">
        <f ca="1">SUM(D3:D26)</f>
        <v>282942.28971374925</v>
      </c>
      <c r="J28" s="10" t="s">
        <v>54</v>
      </c>
      <c r="O28" s="11">
        <f ca="1">SUM(L3:L26)</f>
        <v>215236</v>
      </c>
      <c r="P28" s="11">
        <f ca="1">SUM(M3:M26)</f>
        <v>254731.08201453183</v>
      </c>
      <c r="R28" s="10" t="s">
        <v>54</v>
      </c>
      <c r="W28" s="11">
        <f ca="1">SUM(T3:T26)</f>
        <v>162</v>
      </c>
      <c r="X28" s="11">
        <f ca="1">SUM(U3:U26)</f>
        <v>0</v>
      </c>
      <c r="Z28" s="10" t="s">
        <v>54</v>
      </c>
      <c r="AA28" s="5"/>
      <c r="AE28" s="11">
        <f ca="1">SUM(AB3:AB26)</f>
        <v>28220</v>
      </c>
      <c r="AF28" s="11">
        <f ca="1">SUM(AC3:AC26)</f>
        <v>30483.0648</v>
      </c>
      <c r="AH28" s="10" t="s">
        <v>54</v>
      </c>
      <c r="AM28" s="11">
        <f ca="1">SUM(AJ3:AJ26)</f>
        <v>3568</v>
      </c>
      <c r="AN28" s="11">
        <f ca="1">SUM(AK3:AK26)</f>
        <v>3431.0000000000005</v>
      </c>
      <c r="AP28" s="10" t="s">
        <v>54</v>
      </c>
      <c r="AU28" s="11">
        <f ca="1">SUM(AR3:AR26)</f>
        <v>2660.2406225785626</v>
      </c>
      <c r="AV28" s="11">
        <f ca="1">SUM(AS3:AS26)</f>
        <v>8376.3080046403684</v>
      </c>
    </row>
    <row r="29" spans="1:62">
      <c r="A29" s="10" t="s">
        <v>55</v>
      </c>
      <c r="G29" s="11">
        <f>SUM(O29,W29,AE29,AM29)</f>
        <v>307000</v>
      </c>
      <c r="H29" s="11">
        <f>SUM(P29,X29,AF29,AN29)</f>
        <v>288645.14681453182</v>
      </c>
      <c r="J29" s="10" t="s">
        <v>56</v>
      </c>
      <c r="O29" s="11">
        <f>'JUSTIFICATIVA DE USINA'!AI2</f>
        <v>257000</v>
      </c>
      <c r="P29" s="11">
        <f>SUM(K3:K26)</f>
        <v>254731.08201453183</v>
      </c>
      <c r="R29" s="10" t="s">
        <v>56</v>
      </c>
      <c r="W29" s="11">
        <f>'JUSTIFICATIVA DE USINA'!AU2</f>
        <v>0</v>
      </c>
      <c r="X29" s="11">
        <f>SUM(S3:S26)</f>
        <v>0</v>
      </c>
      <c r="Z29" s="10" t="s">
        <v>56</v>
      </c>
      <c r="AA29" s="5"/>
      <c r="AE29" s="11">
        <f>'JUSTIFICATIVA DE USINA'!BG2</f>
        <v>45000</v>
      </c>
      <c r="AF29" s="11">
        <f>SUM(AA3:AA26)</f>
        <v>30483.0648</v>
      </c>
      <c r="AH29" s="10" t="s">
        <v>56</v>
      </c>
      <c r="AM29" s="11">
        <f>'JUSTIFICATIVA DE USINA'!BS2</f>
        <v>5000</v>
      </c>
      <c r="AN29" s="11">
        <f>SUM(AI3:AI26)</f>
        <v>3431.0000000000005</v>
      </c>
      <c r="AP29" s="10" t="s">
        <v>56</v>
      </c>
      <c r="AU29" s="11">
        <f>'JUSTIFICATIVA DE USINA'!CC2</f>
        <v>5500</v>
      </c>
      <c r="AV29" s="11">
        <f>SUM(AQ3:AQ26)</f>
        <v>8376.3080046403684</v>
      </c>
    </row>
    <row r="30" spans="1:62" ht="25.95" customHeight="1">
      <c r="C30" t="s">
        <v>30</v>
      </c>
      <c r="D30" s="51">
        <f ca="1">G28-H28</f>
        <v>-35756.289713749284</v>
      </c>
      <c r="I30" s="12"/>
      <c r="L30" t="s">
        <v>30</v>
      </c>
      <c r="M30" s="51">
        <f ca="1">O28-P28</f>
        <v>-39495.082014531828</v>
      </c>
      <c r="T30" t="s">
        <v>30</v>
      </c>
      <c r="U30" s="51">
        <f ca="1">W28-X28</f>
        <v>162</v>
      </c>
      <c r="AA30" s="5"/>
      <c r="AB30" t="s">
        <v>30</v>
      </c>
      <c r="AC30" s="51">
        <f ca="1">AE28-AF28</f>
        <v>-2263.0648000000001</v>
      </c>
      <c r="AJ30" t="s">
        <v>30</v>
      </c>
      <c r="AK30" s="51">
        <f ca="1">AM28-AN28</f>
        <v>136.99999999999955</v>
      </c>
      <c r="AR30" t="s">
        <v>30</v>
      </c>
      <c r="AS30" s="51">
        <f ca="1">AU28-AV28</f>
        <v>-5716.0673820618058</v>
      </c>
    </row>
    <row r="31" spans="1:62">
      <c r="D31" s="12"/>
      <c r="G31" s="50"/>
      <c r="I31" s="12"/>
      <c r="AA31" s="5"/>
    </row>
    <row r="32" spans="1:62" ht="18">
      <c r="A32" s="144" t="s">
        <v>57</v>
      </c>
      <c r="B32" s="144"/>
      <c r="C32" s="144"/>
      <c r="D32" s="144"/>
      <c r="E32" s="144"/>
      <c r="F32" s="144"/>
      <c r="G32" s="144"/>
      <c r="H32" s="144"/>
      <c r="I32" s="144"/>
      <c r="J32" s="144"/>
      <c r="K32" s="144"/>
      <c r="L32" s="144"/>
      <c r="M32" s="144"/>
      <c r="N32" s="144"/>
      <c r="O32" s="144"/>
      <c r="P32" s="144"/>
      <c r="Q32" s="144"/>
      <c r="R32" s="144"/>
      <c r="S32" s="144"/>
      <c r="T32" s="144"/>
      <c r="U32" s="144"/>
      <c r="V32" s="144"/>
      <c r="W32" s="144"/>
      <c r="X32" s="144"/>
      <c r="Y32" s="144"/>
      <c r="Z32" s="144"/>
      <c r="AA32" s="144"/>
      <c r="AB32" s="144"/>
      <c r="AC32" s="144"/>
      <c r="AD32" s="144"/>
      <c r="AE32" s="144"/>
      <c r="AF32" s="144"/>
      <c r="AG32" s="144"/>
      <c r="AH32" s="144"/>
      <c r="AI32" s="144"/>
      <c r="AJ32" s="144"/>
      <c r="AK32" s="144"/>
      <c r="AL32" s="144"/>
      <c r="AM32" s="7"/>
      <c r="AU32" s="7"/>
    </row>
    <row r="33" spans="1:47">
      <c r="A33" s="3" t="s">
        <v>47</v>
      </c>
      <c r="B33" s="4" t="s">
        <v>28</v>
      </c>
      <c r="C33" s="4" t="s">
        <v>29</v>
      </c>
      <c r="D33" s="4" t="s">
        <v>46</v>
      </c>
      <c r="G33" s="12">
        <f>SUM(B3:B26)</f>
        <v>297021.45481917221</v>
      </c>
      <c r="J33" s="3" t="str">
        <f>J2</f>
        <v>USINA 1</v>
      </c>
      <c r="K33" s="4" t="s">
        <v>28</v>
      </c>
      <c r="L33" s="4" t="s">
        <v>29</v>
      </c>
      <c r="M33" s="4" t="s">
        <v>46</v>
      </c>
      <c r="N33" s="8"/>
      <c r="R33" s="3" t="str">
        <f>R2</f>
        <v>USINA 2</v>
      </c>
      <c r="S33" s="4" t="s">
        <v>28</v>
      </c>
      <c r="T33" s="4" t="s">
        <v>29</v>
      </c>
      <c r="U33" s="4" t="s">
        <v>46</v>
      </c>
      <c r="V33" s="8"/>
      <c r="Z33" s="3" t="str">
        <f>Z2</f>
        <v>USINA 3</v>
      </c>
      <c r="AA33" s="4" t="s">
        <v>28</v>
      </c>
      <c r="AB33" s="4" t="s">
        <v>29</v>
      </c>
      <c r="AC33" s="4"/>
      <c r="AD33" s="4" t="s">
        <v>46</v>
      </c>
      <c r="AH33" s="3" t="str">
        <f>AH2</f>
        <v>USINA 4</v>
      </c>
      <c r="AI33" s="4" t="s">
        <v>28</v>
      </c>
      <c r="AJ33" s="4" t="s">
        <v>29</v>
      </c>
      <c r="AK33" s="4"/>
      <c r="AL33" s="4" t="s">
        <v>46</v>
      </c>
      <c r="AP33" s="3" t="str">
        <f>AP2</f>
        <v>USINA 5</v>
      </c>
      <c r="AQ33" s="4" t="s">
        <v>28</v>
      </c>
      <c r="AR33" s="4" t="s">
        <v>29</v>
      </c>
      <c r="AS33" s="4"/>
      <c r="AT33" s="4" t="s">
        <v>46</v>
      </c>
    </row>
    <row r="34" spans="1:47">
      <c r="A34" s="2">
        <v>1</v>
      </c>
      <c r="B34" s="1">
        <f>B3*24</f>
        <v>195847.64294193118</v>
      </c>
      <c r="C34" s="1">
        <f ca="1">C3*24</f>
        <v>292968</v>
      </c>
      <c r="D34" s="1"/>
      <c r="E34" s="9"/>
      <c r="F34" s="9"/>
      <c r="J34" s="2">
        <v>1</v>
      </c>
      <c r="K34" s="1">
        <f>K3*24</f>
        <v>184040.33493729081</v>
      </c>
      <c r="L34" s="1">
        <f ca="1">L3*24</f>
        <v>256440</v>
      </c>
      <c r="M34" s="1"/>
      <c r="N34" s="9"/>
      <c r="O34" s="9"/>
      <c r="R34" s="2">
        <v>1</v>
      </c>
      <c r="S34" s="1">
        <f>S3*24</f>
        <v>0</v>
      </c>
      <c r="T34" s="1">
        <f ca="1">T3*24</f>
        <v>0</v>
      </c>
      <c r="U34" s="1"/>
      <c r="V34" s="9"/>
      <c r="W34" s="9"/>
      <c r="Z34" s="2">
        <v>1</v>
      </c>
      <c r="AA34" s="1" t="s">
        <v>58</v>
      </c>
      <c r="AB34" s="1">
        <f ca="1">AB3*24</f>
        <v>28560</v>
      </c>
      <c r="AC34" s="1"/>
      <c r="AD34" s="1"/>
      <c r="AE34" s="9"/>
      <c r="AH34" s="2">
        <v>1</v>
      </c>
      <c r="AI34" s="1">
        <f>AI3*24</f>
        <v>3430.9999999999995</v>
      </c>
      <c r="AJ34" s="1">
        <f ca="1">AJ3*24</f>
        <v>7968</v>
      </c>
      <c r="AK34" s="1"/>
      <c r="AL34" s="1"/>
      <c r="AM34" s="9"/>
      <c r="AP34" s="2">
        <v>1</v>
      </c>
      <c r="AQ34" s="1">
        <f>AQ3*24</f>
        <v>8376.3080046403702</v>
      </c>
      <c r="AR34" s="1">
        <f ca="1">AR3*24</f>
        <v>11780.299989665822</v>
      </c>
      <c r="AS34" s="1"/>
      <c r="AT34" s="1"/>
      <c r="AU34" s="9"/>
    </row>
    <row r="35" spans="1:47">
      <c r="A35" s="2">
        <v>2</v>
      </c>
      <c r="B35" s="1">
        <f>SUM($B$3:B4)/A4*24</f>
        <v>212858.32678815426</v>
      </c>
      <c r="C35" s="1">
        <f ca="1">IF(C4="","",IF(A35&lt;$A$1,SUM(C3:C4)/A4*24,(SUM(C3:C4)/$A$1)*24))</f>
        <v>278952</v>
      </c>
      <c r="D35" s="1"/>
      <c r="E35" s="9"/>
      <c r="F35" s="9"/>
      <c r="J35" s="2">
        <v>2</v>
      </c>
      <c r="K35" s="1">
        <f>SUM($K$3:K4)/$J$4*24</f>
        <v>194669.03958351392</v>
      </c>
      <c r="L35" s="1">
        <f ca="1">IF(L4="","",IF(J35&lt;$A$1,SUM(L3:L4)/J4*24,(SUM(L3:L4)/$A$1)*24))</f>
        <v>252684</v>
      </c>
      <c r="M35" s="1"/>
      <c r="N35" s="9"/>
      <c r="O35" s="9"/>
      <c r="R35" s="2">
        <v>2</v>
      </c>
      <c r="S35" s="1">
        <f>SUM($S$3:S4)/R4*24</f>
        <v>0</v>
      </c>
      <c r="T35" s="1">
        <f ca="1">IF(T4="","",IF(R35&lt;$A$1,SUM(T3:T4)/R4*24,(SUM(T3:T4)/$A$1)*24))</f>
        <v>0</v>
      </c>
      <c r="U35" s="1"/>
      <c r="V35" s="9"/>
      <c r="W35" s="9"/>
      <c r="Z35" s="2">
        <v>2</v>
      </c>
      <c r="AA35" s="1">
        <f>SUM($AA$3:AA4)/Z4*24</f>
        <v>6381.9791999999998</v>
      </c>
      <c r="AB35" s="1">
        <f ca="1">IF(AB4="","",IF(Z35&lt;$A$1,SUM(AB3:AB4)/Z4*24,(SUM(AB3:AB4)/$A$1)*24))</f>
        <v>19440</v>
      </c>
      <c r="AC35" s="1"/>
      <c r="AD35" s="1"/>
      <c r="AE35" s="9"/>
      <c r="AH35" s="2">
        <v>2</v>
      </c>
      <c r="AI35" s="1">
        <f>SUM($AI$3:AI4)/AH4*24</f>
        <v>3430.9999999999995</v>
      </c>
      <c r="AJ35" s="1">
        <f ca="1">IF(AJ4="","",IF(AH35&lt;$A$1,SUM(AJ3:AJ4)/AH4*24,(SUM(AJ3:AJ4)/$A$1)*24))</f>
        <v>6828</v>
      </c>
      <c r="AK35" s="1"/>
      <c r="AL35" s="1"/>
      <c r="AM35" s="9"/>
      <c r="AP35" s="2">
        <v>2</v>
      </c>
      <c r="AQ35" s="1">
        <f>SUM($AQ$3:AQ4)/AP4*24</f>
        <v>8376.3080046403702</v>
      </c>
      <c r="AR35" s="1">
        <f ca="1">IF(AR4="","",IF(AP35&lt;$A$1,SUM(AR3:AR4)/AP4*24,(SUM(AR3:AR4)/$A$1)*24))</f>
        <v>7716.3644896542537</v>
      </c>
      <c r="AS35" s="1"/>
      <c r="AT35" s="1"/>
      <c r="AU35" s="9"/>
    </row>
    <row r="36" spans="1:47">
      <c r="A36" s="2">
        <v>3</v>
      </c>
      <c r="B36" s="1">
        <f>SUM($B$3:B5)/A5*24</f>
        <v>233488.36888553441</v>
      </c>
      <c r="C36" s="1">
        <f ca="1">IF(C5="","",IF(A36&lt;$A$1,SUM(C3:C5)/A5*24,(SUM(C3:C5)/$A$1)*24))</f>
        <v>280544</v>
      </c>
      <c r="D36" s="1"/>
      <c r="E36" s="9"/>
      <c r="F36" s="9"/>
      <c r="J36" s="2">
        <v>3</v>
      </c>
      <c r="K36" s="1">
        <f>SUM($K$3:K5)/$J$5*24</f>
        <v>215585.42568089406</v>
      </c>
      <c r="L36" s="1">
        <f ca="1">IF(L5="","",IF(J36&lt;$A$1,SUM(L3:L5)/J5*24,(SUM(L3:L5)/$A$1)*24))</f>
        <v>248792</v>
      </c>
      <c r="M36" s="1"/>
      <c r="N36" s="9"/>
      <c r="O36" s="9"/>
      <c r="R36" s="2">
        <v>3</v>
      </c>
      <c r="S36" s="1">
        <f>SUM($S$3:S5)/R5*24</f>
        <v>0</v>
      </c>
      <c r="T36" s="1">
        <f ca="1">IF(T5="","",IF(R36&lt;$A$1,SUM(T3:T5)/R5*24,(SUM(T3:T5)/$A$1)*24))</f>
        <v>0</v>
      </c>
      <c r="U36" s="1"/>
      <c r="V36" s="9"/>
      <c r="W36" s="9"/>
      <c r="Z36" s="2">
        <v>3</v>
      </c>
      <c r="AA36" s="1">
        <f>SUM($AA$3:AA5)/Z5*24</f>
        <v>6095.6351999999997</v>
      </c>
      <c r="AB36" s="1">
        <f ca="1">IF(AB5="","",IF(Z36&lt;$A$1,SUM(AB3:AB5)/Z5*24,(SUM(AB3:AB5)/$A$1)*24))</f>
        <v>25920</v>
      </c>
      <c r="AC36" s="1"/>
      <c r="AD36" s="1"/>
      <c r="AE36" s="9"/>
      <c r="AH36" s="2">
        <v>3</v>
      </c>
      <c r="AI36" s="1">
        <f>SUM($AI$3:AI5)/AH5*24</f>
        <v>3430.9999999999995</v>
      </c>
      <c r="AJ36" s="1">
        <f ca="1">IF(AJ5="","",IF(AH36&lt;$A$1,SUM(AJ3:AJ5)/AH5*24,(SUM(AJ3:AJ5)/$A$1)*24))</f>
        <v>5832</v>
      </c>
      <c r="AK36" s="1"/>
      <c r="AL36" s="1"/>
      <c r="AM36" s="9"/>
      <c r="AP36" s="2">
        <v>3</v>
      </c>
      <c r="AQ36" s="1">
        <f>SUM($AQ$3:AQ5)/AP5*24</f>
        <v>8376.3080046403702</v>
      </c>
      <c r="AR36" s="1">
        <f ca="1">IF(AR5="","",IF(AP36&lt;$A$1,SUM(AR3:AR5)/AP5*24,(SUM(AR3:AR5)/$A$1)*24))</f>
        <v>5144.2429931028355</v>
      </c>
      <c r="AS36" s="1"/>
      <c r="AT36" s="1"/>
      <c r="AU36" s="9"/>
    </row>
    <row r="37" spans="1:47">
      <c r="A37" s="2">
        <v>4</v>
      </c>
      <c r="B37" s="1">
        <f>SUM($B$3:B6)/A6*24</f>
        <v>245175.53357296821</v>
      </c>
      <c r="C37" s="1">
        <f ca="1">IF(C6="","",IF(A37&lt;$A$1,SUM(C3:C6)/A6*24,(SUM(C3:C6)/$A$1)*24))</f>
        <v>286350</v>
      </c>
      <c r="D37" s="1"/>
      <c r="E37" s="9"/>
      <c r="F37" s="9"/>
      <c r="J37" s="2">
        <v>4</v>
      </c>
      <c r="K37" s="1">
        <f>SUM($K$3:K6)/$J$6*24</f>
        <v>223365.74076832787</v>
      </c>
      <c r="L37" s="1">
        <f ca="1">IF(L6="","",IF(J37&lt;$A$1,SUM(L3:L6)/J6*24,(SUM(L3:L6)/$A$1)*24))</f>
        <v>249408</v>
      </c>
      <c r="M37" s="1"/>
      <c r="N37" s="9"/>
      <c r="R37" s="2">
        <v>4</v>
      </c>
      <c r="S37" s="1">
        <f>SUM($S$3:S6)/R6*24</f>
        <v>0</v>
      </c>
      <c r="T37" s="1">
        <f ca="1">IF(T6="","",IF(R37&lt;$A$1,SUM(T3:T6)/R6*24,(SUM(T3:T6)/$A$1)*24))</f>
        <v>0</v>
      </c>
      <c r="U37" s="1"/>
      <c r="V37" s="9"/>
      <c r="W37" s="9"/>
      <c r="Z37" s="2">
        <v>4</v>
      </c>
      <c r="AA37" s="1">
        <f>SUM($AA$3:AA6)/Z6*24</f>
        <v>10002.484800000002</v>
      </c>
      <c r="AB37" s="1">
        <f ca="1">IF(AB6="","",IF(Z37&lt;$A$1,SUM(AB3:AB6)/Z6*24,(SUM(AB3:AB6)/$A$1)*24))</f>
        <v>31320</v>
      </c>
      <c r="AC37" s="1"/>
      <c r="AD37" s="1"/>
      <c r="AE37" s="9"/>
      <c r="AH37" s="2">
        <v>4</v>
      </c>
      <c r="AI37" s="1">
        <f>SUM($AI$3:AI6)/AH6*24</f>
        <v>3430.9999999999995</v>
      </c>
      <c r="AJ37" s="1">
        <f ca="1">IF(AJ6="","",IF(AH37&lt;$A$1,SUM(AJ3:AJ6)/AH6*24,(SUM(AJ3:AJ6)/$A$1)*24))</f>
        <v>5622</v>
      </c>
      <c r="AK37" s="1"/>
      <c r="AL37" s="1"/>
      <c r="AM37" s="9"/>
      <c r="AP37" s="2">
        <v>4</v>
      </c>
      <c r="AQ37" s="1">
        <f>SUM($AQ$3:AQ6)/AP6*24</f>
        <v>8376.3080046403702</v>
      </c>
      <c r="AR37" s="1">
        <f ca="1">IF(AR6="","",IF(AP37&lt;$A$1,SUM(AR3:AR6)/AP6*24,(SUM(AR3:AR6)/$A$1)*24))</f>
        <v>3858.1822448271269</v>
      </c>
      <c r="AS37" s="1"/>
      <c r="AT37" s="1"/>
      <c r="AU37" s="9"/>
    </row>
    <row r="38" spans="1:47">
      <c r="A38" s="2">
        <v>5</v>
      </c>
      <c r="B38" s="1">
        <f>SUM($B$3:B7)/A7*24</f>
        <v>258517.6043258115</v>
      </c>
      <c r="C38" s="1">
        <f ca="1">IF(C7="","",IF(A38&lt;$A$1,SUM(C3:C7)/A7*24,(SUM(C3:C7)/$A$1)*24))</f>
        <v>283435.19999999995</v>
      </c>
      <c r="D38" s="1"/>
      <c r="E38" s="9"/>
      <c r="F38" s="9"/>
      <c r="J38" s="2">
        <v>5</v>
      </c>
      <c r="K38" s="1">
        <f>SUM($K$3:K7)/$J$7*24</f>
        <v>232154.52288117111</v>
      </c>
      <c r="L38" s="1">
        <f ca="1">IF(L7="","",IF(J38&lt;$A$1,SUM(L3:L7)/J7*24,(SUM(L3:L7)/$A$1)*24))</f>
        <v>247176</v>
      </c>
      <c r="M38" s="1"/>
      <c r="N38" s="9"/>
      <c r="O38" s="9"/>
      <c r="R38" s="2">
        <v>5</v>
      </c>
      <c r="S38" s="1">
        <f>SUM($S$3:S7)/R7*24</f>
        <v>0</v>
      </c>
      <c r="T38" s="1">
        <f ca="1">IF(T7="","",IF(R38&lt;$A$1,SUM(T3:T7)/R7*24,(SUM(T3:T7)/$A$1)*24))</f>
        <v>0</v>
      </c>
      <c r="U38" s="1"/>
      <c r="V38" s="9"/>
      <c r="W38" s="9"/>
      <c r="Z38" s="2">
        <v>5</v>
      </c>
      <c r="AA38" s="1">
        <f>SUM($AA$3:AA7)/Z7*24</f>
        <v>14555.773439999999</v>
      </c>
      <c r="AB38" s="1">
        <f ca="1">IF(AB7="","",IF(Z38&lt;$A$1,SUM(AB3:AB7)/Z7*24,(SUM(AB3:AB7)/$A$1)*24))</f>
        <v>30768</v>
      </c>
      <c r="AC38" s="1"/>
      <c r="AD38" s="1"/>
      <c r="AE38" s="9"/>
      <c r="AH38" s="2">
        <v>5</v>
      </c>
      <c r="AI38" s="1">
        <f>SUM($AI$3:AI7)/AH7*24</f>
        <v>3430.9999999999995</v>
      </c>
      <c r="AJ38" s="1">
        <f ca="1">IF(AJ7="","",IF(AH38&lt;$A$1,SUM(AJ3:AJ7)/AH7*24,(SUM(AJ3:AJ7)/$A$1)*24))</f>
        <v>5491.2000000000007</v>
      </c>
      <c r="AK38" s="1"/>
      <c r="AL38" s="1"/>
      <c r="AM38" s="9"/>
      <c r="AP38" s="2">
        <v>5</v>
      </c>
      <c r="AQ38" s="1">
        <f>SUM($AQ$3:AQ7)/AP7*24</f>
        <v>8376.3080046403702</v>
      </c>
      <c r="AR38" s="1">
        <f ca="1">IF(AR7="","",IF(AP38&lt;$A$1,SUM(AR3:AR7)/AP7*24,(SUM(AR3:AR7)/$A$1)*24))</f>
        <v>3086.5457958617017</v>
      </c>
      <c r="AS38" s="1"/>
      <c r="AT38" s="1"/>
      <c r="AU38" s="9"/>
    </row>
    <row r="39" spans="1:47">
      <c r="A39" s="2">
        <v>6</v>
      </c>
      <c r="B39" s="1">
        <f>SUM($B$3:B8)/A8*24</f>
        <v>267726.70976063452</v>
      </c>
      <c r="C39" s="1">
        <f ca="1">IF(C8="","",IF(A39&lt;$A$1,SUM(C3:C8)/A8*24,(SUM(C3:C8)/$A$1)*24))</f>
        <v>296356</v>
      </c>
      <c r="D39" s="1"/>
      <c r="E39" s="9"/>
      <c r="F39" s="9"/>
      <c r="J39" s="2">
        <v>6</v>
      </c>
      <c r="K39" s="1">
        <f>SUM($K$3:K8)/$J$8*24</f>
        <v>238041.75855599417</v>
      </c>
      <c r="L39" s="1">
        <f ca="1">IF(L8="","",IF(J39&lt;$A$1,SUM(L3:L8)/J8*24,(SUM(L3:L8)/$A$1)*24))</f>
        <v>256348</v>
      </c>
      <c r="M39" s="1"/>
      <c r="N39" s="9"/>
      <c r="O39" s="9"/>
      <c r="R39" s="2">
        <v>6</v>
      </c>
      <c r="S39" s="1">
        <f>SUM($S$3:S8)/R8*24</f>
        <v>0</v>
      </c>
      <c r="T39" s="1">
        <f ca="1">IF(T8="","",IF(R39&lt;$A$1,SUM(T3:T8)/R8*24,(SUM(T3:T8)/$A$1)*24))</f>
        <v>0</v>
      </c>
      <c r="U39" s="1"/>
      <c r="V39" s="9"/>
      <c r="W39" s="9"/>
      <c r="Z39" s="2">
        <v>6</v>
      </c>
      <c r="AA39" s="1">
        <f>SUM($AA$3:AA8)/Z8*24</f>
        <v>17877.643199999999</v>
      </c>
      <c r="AB39" s="1">
        <f ca="1">IF(AB8="","",IF(Z39&lt;$A$1,SUM(AB3:AB8)/Z8*24,(SUM(AB3:AB8)/$A$1)*24))</f>
        <v>34760</v>
      </c>
      <c r="AC39" s="1"/>
      <c r="AD39" s="1"/>
      <c r="AE39" s="9"/>
      <c r="AH39" s="2">
        <v>6</v>
      </c>
      <c r="AI39" s="1">
        <f>SUM($AI$3:AI8)/AH8*24</f>
        <v>3430.9999999999991</v>
      </c>
      <c r="AJ39" s="1">
        <f ca="1">IF(AJ8="","",IF(AH39&lt;$A$1,SUM(AJ3:AJ8)/AH8*24,(SUM(AJ3:AJ8)/$A$1)*24))</f>
        <v>5248</v>
      </c>
      <c r="AK39" s="1"/>
      <c r="AL39" s="1"/>
      <c r="AM39" s="9"/>
      <c r="AP39" s="2">
        <v>6</v>
      </c>
      <c r="AQ39" s="1">
        <f>SUM($AQ$3:AQ8)/AP8*24</f>
        <v>8376.3080046403702</v>
      </c>
      <c r="AR39" s="1">
        <f ca="1">IF(AR8="","",IF(AP39&lt;$A$1,SUM(AR3:AR8)/AP8*24,(SUM(AR3:AR8)/$A$1)*24))</f>
        <v>3685.4635935216793</v>
      </c>
      <c r="AS39" s="1"/>
      <c r="AT39" s="1"/>
      <c r="AU39" s="9"/>
    </row>
    <row r="40" spans="1:47">
      <c r="A40" s="2">
        <v>7</v>
      </c>
      <c r="B40" s="1">
        <f>SUM($B$3:B9)/A9*24</f>
        <v>274174.06609813205</v>
      </c>
      <c r="C40" s="1">
        <f ca="1">IF(C9="","",IF(A40&lt;$A$1,SUM(C3:C9)/A9*24,(SUM(C3:C9)/$A$1)*24))</f>
        <v>286784.57142857142</v>
      </c>
      <c r="D40" s="1"/>
      <c r="E40" s="9"/>
      <c r="F40" s="9"/>
      <c r="J40" s="2">
        <v>7</v>
      </c>
      <c r="K40" s="1">
        <f>SUM($K$3:K9)/$J$9*24</f>
        <v>242361.78849349171</v>
      </c>
      <c r="L40" s="1">
        <f ca="1">IF(L9="","",IF(J40&lt;$A$1,SUM(L3:L9)/J9*24,(SUM(L3:L9)/$A$1)*24))</f>
        <v>250846.28571428568</v>
      </c>
      <c r="M40" s="1"/>
      <c r="N40" s="9"/>
      <c r="O40" s="9"/>
      <c r="R40" s="2">
        <v>7</v>
      </c>
      <c r="S40" s="1">
        <f>SUM($S$3:S9)/R9*24</f>
        <v>0</v>
      </c>
      <c r="T40" s="1">
        <f ca="1">IF(T9="","",IF(R40&lt;$A$1,SUM(T3:T9)/R9*24,(SUM(T3:T9)/$A$1)*24))</f>
        <v>0</v>
      </c>
      <c r="U40" s="1"/>
      <c r="V40" s="9"/>
      <c r="W40" s="9"/>
      <c r="Z40" s="2">
        <v>7</v>
      </c>
      <c r="AA40" s="1">
        <f>SUM($AA$3:AA9)/Z9*24</f>
        <v>20004.969599999997</v>
      </c>
      <c r="AB40" s="1">
        <f ca="1">IF(AB9="","",IF(Z40&lt;$A$1,SUM(AB3:AB9)/Z9*24,(SUM(AB3:AB9)/$A$1)*24))</f>
        <v>31440</v>
      </c>
      <c r="AC40" s="1"/>
      <c r="AD40" s="1"/>
      <c r="AE40" s="9"/>
      <c r="AH40" s="2">
        <v>7</v>
      </c>
      <c r="AI40" s="1">
        <f>SUM($AI$3:AI9)/AH9*24</f>
        <v>3430.9999999999991</v>
      </c>
      <c r="AJ40" s="1">
        <f ca="1">IF(AJ9="","",IF(AH40&lt;$A$1,SUM(AJ3:AJ9)/AH9*24,(SUM(AJ3:AJ9)/$A$1)*24))</f>
        <v>4498.2857142857138</v>
      </c>
      <c r="AK40" s="1"/>
      <c r="AL40" s="1"/>
      <c r="AM40" s="9"/>
      <c r="AP40" s="2">
        <v>7</v>
      </c>
      <c r="AQ40" s="1">
        <f>SUM($AQ$3:AQ9)/AP9*24</f>
        <v>8376.3080046403702</v>
      </c>
      <c r="AR40" s="1">
        <f ca="1">IF(AR9="","",IF(AP40&lt;$A$1,SUM(AR3:AR9)/AP9*24,(SUM(AR3:AR9)/$A$1)*24))</f>
        <v>4427.0133328646316</v>
      </c>
      <c r="AS40" s="1"/>
      <c r="AT40" s="1"/>
      <c r="AU40" s="9"/>
    </row>
    <row r="41" spans="1:47">
      <c r="A41" s="2">
        <v>8</v>
      </c>
      <c r="B41" s="1">
        <f>SUM($B$3:B10)/A10*24</f>
        <v>278781.19575455948</v>
      </c>
      <c r="C41" s="1">
        <f ca="1">IF(C10="","",IF(A41&lt;$A$1,SUM(C3:C10)/A10*24,(SUM(C3:C10)/$A$1)*24))</f>
        <v>271775.40000000002</v>
      </c>
      <c r="D41" s="1"/>
      <c r="E41" s="9"/>
      <c r="F41" s="9"/>
      <c r="J41" s="2">
        <v>8</v>
      </c>
      <c r="K41" s="1">
        <f>SUM($K$3:K10)/$J$10*24</f>
        <v>245373.42334991909</v>
      </c>
      <c r="L41" s="1">
        <f ca="1">IF(L10="","",IF(J41&lt;$A$1,SUM(L3:L10)/J10*24,(SUM(L3:L10)/$A$1)*24))</f>
        <v>239759.40000000002</v>
      </c>
      <c r="M41" s="1"/>
      <c r="N41" s="9"/>
      <c r="O41" s="9"/>
      <c r="R41" s="2">
        <v>8</v>
      </c>
      <c r="S41" s="1">
        <f>SUM($S$3:S10)/R10*24</f>
        <v>0</v>
      </c>
      <c r="T41" s="1">
        <f ca="1">IF(T10="","",IF(R41&lt;$A$1,SUM(T3:T10)/R10*24,(SUM(T3:T10)/$A$1)*24))</f>
        <v>0</v>
      </c>
      <c r="U41" s="1"/>
      <c r="V41" s="9"/>
      <c r="W41" s="9"/>
      <c r="Z41" s="2">
        <v>8</v>
      </c>
      <c r="AA41" s="1">
        <f>SUM($AA$3:AA10)/Z10*24</f>
        <v>21600.464399999997</v>
      </c>
      <c r="AB41" s="1">
        <f ca="1">IF(AB10="","",IF(Z41&lt;$A$1,SUM(AB3:AB10)/Z10*24,(SUM(AB3:AB10)/$A$1)*24))</f>
        <v>28080</v>
      </c>
      <c r="AC41" s="1"/>
      <c r="AD41" s="1"/>
      <c r="AE41" s="9"/>
      <c r="AH41" s="2">
        <v>8</v>
      </c>
      <c r="AI41" s="1">
        <f>SUM($AI$3:AI10)/AH10*24</f>
        <v>3430.9999999999991</v>
      </c>
      <c r="AJ41" s="1">
        <f ca="1">IF(AJ10="","",IF(AH41&lt;$A$1,SUM(AJ3:AJ10)/AH10*24,(SUM(AJ3:AJ10)/$A$1)*24))</f>
        <v>3936</v>
      </c>
      <c r="AK41" s="1"/>
      <c r="AL41" s="1"/>
      <c r="AM41" s="9"/>
      <c r="AP41" s="2">
        <v>8</v>
      </c>
      <c r="AQ41" s="1">
        <f>SUM($AQ$3:AQ10)/AP10*24</f>
        <v>8376.3080046403702</v>
      </c>
      <c r="AR41" s="1">
        <f ca="1">IF(AR10="","",IF(AP41&lt;$A$1,SUM(AR3:AR10)/AP10*24,(SUM(AR3:AR10)/$A$1)*24))</f>
        <v>4829.9207441485651</v>
      </c>
      <c r="AS41" s="1"/>
      <c r="AT41" s="1"/>
      <c r="AU41" s="9"/>
    </row>
    <row r="42" spans="1:47">
      <c r="A42" s="2">
        <v>9</v>
      </c>
      <c r="B42" s="1">
        <f>SUM($B$3:B11)/A11*24</f>
        <v>283274.38601638423</v>
      </c>
      <c r="C42" s="1">
        <f ca="1">IF(C11="","",IF(A42&lt;$A$1,SUM(C3:C11)/A11*24,(SUM(C3:C11)/$A$1)*24))</f>
        <v>270303.2</v>
      </c>
      <c r="D42" s="1"/>
      <c r="E42" s="9"/>
      <c r="F42" s="9"/>
      <c r="J42" s="2">
        <v>9</v>
      </c>
      <c r="K42" s="1">
        <f>SUM($K$3:K11)/$J$11*24</f>
        <v>248012.01241174381</v>
      </c>
      <c r="L42" s="1">
        <f ca="1">IF(L11="","",IF(J42&lt;$A$1,SUM(L3:L11)/J11*24,(SUM(L3:L11)/$A$1)*24))</f>
        <v>235071.2</v>
      </c>
      <c r="M42" s="1"/>
      <c r="N42" s="9"/>
      <c r="O42" s="9"/>
      <c r="R42" s="2">
        <v>9</v>
      </c>
      <c r="S42" s="1">
        <f>SUM($S$3:S11)/R11*24</f>
        <v>0</v>
      </c>
      <c r="T42" s="1">
        <f ca="1">IF(T11="","",IF(R42&lt;$A$1,SUM(T3:T11)/R11*24,(SUM(T3:T11)/$A$1)*24))</f>
        <v>0</v>
      </c>
      <c r="U42" s="1"/>
      <c r="V42" s="9"/>
      <c r="W42" s="9"/>
      <c r="Z42" s="2">
        <v>9</v>
      </c>
      <c r="AA42" s="1">
        <f>SUM($AA$3:AA11)/Z11*24</f>
        <v>23455.065599999998</v>
      </c>
      <c r="AB42" s="1">
        <f ca="1">IF(AB11="","",IF(Z42&lt;$A$1,SUM(AB3:AB11)/Z11*24,(SUM(AB3:AB11)/$A$1)*24))</f>
        <v>31733.333333333332</v>
      </c>
      <c r="AC42" s="1"/>
      <c r="AD42" s="1"/>
      <c r="AE42" s="9"/>
      <c r="AH42" s="2">
        <v>9</v>
      </c>
      <c r="AI42" s="1">
        <f>SUM($AI$3:AI11)/AH11*24</f>
        <v>3430.9999999999991</v>
      </c>
      <c r="AJ42" s="1">
        <f ca="1">IF(AJ11="","",IF(AH42&lt;$A$1,SUM(AJ3:AJ11)/AH11*24,(SUM(AJ3:AJ11)/$A$1)*24))</f>
        <v>3498.6666666666665</v>
      </c>
      <c r="AK42" s="1"/>
      <c r="AL42" s="1"/>
      <c r="AM42" s="9"/>
      <c r="AP42" s="2">
        <v>9</v>
      </c>
      <c r="AQ42" s="1">
        <f>SUM($AQ$3:AQ11)/AP11*24</f>
        <v>8376.3080046403702</v>
      </c>
      <c r="AR42" s="1">
        <f ca="1">IF(AR11="","",IF(AP42&lt;$A$1,SUM(AR3:AR11)/AP11*24,(SUM(AR3:AR11)/$A$1)*24))</f>
        <v>5234.7224599771944</v>
      </c>
      <c r="AS42" s="1"/>
      <c r="AT42" s="1"/>
      <c r="AU42" s="9"/>
    </row>
    <row r="43" spans="1:47">
      <c r="A43" s="2">
        <v>10</v>
      </c>
      <c r="B43" s="1">
        <f>SUM($B$3:B12)/A12*24</f>
        <v>284327.14670817053</v>
      </c>
      <c r="C43" s="1">
        <f ca="1">IF(C12="","",IF(A43&lt;$A$1,SUM(C3:C12)/A12*24,(SUM(C3:C12)/$A$1)*24))</f>
        <v>267723.83999999997</v>
      </c>
      <c r="D43" s="1"/>
      <c r="E43" s="9"/>
      <c r="F43" s="9"/>
      <c r="J43" s="2">
        <v>10</v>
      </c>
      <c r="K43" s="1">
        <f>SUM($K$3:K12)/$J$12*24</f>
        <v>249962.07742353008</v>
      </c>
      <c r="L43" s="1">
        <f ca="1">IF(L12="","",IF(J43&lt;$A$1,SUM(L3:L12)/J12*24,(SUM(L3:L12)/$A$1)*24))</f>
        <v>232415.03999999998</v>
      </c>
      <c r="M43" s="1"/>
      <c r="N43" s="9"/>
      <c r="O43" s="9"/>
      <c r="R43" s="2">
        <v>10</v>
      </c>
      <c r="S43" s="1">
        <f>SUM($S$3:S12)/R12*24</f>
        <v>0</v>
      </c>
      <c r="T43" s="1">
        <f ca="1">IF(T12="","",IF(R43&lt;$A$1,SUM(T3:T12)/R12*24,(SUM(T3:T12)/$A$1)*24))</f>
        <v>0</v>
      </c>
      <c r="U43" s="1"/>
      <c r="V43" s="9"/>
      <c r="W43" s="9">
        <f>4*4.2</f>
        <v>16.8</v>
      </c>
      <c r="Z43" s="2">
        <v>10</v>
      </c>
      <c r="AA43" s="1">
        <f>SUM($AA$3:AA12)/Z12*24</f>
        <v>22557.761279999999</v>
      </c>
      <c r="AB43" s="1">
        <f ca="1">IF(AB12="","",IF(Z43&lt;$A$1,SUM(AB3:AB12)/Z12*24,(SUM(AB3:AB12)/$A$1)*24))</f>
        <v>32160</v>
      </c>
      <c r="AC43" s="1"/>
      <c r="AD43" s="1"/>
      <c r="AE43" s="9"/>
      <c r="AH43" s="2">
        <v>10</v>
      </c>
      <c r="AI43" s="1">
        <f>SUM($AI$3:AI12)/AH12*24</f>
        <v>3430.9999999999991</v>
      </c>
      <c r="AJ43" s="1">
        <f ca="1">IF(AJ12="","",IF(AH43&lt;$A$1,SUM(AJ3:AJ12)/AH12*24,(SUM(AJ3:AJ12)/$A$1)*24))</f>
        <v>3148.7999999999997</v>
      </c>
      <c r="AK43" s="1"/>
      <c r="AL43" s="1"/>
      <c r="AM43" s="9"/>
      <c r="AP43" s="2">
        <v>10</v>
      </c>
      <c r="AQ43" s="1">
        <f>SUM($AQ$3:AQ12)/AP12*24</f>
        <v>8376.3080046403702</v>
      </c>
      <c r="AR43" s="1">
        <f ca="1">IF(AR12="","",IF(AP43&lt;$A$1,SUM(AR3:AR12)/AP12*24,(SUM(AR3:AR12)/$A$1)*24))</f>
        <v>5659.3673100398191</v>
      </c>
      <c r="AS43" s="1"/>
      <c r="AT43" s="1"/>
      <c r="AU43" s="9"/>
    </row>
    <row r="44" spans="1:47">
      <c r="A44" s="2">
        <v>11</v>
      </c>
      <c r="B44" s="1">
        <f>SUM($B$3:B13)/A13*24</f>
        <v>285373.38256101799</v>
      </c>
      <c r="C44" s="1">
        <f ca="1">IF(C13="","",IF(A44&lt;$A$1,SUM(C3:C13)/A13*24,(SUM(C3:C13)/$A$1)*24))</f>
        <v>266127.49090909091</v>
      </c>
      <c r="D44" s="1"/>
      <c r="E44" s="9"/>
      <c r="F44" s="9"/>
      <c r="J44" s="2">
        <v>11</v>
      </c>
      <c r="K44" s="1">
        <f>SUM($K$3:K13)/$J$13*24</f>
        <v>250582.11150183211</v>
      </c>
      <c r="L44" s="1">
        <f ca="1">IF(L13="","",IF(J44&lt;$A$1,SUM(L3:L13)/J13*24,(SUM(L3:L13)/$A$1)*24))</f>
        <v>230286.76363636361</v>
      </c>
      <c r="M44" s="1"/>
      <c r="N44" s="9"/>
      <c r="O44" s="9"/>
      <c r="R44" s="2">
        <v>11</v>
      </c>
      <c r="S44" s="1">
        <f>SUM($S$3:S13)/R13*24</f>
        <v>0</v>
      </c>
      <c r="T44" s="1">
        <f ca="1">IF(T13="","",IF(R44&lt;$A$1,SUM(T3:T13)/R13*24,(SUM(T3:T13)/$A$1)*24))</f>
        <v>0</v>
      </c>
      <c r="U44" s="1"/>
      <c r="V44" s="9"/>
      <c r="W44" s="9"/>
      <c r="Z44" s="2">
        <v>11</v>
      </c>
      <c r="AA44" s="1">
        <f>SUM($AA$3:AA13)/Z13*24</f>
        <v>22983.963054545453</v>
      </c>
      <c r="AB44" s="1">
        <f ca="1">IF(AB13="","",IF(Z44&lt;$A$1,SUM(AB3:AB13)/Z13*24,(SUM(AB3:AB13)/$A$1)*24))</f>
        <v>32967.272727272728</v>
      </c>
      <c r="AC44" s="1"/>
      <c r="AD44" s="1"/>
      <c r="AE44" s="9"/>
      <c r="AH44" s="2">
        <v>11</v>
      </c>
      <c r="AI44" s="1">
        <f>SUM($AI$3:AI13)/AH13*24</f>
        <v>3430.9999999999991</v>
      </c>
      <c r="AJ44" s="1">
        <f ca="1">IF(AJ13="","",IF(AH44&lt;$A$1,SUM(AJ3:AJ13)/AH13*24,(SUM(AJ3:AJ13)/$A$1)*24))</f>
        <v>2873.4545454545455</v>
      </c>
      <c r="AK44" s="1"/>
      <c r="AL44" s="1"/>
      <c r="AM44" s="9"/>
      <c r="AP44" s="2">
        <v>11</v>
      </c>
      <c r="AQ44" s="1">
        <f>SUM($AQ$3:AQ13)/AP13*24</f>
        <v>8376.308004640372</v>
      </c>
      <c r="AR44" s="1">
        <f ca="1">IF(AR13="","",IF(AP44&lt;$A$1,SUM(AR3:AR13)/AP13*24,(SUM(AR3:AR13)/$A$1)*24))</f>
        <v>5804.1613583532271</v>
      </c>
      <c r="AS44" s="1"/>
      <c r="AT44" s="1"/>
      <c r="AU44" s="9"/>
    </row>
    <row r="45" spans="1:47">
      <c r="A45" s="2">
        <v>12</v>
      </c>
      <c r="B45" s="1">
        <f>SUM($B$3:B14)/A14*24</f>
        <v>284674.60176159866</v>
      </c>
      <c r="C45" s="1">
        <f ca="1">IF(C14="","",IF(A45&lt;$A$1,SUM(C3:C14)/A14*24,(SUM(C3:C14)/$A$1)*24))</f>
        <v>263628.19999999995</v>
      </c>
      <c r="D45" s="1"/>
      <c r="E45" s="9"/>
      <c r="F45" s="9"/>
      <c r="J45" s="2">
        <v>12</v>
      </c>
      <c r="K45" s="1">
        <f>SUM($K$3:K14)/$J$14*24</f>
        <v>251798.66095695828</v>
      </c>
      <c r="L45" s="1">
        <f ca="1">IF(L14="","",IF(J45&lt;$A$1,SUM(L3:L14)/J14*24,(SUM(L3:L14)/$A$1)*24))</f>
        <v>227504.19999999995</v>
      </c>
      <c r="M45" s="1"/>
      <c r="N45" s="9"/>
      <c r="O45" s="9"/>
      <c r="R45" s="2">
        <v>12</v>
      </c>
      <c r="S45" s="1">
        <f>SUM($S$3:S14)/R14*24</f>
        <v>0</v>
      </c>
      <c r="T45" s="1">
        <f ca="1">IF(T14="","",IF(R45&lt;$A$1,SUM(T3:T14)/R14*24,(SUM(T3:T14)/$A$1)*24))</f>
        <v>0</v>
      </c>
      <c r="U45" s="1"/>
      <c r="V45" s="9"/>
      <c r="W45" s="9"/>
      <c r="Z45" s="2">
        <v>12</v>
      </c>
      <c r="AA45" s="1">
        <f>SUM($AA$3:AA14)/Z14*24</f>
        <v>21068.632799999999</v>
      </c>
      <c r="AB45" s="1">
        <f ca="1">IF(AB14="","",IF(Z45&lt;$A$1,SUM(AB3:AB14)/Z14*24,(SUM(AB3:AB14)/$A$1)*24))</f>
        <v>33100</v>
      </c>
      <c r="AC45" s="1"/>
      <c r="AD45" s="1"/>
      <c r="AE45" s="9"/>
      <c r="AH45" s="2">
        <v>12</v>
      </c>
      <c r="AI45" s="1">
        <f>SUM($AI$3:AI14)/AH14*24</f>
        <v>3430.9999999999991</v>
      </c>
      <c r="AJ45" s="1">
        <f ca="1">IF(AJ14="","",IF(AH45&lt;$A$1,SUM(AJ3:AJ14)/AH14*24,(SUM(AJ3:AJ14)/$A$1)*24))</f>
        <v>3024</v>
      </c>
      <c r="AK45" s="1"/>
      <c r="AL45" s="1"/>
      <c r="AM45" s="9"/>
      <c r="AP45" s="2">
        <v>12</v>
      </c>
      <c r="AQ45" s="1">
        <f>SUM($AQ$3:AQ14)/AP14*24</f>
        <v>8376.308004640372</v>
      </c>
      <c r="AR45" s="1">
        <f ca="1">IF(AR14="","",IF(AP45&lt;$A$1,SUM(AR3:AR14)/AP14*24,(SUM(AR3:AR14)/$A$1)*24))</f>
        <v>5320.4812451571252</v>
      </c>
      <c r="AS45" s="1"/>
      <c r="AT45" s="1"/>
      <c r="AU45" s="9"/>
    </row>
    <row r="46" spans="1:47">
      <c r="A46" s="2">
        <v>13</v>
      </c>
      <c r="B46" s="1">
        <f>SUM($B$3:B15)/A15*24</f>
        <v>280836.17393214698</v>
      </c>
      <c r="C46" s="1">
        <f ca="1">IF(C15="","",IF(A46&lt;$A$1,SUM(C3:C15)/A15*24,(SUM(C3:C15)/$A$1)*24))</f>
        <v>265904.30769230763</v>
      </c>
      <c r="D46" s="1"/>
      <c r="E46" s="9"/>
      <c r="F46" s="9"/>
      <c r="J46" s="2">
        <v>13</v>
      </c>
      <c r="K46" s="1">
        <f>SUM($K$3:K15)/$J$15*24</f>
        <v>249580.89718904509</v>
      </c>
      <c r="L46" s="1">
        <f ca="1">IF(L15="","",IF(J46&lt;$A$1,SUM(L3:L15)/J15*24,(SUM(L3:L15)/$A$1)*24))</f>
        <v>228176.30769230769</v>
      </c>
      <c r="M46" s="1"/>
      <c r="N46" s="9"/>
      <c r="O46" s="9"/>
      <c r="R46" s="2">
        <v>13</v>
      </c>
      <c r="S46" s="1">
        <f>SUM($S$3:S15)/R15*24</f>
        <v>0</v>
      </c>
      <c r="T46" s="1">
        <f ca="1">IF(T15="","",IF(R46&lt;$A$1,SUM(T3:T15)/R15*24,(SUM(T3:T15)/$A$1)*24))</f>
        <v>0</v>
      </c>
      <c r="U46" s="1"/>
      <c r="V46" s="9"/>
      <c r="W46" s="9"/>
      <c r="Z46" s="2">
        <v>13</v>
      </c>
      <c r="AA46" s="1">
        <f>SUM($AA$3:AA15)/Z15*24</f>
        <v>19447.968738461539</v>
      </c>
      <c r="AB46" s="1">
        <f ca="1">IF(AB15="","",IF(Z46&lt;$A$1,SUM(AB3:AB15)/Z15*24,(SUM(AB3:AB15)/$A$1)*24))</f>
        <v>34523.076923076922</v>
      </c>
      <c r="AC46" s="1"/>
      <c r="AD46" s="1"/>
      <c r="AE46" s="9"/>
      <c r="AH46" s="2">
        <v>13</v>
      </c>
      <c r="AI46" s="1">
        <f>SUM($AI$3:AI15)/AH15*24</f>
        <v>3430.9999999999991</v>
      </c>
      <c r="AJ46" s="1">
        <f ca="1">IF(AJ15="","",IF(AH46&lt;$A$1,SUM(AJ3:AJ15)/AH15*24,(SUM(AJ3:AJ15)/$A$1)*24))</f>
        <v>3204.9230769230771</v>
      </c>
      <c r="AK46" s="1"/>
      <c r="AL46" s="1"/>
      <c r="AM46" s="9"/>
      <c r="AP46" s="2">
        <v>13</v>
      </c>
      <c r="AQ46" s="1">
        <f>SUM($AQ$3:AQ15)/AP15*24</f>
        <v>8376.3080046403702</v>
      </c>
      <c r="AR46" s="1">
        <f ca="1">IF(AR15="","",IF(AP46&lt;$A$1,SUM(AR3:AR15)/AP15*24,(SUM(AR3:AR15)/$A$1)*24))</f>
        <v>4911.2134570681155</v>
      </c>
      <c r="AS46" s="1"/>
      <c r="AT46" s="1"/>
      <c r="AU46" s="9"/>
    </row>
    <row r="47" spans="1:47">
      <c r="A47" s="2">
        <v>14</v>
      </c>
      <c r="B47" s="1">
        <f>SUM($B$3:B16)/A16*24</f>
        <v>281959.58181976964</v>
      </c>
      <c r="C47" s="1">
        <f ca="1">IF(C16="","",IF(A47&lt;$A$1,SUM(C3:C16)/A16*24,(SUM(C3:C16)/$A$1)*24))</f>
        <v>268259.99999999994</v>
      </c>
      <c r="D47" s="1"/>
      <c r="E47" s="9"/>
      <c r="F47" s="9"/>
      <c r="J47" s="2">
        <v>14</v>
      </c>
      <c r="K47" s="1">
        <f>SUM($K$3:K16)/$J$16*24</f>
        <v>249752.80798655789</v>
      </c>
      <c r="L47" s="1">
        <f ca="1">IF(L16="","",IF(J47&lt;$A$1,SUM(L3:L16)/J16*24,(SUM(L3:L16)/$A$1)*24))</f>
        <v>229405.71428571432</v>
      </c>
      <c r="M47" s="1"/>
      <c r="N47" s="9"/>
      <c r="O47" s="9"/>
      <c r="R47" s="2">
        <v>14</v>
      </c>
      <c r="S47" s="1">
        <f>SUM($S$3:S16)/R16*24</f>
        <v>0</v>
      </c>
      <c r="T47" s="1">
        <f ca="1">IF(T16="","",IF(R47&lt;$A$1,SUM(T3:T16)/R16*24,(SUM(T3:T16)/$A$1)*24))</f>
        <v>0</v>
      </c>
      <c r="U47" s="1"/>
      <c r="V47" s="9"/>
      <c r="W47" s="9"/>
      <c r="Z47" s="2">
        <v>14</v>
      </c>
      <c r="AA47" s="1">
        <f>SUM($AA$3:AA16)/Z16*24</f>
        <v>20399.465828571425</v>
      </c>
      <c r="AB47" s="1">
        <f ca="1">IF(AB16="","",IF(Z47&lt;$A$1,SUM(AB3:AB16)/Z16*24,(SUM(AB3:AB16)/$A$1)*24))</f>
        <v>35451.428571428572</v>
      </c>
      <c r="AC47" s="1"/>
      <c r="AD47" s="1"/>
      <c r="AE47" s="9"/>
      <c r="AH47" s="2">
        <v>14</v>
      </c>
      <c r="AI47" s="1">
        <f>SUM($AI$3:AI16)/AH16*24</f>
        <v>3430.9999999999991</v>
      </c>
      <c r="AJ47" s="1">
        <f ca="1">IF(AJ16="","",IF(AH47&lt;$A$1,SUM(AJ3:AJ16)/AH16*24,(SUM(AJ3:AJ16)/$A$1)*24))</f>
        <v>3402.8571428571427</v>
      </c>
      <c r="AK47" s="1"/>
      <c r="AL47" s="1"/>
      <c r="AM47" s="9"/>
      <c r="AP47" s="2">
        <v>14</v>
      </c>
      <c r="AQ47" s="1">
        <f>SUM($AQ$3:AQ16)/AP16*24</f>
        <v>8376.3080046403702</v>
      </c>
      <c r="AR47" s="1">
        <f ca="1">IF(AR16="","",IF(AP47&lt;$A$1,SUM(AR3:AR16)/AP16*24,(SUM(AR3:AR16)/$A$1)*24))</f>
        <v>4560.4124958489647</v>
      </c>
      <c r="AS47" s="1"/>
      <c r="AT47" s="1"/>
      <c r="AU47" s="9"/>
    </row>
    <row r="48" spans="1:47">
      <c r="A48" s="2">
        <v>15</v>
      </c>
      <c r="B48" s="1">
        <f>SUM($B$3:B17)/A17*24</f>
        <v>282983.9547973054</v>
      </c>
      <c r="C48" s="1">
        <f ca="1">IF(C17="","",IF(A48&lt;$A$1,SUM(C3:C17)/A17*24,(SUM(C3:C17)/$A$1)*24))</f>
        <v>269422.23999999993</v>
      </c>
      <c r="D48" s="1"/>
      <c r="E48" s="9"/>
      <c r="F48" s="9"/>
      <c r="J48" s="2">
        <v>15</v>
      </c>
      <c r="K48" s="1">
        <f>SUM($K$3:K17)/$J$17*24</f>
        <v>249330.69479266505</v>
      </c>
      <c r="L48" s="1">
        <f ca="1">IF(L17="","",IF(J48&lt;$A$1,SUM(L3:L17)/J17*24,(SUM(L3:L17)/$A$1)*24))</f>
        <v>230457.44</v>
      </c>
      <c r="M48" s="1"/>
      <c r="N48" s="9"/>
      <c r="O48" s="9"/>
      <c r="R48" s="2">
        <v>15</v>
      </c>
      <c r="S48" s="1">
        <f>SUM($S$3:S17)/R17*24</f>
        <v>0</v>
      </c>
      <c r="T48" s="1">
        <f ca="1">IF(T17="","",IF(R48&lt;$A$1,SUM(T3:T17)/R17*24,(SUM(T3:T17)/$A$1)*24))</f>
        <v>0</v>
      </c>
      <c r="U48" s="1"/>
      <c r="V48" s="9"/>
      <c r="W48" s="9"/>
      <c r="Z48" s="2">
        <v>15</v>
      </c>
      <c r="AA48" s="1">
        <f>SUM($AA$3:AA17)/Z17*24</f>
        <v>21845.951999999997</v>
      </c>
      <c r="AB48" s="1">
        <f ca="1">IF(AB17="","",IF(Z48&lt;$A$1,SUM(AB3:AB17)/Z17*24,(SUM(AB3:AB17)/$A$1)*24))</f>
        <v>35344</v>
      </c>
      <c r="AC48" s="1"/>
      <c r="AD48" s="1"/>
      <c r="AE48" s="9"/>
      <c r="AH48" s="2">
        <v>15</v>
      </c>
      <c r="AI48" s="1">
        <f>SUM($AI$3:AI17)/AH17*24</f>
        <v>3430.9999999999991</v>
      </c>
      <c r="AJ48" s="1">
        <f ca="1">IF(AJ17="","",IF(AH48&lt;$A$1,SUM(AJ3:AJ17)/AH17*24,(SUM(AJ3:AJ17)/$A$1)*24))</f>
        <v>3620.8</v>
      </c>
      <c r="AK48" s="1"/>
      <c r="AL48" s="1"/>
      <c r="AM48" s="9"/>
      <c r="AP48" s="2">
        <v>15</v>
      </c>
      <c r="AQ48" s="1">
        <f>SUM($AQ$3:AQ17)/AP17*24</f>
        <v>8376.3080046403702</v>
      </c>
      <c r="AR48" s="1">
        <f ca="1">IF(AR17="","",IF(AP48&lt;$A$1,SUM(AR3:AR17)/AP17*24,(SUM(AR3:AR17)/$A$1)*24))</f>
        <v>4256.3849961257001</v>
      </c>
      <c r="AS48" s="1"/>
      <c r="AT48" s="1"/>
      <c r="AU48" s="9"/>
    </row>
    <row r="49" spans="1:47">
      <c r="A49" s="2">
        <v>16</v>
      </c>
      <c r="B49" s="1">
        <f>SUM($B$3:B18)/A18*24</f>
        <v>285481.75598413963</v>
      </c>
      <c r="C49" s="1">
        <f ca="1">IF(C18="","",IF(A49&lt;$A$1,SUM(C3:C18)/A18*24,(SUM(C3:C18)/$A$1)*24))</f>
        <v>268716.29999999993</v>
      </c>
      <c r="D49" s="1"/>
      <c r="E49" s="9"/>
      <c r="F49" s="9"/>
      <c r="J49" s="2">
        <v>16</v>
      </c>
      <c r="K49" s="1">
        <f>SUM($K$3:K18)/$J$18*24</f>
        <v>250240.68357949925</v>
      </c>
      <c r="L49" s="1">
        <f ca="1">IF(L18="","",IF(J49&lt;$A$1,SUM(L3:L18)/J18*24,(SUM(L3:L18)/$A$1)*24))</f>
        <v>230937.3</v>
      </c>
      <c r="M49" s="1"/>
      <c r="N49" s="9"/>
      <c r="O49" s="9"/>
      <c r="R49" s="2">
        <v>16</v>
      </c>
      <c r="S49" s="1">
        <f>SUM($S$3:S18)/R18*24</f>
        <v>0</v>
      </c>
      <c r="T49" s="1">
        <f ca="1">IF(T18="","",IF(R49&lt;$A$1,SUM(T3:T18)/R18*24,(SUM(T3:T18)/$A$1)*24))</f>
        <v>0</v>
      </c>
      <c r="U49" s="1"/>
      <c r="V49" s="9"/>
      <c r="W49" s="9"/>
      <c r="Z49" s="2">
        <v>16</v>
      </c>
      <c r="AA49" s="1">
        <f>SUM($AA$3:AA18)/Z18*24</f>
        <v>23433.7644</v>
      </c>
      <c r="AB49" s="1">
        <f ca="1">IF(AB18="","",IF(Z49&lt;$A$1,SUM(AB3:AB18)/Z18*24,(SUM(AB3:AB18)/$A$1)*24))</f>
        <v>34305</v>
      </c>
      <c r="AC49" s="1"/>
      <c r="AD49" s="1"/>
      <c r="AE49" s="9"/>
      <c r="AH49" s="2">
        <v>16</v>
      </c>
      <c r="AI49" s="1">
        <f>SUM($AI$3:AI18)/AH18*24</f>
        <v>3430.9999999999991</v>
      </c>
      <c r="AJ49" s="1">
        <f ca="1">IF(AJ18="","",IF(AH49&lt;$A$1,SUM(AJ3:AJ18)/AH18*24,(SUM(AJ3:AJ18)/$A$1)*24))</f>
        <v>3474</v>
      </c>
      <c r="AK49" s="1"/>
      <c r="AL49" s="1"/>
      <c r="AM49" s="9"/>
      <c r="AP49" s="2">
        <v>16</v>
      </c>
      <c r="AQ49" s="1">
        <f>SUM($AQ$3:AQ18)/AP18*24</f>
        <v>8376.3080046403702</v>
      </c>
      <c r="AR49" s="1">
        <f ca="1">IF(AR18="","",IF(AP49&lt;$A$1,SUM(AR3:AR18)/AP18*24,(SUM(AR3:AR18)/$A$1)*24))</f>
        <v>3990.3609338678439</v>
      </c>
      <c r="AS49" s="1"/>
      <c r="AT49" s="1"/>
      <c r="AU49" s="9"/>
    </row>
    <row r="50" spans="1:47">
      <c r="A50" s="2">
        <v>17</v>
      </c>
      <c r="B50" s="1">
        <f>SUM($B$3:B19)/A19*24</f>
        <v>286084.30725395493</v>
      </c>
      <c r="C50" s="1">
        <f ca="1">IF(C19="","",IF(A50&lt;$A$1,SUM(C3:C19)/A19*24,(SUM(C3:C19)/$A$1)*24))</f>
        <v>262651.62352941174</v>
      </c>
      <c r="D50" s="1"/>
      <c r="E50" s="9"/>
      <c r="F50" s="9"/>
      <c r="J50" s="2">
        <v>17</v>
      </c>
      <c r="K50" s="1">
        <f>SUM($K$3:K19)/$J$19*24</f>
        <v>250294.10757872631</v>
      </c>
      <c r="L50" s="1">
        <f ca="1">IF(L19="","",IF(J50&lt;$A$1,SUM(L3:L19)/J19*24,(SUM(L3:L19)/$A$1)*24))</f>
        <v>226582.44705882354</v>
      </c>
      <c r="M50" s="1"/>
      <c r="N50" s="9"/>
      <c r="O50" s="9"/>
      <c r="R50" s="2">
        <v>17</v>
      </c>
      <c r="S50" s="1">
        <f>SUM($S$3:S19)/R19*24</f>
        <v>0</v>
      </c>
      <c r="T50" s="1">
        <f ca="1">IF(T19="","",IF(R50&lt;$A$1,SUM(T3:T19)/R19*24,(SUM(T3:T19)/$A$1)*24))</f>
        <v>0</v>
      </c>
      <c r="U50" s="1"/>
      <c r="V50" s="9"/>
      <c r="W50" s="9"/>
      <c r="Z50" s="2">
        <v>17</v>
      </c>
      <c r="AA50" s="1">
        <f>SUM($AA$3:AA19)/Z19*24</f>
        <v>23982.891670588237</v>
      </c>
      <c r="AB50" s="1">
        <f ca="1">IF(AB19="","",IF(Z50&lt;$A$1,SUM(AB3:AB19)/Z19*24,(SUM(AB3:AB19)/$A$1)*24))</f>
        <v>32400</v>
      </c>
      <c r="AC50" s="1"/>
      <c r="AD50" s="1"/>
      <c r="AE50" s="9"/>
      <c r="AH50" s="2">
        <v>17</v>
      </c>
      <c r="AI50" s="1">
        <f>SUM($AI$3:AI19)/AH19*24</f>
        <v>3430.9999999999991</v>
      </c>
      <c r="AJ50" s="1">
        <f ca="1">IF(AJ19="","",IF(AH50&lt;$A$1,SUM(AJ3:AJ19)/AH19*24,(SUM(AJ3:AJ19)/$A$1)*24))</f>
        <v>3669.1764705882351</v>
      </c>
      <c r="AK50" s="1"/>
      <c r="AL50" s="1"/>
      <c r="AM50" s="9"/>
      <c r="AP50" s="2">
        <v>17</v>
      </c>
      <c r="AQ50" s="1">
        <f>SUM($AQ$3:AQ19)/AP19*24</f>
        <v>8376.3080046403702</v>
      </c>
      <c r="AR50" s="1">
        <f ca="1">IF(AR19="","",IF(AP50&lt;$A$1,SUM(AR3:AR19)/AP19*24,(SUM(AR3:AR19)/$A$1)*24))</f>
        <v>3755.633820110912</v>
      </c>
      <c r="AS50" s="1"/>
      <c r="AT50" s="1"/>
      <c r="AU50" s="9"/>
    </row>
    <row r="51" spans="1:47">
      <c r="A51" s="2">
        <v>18</v>
      </c>
      <c r="B51" s="1">
        <f>SUM($B$3:B20)/A20*24</f>
        <v>287920.00676968985</v>
      </c>
      <c r="C51" s="1">
        <f ca="1">IF(C20="","",IF(A51&lt;$A$1,SUM(C3:C20)/A20*24,(SUM(C3:C20)/$A$1)*24))</f>
        <v>259934.66666666663</v>
      </c>
      <c r="D51" s="1"/>
      <c r="E51" s="9"/>
      <c r="F51" s="9"/>
      <c r="J51" s="2">
        <v>18</v>
      </c>
      <c r="K51" s="1">
        <f>SUM($K$3:K20)/$J$20*24</f>
        <v>251239.41556504951</v>
      </c>
      <c r="L51" s="1">
        <f ca="1">IF(L20="","",IF(J51&lt;$A$1,SUM(L3:L20)/J20*24,(SUM(L3:L20)/$A$1)*24))</f>
        <v>225597.33333333331</v>
      </c>
      <c r="M51" s="1"/>
      <c r="N51" s="9"/>
      <c r="O51" s="9"/>
      <c r="R51" s="2">
        <v>18</v>
      </c>
      <c r="S51" s="1">
        <f>SUM($S$3:S20)/R20*24</f>
        <v>0</v>
      </c>
      <c r="T51" s="1">
        <f ca="1">IF(T20="","",IF(R51&lt;$A$1,SUM(T3:T20)/R20*24,(SUM(T3:T20)/$A$1)*24))</f>
        <v>0</v>
      </c>
      <c r="U51" s="1"/>
      <c r="V51" s="9"/>
      <c r="W51" s="9"/>
      <c r="Z51" s="2">
        <v>18</v>
      </c>
      <c r="AA51" s="1">
        <f>SUM($AA$3:AA20)/Z20*24</f>
        <v>24873.283199999998</v>
      </c>
      <c r="AB51" s="1">
        <f ca="1">IF(AB20="","",IF(Z51&lt;$A$1,SUM(AB3:AB20)/Z20*24,(SUM(AB3:AB20)/$A$1)*24))</f>
        <v>30626.666666666664</v>
      </c>
      <c r="AC51" s="1"/>
      <c r="AD51" s="1"/>
      <c r="AE51" s="9"/>
      <c r="AH51" s="2">
        <v>18</v>
      </c>
      <c r="AI51" s="1">
        <f>SUM($AI$3:AI20)/AH20*24</f>
        <v>3430.9999999999995</v>
      </c>
      <c r="AJ51" s="1">
        <f ca="1">IF(AJ20="","",IF(AH51&lt;$A$1,SUM(AJ3:AJ20)/AH20*24,(SUM(AJ3:AJ20)/$A$1)*24))</f>
        <v>3710.666666666667</v>
      </c>
      <c r="AK51" s="1"/>
      <c r="AL51" s="1"/>
      <c r="AM51" s="9"/>
      <c r="AP51" s="2">
        <v>18</v>
      </c>
      <c r="AQ51" s="1">
        <f>SUM($AQ$3:AQ20)/AP20*24</f>
        <v>8376.3080046403684</v>
      </c>
      <c r="AR51" s="1">
        <f ca="1">IF(AR20="","",IF(AP51&lt;$A$1,SUM(AR3:AR20)/AP20*24,(SUM(AR3:AR20)/$A$1)*24))</f>
        <v>3546.9874967714168</v>
      </c>
      <c r="AS51" s="1"/>
      <c r="AT51" s="1"/>
      <c r="AU51" s="9"/>
    </row>
    <row r="52" spans="1:47">
      <c r="A52" s="2">
        <v>19</v>
      </c>
      <c r="B52" s="1">
        <f>SUM($B$3:B21)/A21*24</f>
        <v>289617.22166482115</v>
      </c>
      <c r="C52" s="1">
        <f ca="1">IF(C21="","",IF(A52&lt;$A$1,SUM(C3:C21)/A21*24,(SUM(C3:C21)/$A$1)*24))</f>
        <v>256054.73684210522</v>
      </c>
      <c r="D52" s="1"/>
      <c r="E52" s="9"/>
      <c r="F52" s="9"/>
      <c r="J52" s="2">
        <v>19</v>
      </c>
      <c r="K52" s="1">
        <f>SUM($K$3:K21)/$J$21*24</f>
        <v>251939.70734439133</v>
      </c>
      <c r="L52" s="1">
        <f ca="1">IF(L21="","",IF(J52&lt;$A$1,SUM(L3:L21)/J21*24,(SUM(L3:L21)/$A$1)*24))</f>
        <v>223524.63157894736</v>
      </c>
      <c r="M52" s="1"/>
      <c r="N52" s="9"/>
      <c r="O52" s="9"/>
      <c r="R52" s="2">
        <v>19</v>
      </c>
      <c r="S52" s="1">
        <f>SUM($S$3:S21)/R21*24</f>
        <v>0</v>
      </c>
      <c r="T52" s="1">
        <f ca="1">IF(T21="","",IF(R52&lt;$A$1,SUM(T3:T21)/R21*24,(SUM(T3:T21)/$A$1)*24))</f>
        <v>0</v>
      </c>
      <c r="U52" s="1"/>
      <c r="V52" s="9"/>
      <c r="W52" s="9"/>
      <c r="Z52" s="2">
        <v>19</v>
      </c>
      <c r="AA52" s="1">
        <f>SUM($AA$3:AA21)/Z21*24</f>
        <v>25870.206315789474</v>
      </c>
      <c r="AB52" s="1">
        <f ca="1">IF(AB21="","",IF(Z52&lt;$A$1,SUM(AB3:AB21)/Z21*24,(SUM(AB3:AB21)/$A$1)*24))</f>
        <v>29014.736842105267</v>
      </c>
      <c r="AC52" s="1"/>
      <c r="AD52" s="1"/>
      <c r="AE52" s="9"/>
      <c r="AH52" s="2">
        <v>19</v>
      </c>
      <c r="AI52" s="1">
        <f>SUM($AI$3:AI21)/AH21*24</f>
        <v>3430.9999999999995</v>
      </c>
      <c r="AJ52" s="1">
        <f ca="1">IF(AJ21="","",IF(AH52&lt;$A$1,SUM(AJ3:AJ21)/AH21*24,(SUM(AJ3:AJ21)/$A$1)*24))</f>
        <v>3515.3684210526317</v>
      </c>
      <c r="AK52" s="1"/>
      <c r="AL52" s="1"/>
      <c r="AM52" s="9"/>
      <c r="AP52" s="2">
        <v>19</v>
      </c>
      <c r="AQ52" s="1">
        <f>SUM($AQ$3:AQ21)/AP21*24</f>
        <v>8376.3080046403684</v>
      </c>
      <c r="AR52" s="1">
        <f ca="1">IF(AR21="","",IF(AP52&lt;$A$1,SUM(AR3:AR21)/AP21*24,(SUM(AR3:AR21)/$A$1)*24))</f>
        <v>3360.3039443097632</v>
      </c>
      <c r="AS52" s="1"/>
      <c r="AT52" s="1"/>
      <c r="AU52" s="9"/>
    </row>
    <row r="53" spans="1:47">
      <c r="A53" s="2">
        <v>20</v>
      </c>
      <c r="B53" s="1">
        <f>SUM($B$3:B22)/A22*24</f>
        <v>291348.30874997948</v>
      </c>
      <c r="C53" s="1">
        <f ca="1">IF(C22="","",IF(A53&lt;$A$1,SUM(C3:C22)/A22*24,(SUM(C3:C22)/$A$1)*24))</f>
        <v>252440.39999999997</v>
      </c>
      <c r="D53" s="1"/>
      <c r="E53" s="9"/>
      <c r="F53" s="9"/>
      <c r="J53" s="2">
        <v>20</v>
      </c>
      <c r="K53" s="1">
        <f>SUM($K$3:K22)/$J$22*24</f>
        <v>252601.75722533904</v>
      </c>
      <c r="L53" s="1">
        <f ca="1">IF(L22="","",IF(J53&lt;$A$1,SUM(L3:L22)/J22*24,(SUM(L3:L22)/$A$1)*24))</f>
        <v>221491.19999999998</v>
      </c>
      <c r="M53" s="1"/>
      <c r="N53" s="9"/>
      <c r="O53" s="9"/>
      <c r="R53" s="2">
        <v>20</v>
      </c>
      <c r="S53" s="1">
        <f>SUM($S$3:S22)/R22*24</f>
        <v>0</v>
      </c>
      <c r="T53" s="1">
        <f ca="1">IF(T22="","",IF(R53&lt;$A$1,SUM(T3:T22)/R22*24,(SUM(T3:T22)/$A$1)*24))</f>
        <v>0</v>
      </c>
      <c r="U53" s="1"/>
      <c r="V53" s="9"/>
      <c r="W53" s="9"/>
      <c r="Z53" s="2">
        <v>20</v>
      </c>
      <c r="AA53" s="1">
        <f>SUM($AA$3:AA22)/Z22*24</f>
        <v>26939.24352</v>
      </c>
      <c r="AB53" s="1">
        <f ca="1">IF(AB22="","",IF(Z53&lt;$A$1,SUM(AB3:AB22)/Z22*24,(SUM(AB3:AB22)/$A$1)*24))</f>
        <v>27564</v>
      </c>
      <c r="AC53" s="1"/>
      <c r="AD53" s="1"/>
      <c r="AE53" s="9"/>
      <c r="AH53" s="2">
        <v>20</v>
      </c>
      <c r="AI53" s="1">
        <f>SUM($AI$3:AI22)/AH22*24</f>
        <v>3430.9999999999995</v>
      </c>
      <c r="AJ53" s="1">
        <f ca="1">IF(AJ22="","",IF(AH53&lt;$A$1,SUM(AJ3:AJ22)/AH22*24,(SUM(AJ3:AJ22)/$A$1)*24))</f>
        <v>3385.2000000000003</v>
      </c>
      <c r="AK53" s="1"/>
      <c r="AL53" s="1"/>
      <c r="AM53" s="9"/>
      <c r="AP53" s="2">
        <v>20</v>
      </c>
      <c r="AQ53" s="1">
        <f>SUM($AQ$3:AQ22)/AP22*24</f>
        <v>8376.3080046403684</v>
      </c>
      <c r="AR53" s="1">
        <f ca="1">IF(AR22="","",IF(AP53&lt;$A$1,SUM(AR3:AR22)/AP22*24,(SUM(AR3:AR22)/$A$1)*24))</f>
        <v>3192.2887470942751</v>
      </c>
      <c r="AS53" s="1"/>
      <c r="AT53" s="1"/>
      <c r="AU53" s="9"/>
    </row>
    <row r="54" spans="1:47">
      <c r="A54" s="2">
        <v>21</v>
      </c>
      <c r="B54" s="1">
        <f>SUM($B$3:B23)/A23*24</f>
        <v>292584.85714109411</v>
      </c>
      <c r="C54" s="1">
        <f ca="1">IF(C23="","",IF(A54&lt;$A$1,SUM(C3:C23)/A23*24,(SUM(C3:C23)/$A$1)*24))</f>
        <v>249042.28571428568</v>
      </c>
      <c r="D54" s="1"/>
      <c r="E54" s="9"/>
      <c r="F54" s="9"/>
      <c r="J54" s="2">
        <v>21</v>
      </c>
      <c r="K54" s="1">
        <f>SUM($K$3:K23)/$J$23*24</f>
        <v>253215.89153645368</v>
      </c>
      <c r="L54" s="1">
        <f ca="1">IF(L23="","",IF(J54&lt;$A$1,SUM(L3:L23)/J23*24,(SUM(L3:L23)/$A$1)*24))</f>
        <v>217562.28571428574</v>
      </c>
      <c r="M54" s="1"/>
      <c r="N54" s="9"/>
      <c r="O54" s="9"/>
      <c r="R54" s="2">
        <v>21</v>
      </c>
      <c r="S54" s="1">
        <f>SUM($S$3:S23)/R23*24</f>
        <v>0</v>
      </c>
      <c r="T54" s="1">
        <f ca="1">IF(T23="","",IF(R54&lt;$A$1,SUM(T3:T23)/R23*24,(SUM(T3:T23)/$A$1)*24))</f>
        <v>18.285714285714285</v>
      </c>
      <c r="U54" s="1"/>
      <c r="V54" s="9"/>
      <c r="W54" s="9"/>
      <c r="Z54" s="2">
        <v>21</v>
      </c>
      <c r="AA54" s="1">
        <f>SUM($AA$3:AA23)/Z23*24</f>
        <v>27561.657600000006</v>
      </c>
      <c r="AB54" s="1">
        <f ca="1">IF(AB23="","",IF(Z54&lt;$A$1,SUM(AB3:AB23)/Z23*24,(SUM(AB3:AB23)/$A$1)*24))</f>
        <v>28011.428571428572</v>
      </c>
      <c r="AC54" s="1"/>
      <c r="AD54" s="1"/>
      <c r="AE54" s="9"/>
      <c r="AH54" s="2">
        <v>21</v>
      </c>
      <c r="AI54" s="1">
        <f>SUM($AI$3:AI23)/AH23*24</f>
        <v>3431</v>
      </c>
      <c r="AJ54" s="1">
        <f ca="1">IF(AJ23="","",IF(AH54&lt;$A$1,SUM(AJ3:AJ23)/AH23*24,(SUM(AJ3:AJ23)/$A$1)*24))</f>
        <v>3450.2857142857142</v>
      </c>
      <c r="AK54" s="1"/>
      <c r="AL54" s="1"/>
      <c r="AM54" s="9"/>
      <c r="AP54" s="2">
        <v>21</v>
      </c>
      <c r="AQ54" s="1">
        <f>SUM($AQ$3:AQ23)/AP23*24</f>
        <v>8376.3080046403684</v>
      </c>
      <c r="AR54" s="1">
        <f ca="1">IF(AR23="","",IF(AP54&lt;$A$1,SUM(AR3:AR23)/AP23*24,(SUM(AR3:AR23)/$A$1)*24))</f>
        <v>3040.2749972326428</v>
      </c>
      <c r="AS54" s="1"/>
      <c r="AT54" s="1"/>
      <c r="AU54" s="9"/>
    </row>
    <row r="55" spans="1:47">
      <c r="A55" s="2">
        <v>22</v>
      </c>
      <c r="B55" s="1">
        <f>SUM($B$3:B24)/A24*24</f>
        <v>294098.35233214521</v>
      </c>
      <c r="C55" s="1">
        <f ca="1">IF(C24="","",IF(A55&lt;$A$1,SUM(C3:C24)/A24*24,(SUM(C3:C24)/$A$1)*24))</f>
        <v>246573.81818181818</v>
      </c>
      <c r="D55" s="1"/>
      <c r="E55" s="9"/>
      <c r="F55" s="9"/>
      <c r="J55" s="2">
        <v>22</v>
      </c>
      <c r="K55" s="1">
        <f>SUM($K$3:K24)/$J$24*24</f>
        <v>253834.41887295939</v>
      </c>
      <c r="L55" s="1">
        <f ca="1">IF(L24="","",IF(J55&lt;$A$1,SUM(L3:L24)/J24*24,(SUM(L3:L24)/$A$1)*24))</f>
        <v>214852.36363636365</v>
      </c>
      <c r="M55" s="1"/>
      <c r="N55" s="9"/>
      <c r="O55" s="9"/>
      <c r="R55" s="2">
        <v>22</v>
      </c>
      <c r="S55" s="1">
        <f>SUM($S$3:S24)/R24*24</f>
        <v>0</v>
      </c>
      <c r="T55" s="1">
        <f ca="1">IF(T24="","",IF(R55&lt;$A$1,SUM(T3:T24)/R24*24,(SUM(T3:T24)/$A$1)*24))</f>
        <v>25.09090909090909</v>
      </c>
      <c r="U55" s="1"/>
      <c r="V55" s="9"/>
      <c r="W55" s="9"/>
      <c r="Z55" s="2">
        <v>22</v>
      </c>
      <c r="AA55" s="1">
        <f>SUM($AA$3:AA24)/Z24*24</f>
        <v>28456.625454545458</v>
      </c>
      <c r="AB55" s="1">
        <f ca="1">IF(AB24="","",IF(Z55&lt;$A$1,SUM(AB3:AB24)/Z24*24,(SUM(AB3:AB24)/$A$1)*24))</f>
        <v>28080</v>
      </c>
      <c r="AC55" s="1"/>
      <c r="AD55" s="1"/>
      <c r="AE55" s="9"/>
      <c r="AH55" s="2">
        <v>22</v>
      </c>
      <c r="AI55" s="1">
        <f>SUM($AI$3:AI24)/AH24*24</f>
        <v>3431</v>
      </c>
      <c r="AJ55" s="1">
        <f ca="1">IF(AJ24="","",IF(AH55&lt;$A$1,SUM(AJ3:AJ24)/AH24*24,(SUM(AJ3:AJ24)/$A$1)*24))</f>
        <v>3616.3636363636365</v>
      </c>
      <c r="AK55" s="1"/>
      <c r="AL55" s="1"/>
      <c r="AM55" s="9"/>
      <c r="AP55" s="2">
        <v>22</v>
      </c>
      <c r="AQ55" s="1">
        <f>SUM($AQ$3:AQ24)/AP24*24</f>
        <v>8376.3080046403684</v>
      </c>
      <c r="AR55" s="1">
        <f ca="1">IF(AR24="","",IF(AP55&lt;$A$1,SUM(AR3:AR24)/AP24*24,(SUM(AR3:AR24)/$A$1)*24))</f>
        <v>2902.0806791766136</v>
      </c>
      <c r="AS55" s="1"/>
      <c r="AT55" s="1"/>
      <c r="AU55" s="9"/>
    </row>
    <row r="56" spans="1:47">
      <c r="A56" s="2">
        <v>23</v>
      </c>
      <c r="B56" s="1">
        <f>SUM($B$3:B25)/A25*24</f>
        <v>296002.7701668411</v>
      </c>
      <c r="C56" s="1">
        <f ca="1">IF(C25="","",IF(A56&lt;$A$1,SUM(C3:C25)/A25*24,(SUM(C3:C25)/$A$1)*24))</f>
        <v>245557.56521739124</v>
      </c>
      <c r="D56" s="1"/>
      <c r="E56" s="9"/>
      <c r="F56" s="9"/>
      <c r="J56" s="2">
        <v>23</v>
      </c>
      <c r="K56" s="1">
        <f>SUM($K$3:K25)/$J$25*24</f>
        <v>254441.43586654856</v>
      </c>
      <c r="L56" s="1">
        <f ca="1">IF(L25="","",IF(J56&lt;$A$1,SUM(L3:L25)/J25*24,(SUM(L3:L25)/$A$1)*24))</f>
        <v>214409.73913043475</v>
      </c>
      <c r="M56" s="1"/>
      <c r="N56" s="9"/>
      <c r="O56" s="9"/>
      <c r="R56" s="2">
        <v>23</v>
      </c>
      <c r="S56" s="1">
        <f>SUM($S$3:S25)/R25*24</f>
        <v>0</v>
      </c>
      <c r="T56" s="1">
        <f ca="1">IF(T25="","",IF(R56&lt;$A$1,SUM(T3:T25)/R25*24,(SUM(T3:T25)/$A$1)*24))</f>
        <v>24</v>
      </c>
      <c r="U56" s="1"/>
      <c r="V56" s="9"/>
      <c r="W56" s="9"/>
      <c r="Z56" s="2">
        <v>23</v>
      </c>
      <c r="AA56" s="1">
        <f>SUM($AA$3:AA25)/Z25*24</f>
        <v>29754.026295652176</v>
      </c>
      <c r="AB56" s="1">
        <f ca="1">IF(AB25="","",IF(Z56&lt;$A$1,SUM(AB3:AB25)/Z25*24,(SUM(AB3:AB25)/$A$1)*24))</f>
        <v>27558.26086956522</v>
      </c>
      <c r="AC56" s="1"/>
      <c r="AD56" s="1"/>
      <c r="AE56" s="9"/>
      <c r="AH56" s="2">
        <v>23</v>
      </c>
      <c r="AI56" s="1">
        <f>SUM($AI$3:AI25)/AH25*24</f>
        <v>3431</v>
      </c>
      <c r="AJ56" s="1">
        <f ca="1">IF(AJ25="","",IF(AH56&lt;$A$1,SUM(AJ3:AJ25)/AH25*24,(SUM(AJ3:AJ25)/$A$1)*24))</f>
        <v>3565.565217391304</v>
      </c>
      <c r="AK56" s="1"/>
      <c r="AL56" s="1"/>
      <c r="AM56" s="9"/>
      <c r="AP56" s="2">
        <v>23</v>
      </c>
      <c r="AQ56" s="1">
        <f>SUM($AQ$3:AQ25)/AP25*24</f>
        <v>8376.3080046403666</v>
      </c>
      <c r="AR56" s="1">
        <f ca="1">IF(AR25="","",IF(AP56&lt;$A$1,SUM(AR3:AR25)/AP25*24,(SUM(AR3:AR25)/$A$1)*24))</f>
        <v>2775.9032583428479</v>
      </c>
      <c r="AS56" s="1"/>
      <c r="AT56" s="1"/>
      <c r="AU56" s="9"/>
    </row>
    <row r="57" spans="1:47">
      <c r="A57" s="2">
        <v>24</v>
      </c>
      <c r="B57" s="1">
        <f>SUM($B$3:B26)/A26*24</f>
        <v>297021.45481917221</v>
      </c>
      <c r="C57" s="1">
        <f ca="1">IF(C26="","",IF(A57&lt;$A$1,SUM(C3:C26)/A26*24,(SUM(C3:C26)/$A$1)*24))</f>
        <v>257933.21739130432</v>
      </c>
      <c r="D57" s="1"/>
      <c r="E57" s="9"/>
      <c r="F57" s="9"/>
      <c r="J57" s="2">
        <v>24</v>
      </c>
      <c r="K57" s="1">
        <f>SUM($K$3:K26)/$J$26*24</f>
        <v>254731.08201453183</v>
      </c>
      <c r="L57" s="1">
        <f ca="1">IF(L26="","",IF(J57&lt;$A$1,SUM(L3:L26)/J26*24,(SUM(L3:L26)/$A$1)*24))</f>
        <v>224594.08695652176</v>
      </c>
      <c r="M57" s="1"/>
      <c r="N57" s="9"/>
      <c r="O57" s="9"/>
      <c r="R57" s="2">
        <v>24</v>
      </c>
      <c r="S57" s="1">
        <f>SUM($S$3:S26)/R26*24</f>
        <v>0</v>
      </c>
      <c r="T57" s="1">
        <f ca="1">IF(T26="","",IF(R57&lt;$A$1,SUM(T3:T26)/R26*24,(SUM(T3:T26)/$A$1)*24))</f>
        <v>169.04347826086956</v>
      </c>
      <c r="U57" s="1"/>
      <c r="V57" s="9"/>
      <c r="W57" s="9"/>
      <c r="Z57" s="2">
        <v>24</v>
      </c>
      <c r="AA57" s="1">
        <f>SUM($AA$3:AA26)/Z26*24</f>
        <v>30483.0648</v>
      </c>
      <c r="AB57" s="1">
        <f ca="1">IF(AB26="","",IF(Z57&lt;$A$1,SUM(AB3:AB26)/Z26*24,(SUM(AB3:AB26)/$A$1)*24))</f>
        <v>29446.956521739132</v>
      </c>
      <c r="AC57" s="1"/>
      <c r="AD57" s="1"/>
      <c r="AE57" s="9"/>
      <c r="AH57" s="2">
        <v>24</v>
      </c>
      <c r="AI57" s="1">
        <f>SUM($AI$3:AI26)/AH26*24</f>
        <v>3431</v>
      </c>
      <c r="AJ57" s="1">
        <f ca="1">IF(AJ26="","",IF(AH57&lt;$A$1,SUM(AJ3:AJ26)/AH26*24,(SUM(AJ3:AJ26)/$A$1)*24))</f>
        <v>3723.1304347826085</v>
      </c>
      <c r="AK57" s="1"/>
      <c r="AL57" s="1"/>
      <c r="AM57" s="9"/>
      <c r="AP57" s="2">
        <v>24</v>
      </c>
      <c r="AQ57" s="1">
        <f>SUM($AQ$3:AQ26)/AP26*24</f>
        <v>8376.3080046403684</v>
      </c>
      <c r="AR57" s="1">
        <f ca="1">IF(AR26="","",IF(AP57&lt;$A$1,SUM(AR3:AR26)/AP26*24,(SUM(AR3:AR26)/$A$1)*24))</f>
        <v>2775.9032583428479</v>
      </c>
      <c r="AS57" s="1"/>
      <c r="AT57" s="1"/>
      <c r="AU57" s="9"/>
    </row>
  </sheetData>
  <mergeCells count="1">
    <mergeCell ref="A32:AL32"/>
  </mergeCells>
  <phoneticPr fontId="65" type="noConversion"/>
  <conditionalFormatting sqref="D30:D31">
    <cfRule type="cellIs" dxfId="7" priority="7" operator="lessThan">
      <formula>0</formula>
    </cfRule>
  </conditionalFormatting>
  <conditionalFormatting sqref="M30">
    <cfRule type="cellIs" dxfId="6" priority="6" operator="lessThan">
      <formula>0</formula>
    </cfRule>
  </conditionalFormatting>
  <conditionalFormatting sqref="U30">
    <cfRule type="cellIs" dxfId="5" priority="5" operator="lessThan">
      <formula>0</formula>
    </cfRule>
  </conditionalFormatting>
  <conditionalFormatting sqref="AC30">
    <cfRule type="cellIs" dxfId="4" priority="4" operator="lessThan">
      <formula>0</formula>
    </cfRule>
  </conditionalFormatting>
  <conditionalFormatting sqref="AK30">
    <cfRule type="cellIs" dxfId="3" priority="3" operator="lessThan">
      <formula>0</formula>
    </cfRule>
  </conditionalFormatting>
  <conditionalFormatting sqref="AS30">
    <cfRule type="cellIs" dxfId="2" priority="1" operator="lessThan">
      <formula>0</formula>
    </cfRule>
  </conditionalFormatting>
  <pageMargins left="0.511811024" right="0.511811024" top="0.78740157499999996" bottom="0.78740157499999996" header="0.31496062000000002" footer="0.31496062000000002"/>
  <pageSetup orientation="portrait" horizontalDpi="300" r:id="rId1"/>
  <tableParts count="2">
    <tablePart r:id="rId2"/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3929E079E9F5084BB2F044B783FDA6E6" ma:contentTypeVersion="21" ma:contentTypeDescription="Crie um novo documento." ma:contentTypeScope="" ma:versionID="4bcc44ecb8f0eea1b4f81e6979d9aed3">
  <xsd:schema xmlns:xsd="http://www.w3.org/2001/XMLSchema" xmlns:xs="http://www.w3.org/2001/XMLSchema" xmlns:p="http://schemas.microsoft.com/office/2006/metadata/properties" xmlns:ns2="aeb33b5f-5f61-415b-8043-6c30ca4c72e5" xmlns:ns3="816a65da-4e0a-4a32-a9fc-a44bc48102d2" xmlns:ns4="0e56c044-f2f6-4825-ae61-b726c90d87ff" targetNamespace="http://schemas.microsoft.com/office/2006/metadata/properties" ma:root="true" ma:fieldsID="bc5c7c31eb6101b4c1ac8f4d9378a381" ns2:_="" ns3:_="" ns4:_="">
    <xsd:import namespace="aeb33b5f-5f61-415b-8043-6c30ca4c72e5"/>
    <xsd:import namespace="816a65da-4e0a-4a32-a9fc-a44bc48102d2"/>
    <xsd:import namespace="0e56c044-f2f6-4825-ae61-b726c90d87f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DateTaken" minOccurs="0"/>
                <xsd:element ref="ns2:MediaServiceAutoTags" minOccurs="0"/>
                <xsd:element ref="ns2:MediaServiceOCR" minOccurs="0"/>
                <xsd:element ref="ns2:MediaServiceEventHashCode" minOccurs="0"/>
                <xsd:element ref="ns2:MediaServiceGenerationTime" minOccurs="0"/>
                <xsd:element ref="ns2:MediaServiceAutoKeyPoints" minOccurs="0"/>
                <xsd:element ref="ns2:MediaServiceKeyPoints" minOccurs="0"/>
                <xsd:element ref="ns2:_Flow_SignoffStatus" minOccurs="0"/>
                <xsd:element ref="ns2:MediaServiceLocation" minOccurs="0"/>
                <xsd:element ref="ns2:MediaLengthInSeconds" minOccurs="0"/>
                <xsd:element ref="ns2:lcf76f155ced4ddcb4097134ff3c332f" minOccurs="0"/>
                <xsd:element ref="ns4:TaxCatchAll" minOccurs="0"/>
                <xsd:element ref="ns2:MediaServiceObjectDetectorVersions" minOccurs="0"/>
                <xsd:element ref="ns2:MediaServiceSearchProperties" minOccurs="0"/>
                <xsd:element ref="ns2:MediaServiceBillingMetadata" minOccurs="0"/>
                <xsd:element ref="ns2:TranslatedLang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eb33b5f-5f61-415b-8043-6c30ca4c72e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MediaServiceAutoTags" ma:internalName="MediaServiceAutoTags" ma:readOnly="true">
      <xsd:simpleType>
        <xsd:restriction base="dms:Text"/>
      </xsd:simpleType>
    </xsd:element>
    <xsd:element name="MediaServiceOCR" ma:index="14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KeyPoints" ma:index="17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8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_Flow_SignoffStatus" ma:index="19" nillable="true" ma:displayName="Sign-off status" ma:internalName="Sign_x002d_off_x0020_status">
      <xsd:simpleType>
        <xsd:restriction base="dms:Text"/>
      </xsd:simpleType>
    </xsd:element>
    <xsd:element name="MediaServiceLocation" ma:index="20" nillable="true" ma:displayName="Location" ma:internalName="MediaServiceLocation" ma:readOnly="true">
      <xsd:simpleType>
        <xsd:restriction base="dms:Text"/>
      </xsd:simpleType>
    </xsd:element>
    <xsd:element name="MediaLengthInSeconds" ma:index="21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3" nillable="true" ma:taxonomy="true" ma:internalName="lcf76f155ced4ddcb4097134ff3c332f" ma:taxonomyFieldName="MediaServiceImageTags" ma:displayName="Marcações de imagem" ma:readOnly="false" ma:fieldId="{5cf76f15-5ced-4ddc-b409-7134ff3c332f}" ma:taxonomyMulti="true" ma:sspId="1217ff2e-1616-4146-8372-4640400776c3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5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6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BillingMetadata" ma:index="27" nillable="true" ma:displayName="MediaServiceBillingMetadata" ma:hidden="true" ma:internalName="MediaServiceBillingMetadata" ma:readOnly="true">
      <xsd:simpleType>
        <xsd:restriction base="dms:Note"/>
      </xsd:simpleType>
    </xsd:element>
    <xsd:element name="TranslatedLang" ma:index="28" nillable="true" ma:displayName="Translated Language" ma:internalName="TranslatedLang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16a65da-4e0a-4a32-a9fc-a44bc48102d2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Compartilhado com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Detalhes de Compartilhado Com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e56c044-f2f6-4825-ae61-b726c90d87ff" elementFormDefault="qualified">
    <xsd:import namespace="http://schemas.microsoft.com/office/2006/documentManagement/types"/>
    <xsd:import namespace="http://schemas.microsoft.com/office/infopath/2007/PartnerControls"/>
    <xsd:element name="TaxCatchAll" ma:index="24" nillable="true" ma:displayName="Taxonomy Catch All Column" ma:hidden="true" ma:list="{e109b252-3f1a-4ed3-9511-25983749967d}" ma:internalName="TaxCatchAll" ma:showField="CatchAllData" ma:web="816a65da-4e0a-4a32-a9fc-a44bc48102d2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IP21ConfigWorkBook xmlns:xsi="http://www.w3.org/2001/XMLSchema-instance" xmlns:xsd="http://www.w3.org/2001/XMLSchema" xmlns="http://www.aspentech.com/ProcessData/ExcelAddIn/IP21ConfigWorkBook">
  <WorkBookName>Informações COI - Usina.xlsm</WorkBookName>
  <MappingTemplateName/>
  <ColumnMaps/>
</IP21ConfigWorkBook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aeb33b5f-5f61-415b-8043-6c30ca4c72e5">
      <Terms xmlns="http://schemas.microsoft.com/office/infopath/2007/PartnerControls"/>
    </lcf76f155ced4ddcb4097134ff3c332f>
    <TaxCatchAll xmlns="0e56c044-f2f6-4825-ae61-b726c90d87ff" xsi:nil="true"/>
    <TranslatedLang xmlns="aeb33b5f-5f61-415b-8043-6c30ca4c72e5" xsi:nil="true"/>
    <_Flow_SignoffStatus xmlns="aeb33b5f-5f61-415b-8043-6c30ca4c72e5" xsi:nil="true"/>
  </documentManagement>
</p:properties>
</file>

<file path=customXml/item5.xml>�� 
</file>

<file path=customXml/itemProps1.xml><?xml version="1.0" encoding="utf-8"?>
<ds:datastoreItem xmlns:ds="http://schemas.openxmlformats.org/officeDocument/2006/customXml" ds:itemID="{E565A7CD-91CA-4EC9-8D4C-978D19461325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705DD749-3F33-48D4-938D-E1420E99FC13}"/>
</file>

<file path=customXml/itemProps3.xml><?xml version="1.0" encoding="utf-8"?>
<ds:datastoreItem xmlns:ds="http://schemas.openxmlformats.org/officeDocument/2006/customXml" ds:itemID="{00299D67-BFCC-4FE0-A2C3-EAE486100D58}">
  <ds:schemaRefs>
    <ds:schemaRef ds:uri="http://www.w3.org/2001/XMLSchema"/>
    <ds:schemaRef ds:uri="http://www.aspentech.com/ProcessData/ExcelAddIn/IP21ConfigWorkBook"/>
  </ds:schemaRefs>
</ds:datastoreItem>
</file>

<file path=customXml/itemProps4.xml><?xml version="1.0" encoding="utf-8"?>
<ds:datastoreItem xmlns:ds="http://schemas.openxmlformats.org/officeDocument/2006/customXml" ds:itemID="{279B3EFF-2EFE-48E0-A08D-3A52953C32A9}">
  <ds:schemaRefs>
    <ds:schemaRef ds:uri="8a5d8c6f-dde9-445b-b0d6-d4b912837274"/>
    <ds:schemaRef ds:uri="http://www.w3.org/XML/1998/namespace"/>
    <ds:schemaRef ds:uri="http://purl.org/dc/terms/"/>
    <ds:schemaRef ds:uri="7bdd9492-9499-4339-afbe-1a61fbb6d408"/>
    <ds:schemaRef ds:uri="http://schemas.microsoft.com/office/2006/documentManagement/types"/>
    <ds:schemaRef ds:uri="http://schemas.microsoft.com/office/2006/metadata/properties"/>
    <ds:schemaRef ds:uri="http://purl.org/dc/elements/1.1/"/>
    <ds:schemaRef ds:uri="http://schemas.microsoft.com/sharepoint/v3"/>
    <ds:schemaRef ds:uri="http://schemas.microsoft.com/office/infopath/2007/PartnerControls"/>
    <ds:schemaRef ds:uri="http://schemas.openxmlformats.org/package/2006/metadata/core-properties"/>
    <ds:schemaRef ds:uri="http://purl.org/dc/dcmitype/"/>
  </ds:schemaRefs>
</ds:datastoreItem>
</file>

<file path=customXml/itemProps5.xml><?xml version="1.0" encoding="utf-8"?>
<ds:datastoreItem xmlns:ds="http://schemas.openxmlformats.org/officeDocument/2006/customXml" ds:itemID="{267C7FD7-CE4B-44A3-9B31-2945E6FB341A}">
  <ds:schemaRefs>
    <ds:schemaRef ds:uri="http://schemas.microsoft.com/DataMashup"/>
  </ds:schemaRefs>
</ds:datastoreItem>
</file>

<file path=docMetadata/LabelInfo.xml><?xml version="1.0" encoding="utf-8"?>
<clbl:labelList xmlns:clbl="http://schemas.microsoft.com/office/2020/mipLabelMetadata">
  <clbl:label id="{7893571b-6c2c-4cef-b4da-7d4b266a0626}" enabled="0" method="" siteId="{7893571b-6c2c-4cef-b4da-7d4b266a0626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Intervalos Nomeados</vt:lpstr>
      </vt:variant>
      <vt:variant>
        <vt:i4>4</vt:i4>
      </vt:variant>
    </vt:vector>
  </HeadingPairs>
  <TitlesOfParts>
    <vt:vector size="7" baseType="lpstr">
      <vt:lpstr>ACOMPANHAMENTO USINA</vt:lpstr>
      <vt:lpstr>JUSTIFICATIVA DE USINA</vt:lpstr>
      <vt:lpstr>PRODUÇÃO TOTAL USINA</vt:lpstr>
      <vt:lpstr>'JUSTIFICATIVA DE USINA'!_MailOriginal</vt:lpstr>
      <vt:lpstr>'ACOMPANHAMENTO USINA'!Area_de_impressao</vt:lpstr>
      <vt:lpstr>'JUSTIFICATIVA DE USINA'!Area_de_impressao</vt:lpstr>
      <vt:lpstr>dtHoje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Edycarlos Teixeira</dc:creator>
  <cp:keywords/>
  <dc:description/>
  <cp:lastModifiedBy>ELIFAZ DO NASCIMENTO SILVA</cp:lastModifiedBy>
  <cp:revision/>
  <cp:lastPrinted>2024-08-13T03:47:55Z</cp:lastPrinted>
  <dcterms:created xsi:type="dcterms:W3CDTF">2015-03-17T16:33:08Z</dcterms:created>
  <dcterms:modified xsi:type="dcterms:W3CDTF">2024-08-16T18:45:00Z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0x0101003929E079E9F5084BB2F044B783FDA6E6</vt:lpwstr>
  </property>
  <property fmtid="{D5CDD505-2E9C-101B-9397-08002B2CF9AE}" pid="3" name="MediaServiceImageTags">
    <vt:lpwstr/>
  </property>
</Properties>
</file>